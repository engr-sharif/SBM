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jacobsengineering-my.sharepoint.com/personal/mo_sharif_jacobs_com/Documents/WORK/PROJECTS/Sulphur Banks/XRF WORK/DATA/Sample Tracker/"/>
    </mc:Choice>
  </mc:AlternateContent>
  <xr:revisionPtr revIDLastSave="46" documentId="11_68106B119545B346ABD149EEF43C3B81A5708443" xr6:coauthVersionLast="47" xr6:coauthVersionMax="47" xr10:uidLastSave="{0EA67552-58CD-4E82-94A6-C0AD1FB9346D}"/>
  <bookViews>
    <workbookView xWindow="28680" yWindow="-990" windowWidth="29040" windowHeight="15720" tabRatio="500" xr2:uid="{00000000-000D-0000-FFFF-FFFF00000000}"/>
  </bookViews>
  <sheets>
    <sheet name="Dashboard" sheetId="1" r:id="rId1"/>
    <sheet name="Boulder Sample Log" sheetId="2" r:id="rId2"/>
    <sheet name="XRF Readings Detail" sheetId="3" r:id="rId3"/>
    <sheet name="Lab Samples" sheetId="4" r:id="rId4"/>
    <sheet name="Daily Verification" sheetId="5" r:id="rId5"/>
    <sheet name="Daily Field Log" sheetId="6" r:id="rId6"/>
    <sheet name="Grid Completion" sheetId="7" r:id="rId7"/>
    <sheet name="Boulder Selection Log" sheetId="8" r:id="rId8"/>
    <sheet name="Depth XRF Detail" sheetId="9" r:id="rId9"/>
    <sheet name="Crushing Field Checklist" sheetId="10" r:id="rId10"/>
    <sheet name="Powder XRF Detail" sheetId="11" r:id="rId11"/>
    <sheet name="Powder Boulder Checklist" sheetId="12" r:id="rId12"/>
  </sheets>
  <definedNames>
    <definedName name="_xlnm._FilterDatabase" localSheetId="1" hidden="1">'Boulder Sample Log'!$A$4:$Y$150</definedName>
    <definedName name="_xlnm._FilterDatabase" localSheetId="7" hidden="1">'Boulder Selection Log'!$A$4:$Z$48</definedName>
    <definedName name="_xlnm._FilterDatabase" localSheetId="5" hidden="1">'Daily Field Log'!$A$3:$J$26</definedName>
    <definedName name="_xlnm._FilterDatabase" localSheetId="4" hidden="1">'Daily Verification'!$A$4:$M$69</definedName>
    <definedName name="_xlnm._FilterDatabase" localSheetId="8" hidden="1">'Depth XRF Detail'!$A$4:$Q$482</definedName>
    <definedName name="_xlnm._FilterDatabase" localSheetId="3" hidden="1">'Lab Samples'!$A$4:$O$48</definedName>
    <definedName name="_xlnm._FilterDatabase" localSheetId="10" hidden="1">'Powder XRF Detail'!$A$4:$N$34</definedName>
    <definedName name="_xlnm._FilterDatabase" localSheetId="2" hidden="1">'XRF Readings Detail'!$A$4:$Q$1694</definedName>
    <definedName name="PowderIDs">'Boulder Sample Log'!$R$5:$R$204</definedName>
    <definedName name="_xlnm.Print_Area" localSheetId="11">'Powder Boulder Checklist'!$A$1:$K$25</definedName>
    <definedName name="_xlnm.Print_Titles" localSheetId="9">'Crushing Field Checklist'!$1:$2</definedName>
    <definedName name="SampleIDs">'Boulder Sample Log'!$E$5:$E$204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6" i="12" l="1"/>
  <c r="E25" i="12"/>
  <c r="E24" i="12"/>
  <c r="T48" i="8"/>
  <c r="T47" i="8"/>
  <c r="T46" i="8"/>
  <c r="T45" i="8"/>
  <c r="T44" i="8"/>
  <c r="T43" i="8"/>
  <c r="T42" i="8"/>
  <c r="T41" i="8"/>
  <c r="T40" i="8"/>
  <c r="T39" i="8"/>
  <c r="T38" i="8"/>
  <c r="T37" i="8"/>
  <c r="T36" i="8"/>
  <c r="T35" i="8"/>
  <c r="T34" i="8"/>
  <c r="T33" i="8"/>
  <c r="T32" i="8"/>
  <c r="T31" i="8"/>
  <c r="T30" i="8"/>
  <c r="T29" i="8"/>
  <c r="T28" i="8"/>
  <c r="T27" i="8"/>
  <c r="T26" i="8"/>
  <c r="T25" i="8"/>
  <c r="T24" i="8"/>
  <c r="T23" i="8"/>
  <c r="T22" i="8"/>
  <c r="T21" i="8"/>
  <c r="T20" i="8"/>
  <c r="T18" i="8"/>
  <c r="T17" i="8"/>
  <c r="T16" i="8"/>
  <c r="T15" i="8"/>
  <c r="T14" i="8"/>
  <c r="T13" i="8"/>
  <c r="T12" i="8"/>
  <c r="T11" i="8"/>
  <c r="T10" i="8"/>
  <c r="T9" i="8"/>
  <c r="T8" i="8"/>
  <c r="T7" i="8"/>
  <c r="T6" i="8"/>
  <c r="T5" i="8"/>
  <c r="Q11" i="7"/>
  <c r="B11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9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7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5" i="7"/>
  <c r="Q4" i="7"/>
  <c r="P4" i="7"/>
  <c r="O4" i="7"/>
  <c r="N4" i="7"/>
  <c r="M4" i="7"/>
  <c r="L4" i="7"/>
  <c r="K4" i="7"/>
  <c r="J4" i="7"/>
  <c r="I4" i="7"/>
  <c r="H4" i="7"/>
  <c r="G4" i="7"/>
  <c r="F4" i="7"/>
  <c r="E4" i="7"/>
  <c r="D4" i="7"/>
  <c r="C4" i="7"/>
  <c r="B4" i="7"/>
  <c r="F53" i="6"/>
  <c r="E53" i="6"/>
  <c r="D53" i="6"/>
  <c r="F52" i="6"/>
  <c r="E52" i="6"/>
  <c r="D52" i="6"/>
  <c r="F51" i="6"/>
  <c r="E51" i="6"/>
  <c r="D51" i="6"/>
  <c r="F50" i="6"/>
  <c r="E50" i="6"/>
  <c r="D50" i="6"/>
  <c r="F49" i="6"/>
  <c r="E49" i="6"/>
  <c r="D49" i="6"/>
  <c r="F48" i="6"/>
  <c r="E48" i="6"/>
  <c r="D48" i="6"/>
  <c r="F47" i="6"/>
  <c r="E47" i="6"/>
  <c r="D47" i="6"/>
  <c r="F46" i="6"/>
  <c r="E46" i="6"/>
  <c r="D46" i="6"/>
  <c r="F45" i="6"/>
  <c r="E45" i="6"/>
  <c r="D45" i="6"/>
  <c r="F44" i="6"/>
  <c r="E44" i="6"/>
  <c r="D44" i="6"/>
  <c r="F43" i="6"/>
  <c r="E43" i="6"/>
  <c r="D43" i="6"/>
  <c r="F42" i="6"/>
  <c r="E42" i="6"/>
  <c r="D42" i="6"/>
  <c r="F41" i="6"/>
  <c r="E41" i="6"/>
  <c r="D41" i="6"/>
  <c r="F40" i="6"/>
  <c r="E40" i="6"/>
  <c r="D40" i="6"/>
  <c r="F39" i="6"/>
  <c r="E39" i="6"/>
  <c r="D39" i="6"/>
  <c r="F38" i="6"/>
  <c r="E38" i="6"/>
  <c r="D38" i="6"/>
  <c r="F37" i="6"/>
  <c r="E37" i="6"/>
  <c r="D37" i="6"/>
  <c r="F36" i="6"/>
  <c r="E36" i="6"/>
  <c r="D36" i="6"/>
  <c r="F35" i="6"/>
  <c r="E35" i="6"/>
  <c r="D35" i="6"/>
  <c r="F34" i="6"/>
  <c r="E34" i="6"/>
  <c r="D34" i="6"/>
  <c r="F33" i="6"/>
  <c r="E33" i="6"/>
  <c r="D33" i="6"/>
  <c r="F32" i="6"/>
  <c r="E32" i="6"/>
  <c r="D32" i="6"/>
  <c r="F31" i="6"/>
  <c r="E31" i="6"/>
  <c r="D31" i="6"/>
  <c r="F30" i="6"/>
  <c r="E30" i="6"/>
  <c r="D30" i="6"/>
  <c r="F29" i="6"/>
  <c r="E29" i="6"/>
  <c r="D29" i="6"/>
  <c r="F28" i="6"/>
  <c r="E28" i="6"/>
  <c r="D28" i="6"/>
  <c r="F27" i="6"/>
  <c r="E27" i="6"/>
  <c r="D27" i="6"/>
  <c r="F26" i="6"/>
  <c r="E26" i="6"/>
  <c r="D26" i="6"/>
  <c r="F25" i="6"/>
  <c r="E25" i="6"/>
  <c r="D25" i="6"/>
  <c r="F24" i="6"/>
  <c r="E24" i="6"/>
  <c r="D24" i="6"/>
  <c r="F23" i="6"/>
  <c r="E23" i="6"/>
  <c r="D23" i="6"/>
  <c r="F22" i="6"/>
  <c r="D22" i="6"/>
  <c r="F21" i="6"/>
  <c r="E21" i="6"/>
  <c r="D21" i="6"/>
  <c r="F20" i="6"/>
  <c r="E20" i="6"/>
  <c r="D20" i="6"/>
  <c r="F19" i="6"/>
  <c r="E19" i="6"/>
  <c r="D19" i="6"/>
  <c r="F18" i="6"/>
  <c r="E18" i="6"/>
  <c r="D18" i="6"/>
  <c r="F17" i="6"/>
  <c r="D17" i="6"/>
  <c r="F16" i="6"/>
  <c r="D16" i="6"/>
  <c r="F15" i="6"/>
  <c r="D15" i="6"/>
  <c r="F14" i="6"/>
  <c r="D14" i="6"/>
  <c r="F13" i="6"/>
  <c r="E13" i="6"/>
  <c r="D13" i="6"/>
  <c r="F12" i="6"/>
  <c r="E12" i="6"/>
  <c r="D12" i="6"/>
  <c r="F11" i="6"/>
  <c r="E11" i="6"/>
  <c r="D11" i="6"/>
  <c r="F10" i="6"/>
  <c r="E10" i="6"/>
  <c r="D10" i="6"/>
  <c r="F9" i="6"/>
  <c r="E9" i="6"/>
  <c r="D9" i="6"/>
  <c r="F8" i="6"/>
  <c r="E8" i="6"/>
  <c r="D8" i="6"/>
  <c r="F7" i="6"/>
  <c r="E7" i="6"/>
  <c r="D7" i="6"/>
  <c r="F6" i="6"/>
  <c r="E6" i="6"/>
  <c r="D6" i="6"/>
  <c r="F5" i="6"/>
  <c r="E5" i="6"/>
  <c r="D5" i="6"/>
  <c r="F4" i="6"/>
  <c r="E4" i="6"/>
  <c r="D4" i="6"/>
  <c r="B956" i="3"/>
  <c r="B955" i="3"/>
  <c r="B954" i="3"/>
  <c r="B953" i="3"/>
  <c r="B952" i="3"/>
  <c r="B951" i="3"/>
  <c r="B950" i="3"/>
  <c r="B949" i="3"/>
  <c r="B948" i="3"/>
  <c r="B947" i="3"/>
  <c r="B946" i="3"/>
  <c r="B945" i="3"/>
  <c r="B944" i="3"/>
  <c r="B835" i="3"/>
  <c r="P204" i="2"/>
  <c r="E204" i="2"/>
  <c r="P203" i="2"/>
  <c r="E203" i="2"/>
  <c r="P202" i="2"/>
  <c r="E202" i="2"/>
  <c r="P201" i="2"/>
  <c r="E201" i="2"/>
  <c r="P200" i="2"/>
  <c r="E200" i="2"/>
  <c r="P199" i="2"/>
  <c r="E199" i="2"/>
  <c r="P198" i="2"/>
  <c r="E198" i="2"/>
  <c r="P197" i="2"/>
  <c r="E197" i="2"/>
  <c r="P196" i="2"/>
  <c r="E196" i="2"/>
  <c r="P195" i="2"/>
  <c r="E195" i="2"/>
  <c r="P194" i="2"/>
  <c r="E194" i="2"/>
  <c r="P193" i="2"/>
  <c r="E193" i="2"/>
  <c r="P192" i="2"/>
  <c r="E192" i="2"/>
  <c r="P191" i="2"/>
  <c r="E191" i="2"/>
  <c r="P190" i="2"/>
  <c r="E190" i="2"/>
  <c r="P189" i="2"/>
  <c r="E189" i="2"/>
  <c r="P188" i="2"/>
  <c r="E188" i="2"/>
  <c r="P187" i="2"/>
  <c r="E187" i="2"/>
  <c r="P186" i="2"/>
  <c r="E186" i="2"/>
  <c r="P185" i="2"/>
  <c r="E185" i="2"/>
  <c r="P184" i="2"/>
  <c r="E184" i="2"/>
  <c r="P183" i="2"/>
  <c r="E183" i="2"/>
  <c r="P182" i="2"/>
  <c r="E182" i="2"/>
  <c r="P181" i="2"/>
  <c r="E181" i="2"/>
  <c r="P180" i="2"/>
  <c r="E180" i="2"/>
  <c r="P179" i="2"/>
  <c r="E179" i="2"/>
  <c r="P178" i="2"/>
  <c r="E178" i="2"/>
  <c r="P177" i="2"/>
  <c r="E177" i="2"/>
  <c r="P176" i="2"/>
  <c r="E176" i="2"/>
  <c r="P175" i="2"/>
  <c r="E175" i="2"/>
  <c r="P174" i="2"/>
  <c r="E174" i="2"/>
  <c r="P173" i="2"/>
  <c r="E173" i="2"/>
  <c r="P172" i="2"/>
  <c r="E172" i="2"/>
  <c r="P171" i="2"/>
  <c r="E171" i="2"/>
  <c r="P170" i="2"/>
  <c r="E170" i="2"/>
  <c r="P169" i="2"/>
  <c r="E169" i="2"/>
  <c r="P168" i="2"/>
  <c r="E168" i="2"/>
  <c r="P167" i="2"/>
  <c r="E167" i="2"/>
  <c r="P166" i="2"/>
  <c r="E166" i="2"/>
  <c r="P165" i="2"/>
  <c r="E165" i="2"/>
  <c r="P164" i="2"/>
  <c r="E164" i="2"/>
  <c r="P163" i="2"/>
  <c r="E163" i="2"/>
  <c r="P162" i="2"/>
  <c r="E162" i="2"/>
  <c r="P161" i="2"/>
  <c r="E161" i="2"/>
  <c r="P160" i="2"/>
  <c r="E160" i="2"/>
  <c r="P159" i="2"/>
  <c r="E159" i="2"/>
  <c r="P158" i="2"/>
  <c r="E158" i="2"/>
  <c r="P157" i="2"/>
  <c r="E157" i="2"/>
  <c r="P156" i="2"/>
  <c r="E156" i="2"/>
  <c r="P155" i="2"/>
  <c r="E155" i="2"/>
  <c r="P154" i="2"/>
  <c r="E154" i="2"/>
  <c r="P153" i="2"/>
  <c r="E153" i="2"/>
  <c r="P152" i="2"/>
  <c r="E152" i="2"/>
  <c r="P151" i="2"/>
  <c r="E151" i="2"/>
  <c r="P150" i="2"/>
  <c r="E150" i="2"/>
  <c r="P149" i="2"/>
  <c r="E149" i="2"/>
  <c r="P148" i="2"/>
  <c r="E22" i="6" s="1"/>
  <c r="E148" i="2"/>
  <c r="P147" i="2"/>
  <c r="E147" i="2"/>
  <c r="P146" i="2"/>
  <c r="E146" i="2"/>
  <c r="P145" i="2"/>
  <c r="E145" i="2"/>
  <c r="P144" i="2"/>
  <c r="E144" i="2"/>
  <c r="P143" i="2"/>
  <c r="E143" i="2"/>
  <c r="P142" i="2"/>
  <c r="E142" i="2"/>
  <c r="P141" i="2"/>
  <c r="E141" i="2"/>
  <c r="P140" i="2"/>
  <c r="E140" i="2"/>
  <c r="P139" i="2"/>
  <c r="E139" i="2"/>
  <c r="P138" i="2"/>
  <c r="E138" i="2"/>
  <c r="P137" i="2"/>
  <c r="E137" i="2"/>
  <c r="P136" i="2"/>
  <c r="E136" i="2"/>
  <c r="P135" i="2"/>
  <c r="E135" i="2"/>
  <c r="P134" i="2"/>
  <c r="E134" i="2"/>
  <c r="P133" i="2"/>
  <c r="E133" i="2"/>
  <c r="P132" i="2"/>
  <c r="E132" i="2"/>
  <c r="P131" i="2"/>
  <c r="E131" i="2"/>
  <c r="P130" i="2"/>
  <c r="E130" i="2"/>
  <c r="P129" i="2"/>
  <c r="E129" i="2"/>
  <c r="P128" i="2"/>
  <c r="E128" i="2"/>
  <c r="P127" i="2"/>
  <c r="E127" i="2"/>
  <c r="P126" i="2"/>
  <c r="E126" i="2"/>
  <c r="P125" i="2"/>
  <c r="E125" i="2"/>
  <c r="P124" i="2"/>
  <c r="E124" i="2"/>
  <c r="P123" i="2"/>
  <c r="E123" i="2"/>
  <c r="P122" i="2"/>
  <c r="E122" i="2"/>
  <c r="P121" i="2"/>
  <c r="E121" i="2"/>
  <c r="P120" i="2"/>
  <c r="E120" i="2"/>
  <c r="P119" i="2"/>
  <c r="E119" i="2"/>
  <c r="P118" i="2"/>
  <c r="E118" i="2"/>
  <c r="P117" i="2"/>
  <c r="E117" i="2"/>
  <c r="P116" i="2"/>
  <c r="E116" i="2"/>
  <c r="P115" i="2"/>
  <c r="E115" i="2"/>
  <c r="P114" i="2"/>
  <c r="E114" i="2"/>
  <c r="P113" i="2"/>
  <c r="E113" i="2"/>
  <c r="P112" i="2"/>
  <c r="E112" i="2"/>
  <c r="P111" i="2"/>
  <c r="E111" i="2"/>
  <c r="P110" i="2"/>
  <c r="E110" i="2"/>
  <c r="P109" i="2"/>
  <c r="E109" i="2"/>
  <c r="P108" i="2"/>
  <c r="E108" i="2"/>
  <c r="P107" i="2"/>
  <c r="E107" i="2"/>
  <c r="P106" i="2"/>
  <c r="E106" i="2"/>
  <c r="P105" i="2"/>
  <c r="E105" i="2"/>
  <c r="P104" i="2"/>
  <c r="E104" i="2"/>
  <c r="P103" i="2"/>
  <c r="E103" i="2"/>
  <c r="P102" i="2"/>
  <c r="E102" i="2"/>
  <c r="P101" i="2"/>
  <c r="E101" i="2"/>
  <c r="P100" i="2"/>
  <c r="E100" i="2"/>
  <c r="P99" i="2"/>
  <c r="E99" i="2"/>
  <c r="P98" i="2"/>
  <c r="E98" i="2"/>
  <c r="P97" i="2"/>
  <c r="E97" i="2"/>
  <c r="P96" i="2"/>
  <c r="E96" i="2"/>
  <c r="P95" i="2"/>
  <c r="E95" i="2"/>
  <c r="P94" i="2"/>
  <c r="E94" i="2"/>
  <c r="P93" i="2"/>
  <c r="E93" i="2"/>
  <c r="P92" i="2"/>
  <c r="E92" i="2"/>
  <c r="P91" i="2"/>
  <c r="E91" i="2"/>
  <c r="P90" i="2"/>
  <c r="E90" i="2"/>
  <c r="P89" i="2"/>
  <c r="E89" i="2"/>
  <c r="P88" i="2"/>
  <c r="E88" i="2"/>
  <c r="P87" i="2"/>
  <c r="E87" i="2"/>
  <c r="P86" i="2"/>
  <c r="E86" i="2"/>
  <c r="P85" i="2"/>
  <c r="E85" i="2"/>
  <c r="P84" i="2"/>
  <c r="E84" i="2"/>
  <c r="P83" i="2"/>
  <c r="E17" i="6" s="1"/>
  <c r="E83" i="2"/>
  <c r="P82" i="2"/>
  <c r="E82" i="2"/>
  <c r="P81" i="2"/>
  <c r="E81" i="2"/>
  <c r="P80" i="2"/>
  <c r="E80" i="2"/>
  <c r="P79" i="2"/>
  <c r="E79" i="2"/>
  <c r="P78" i="2"/>
  <c r="E78" i="2"/>
  <c r="P77" i="2"/>
  <c r="E16" i="6" s="1"/>
  <c r="E77" i="2"/>
  <c r="P76" i="2"/>
  <c r="E76" i="2"/>
  <c r="P75" i="2"/>
  <c r="E75" i="2"/>
  <c r="P74" i="2"/>
  <c r="E74" i="2"/>
  <c r="P73" i="2"/>
  <c r="E73" i="2"/>
  <c r="P72" i="2"/>
  <c r="E72" i="2"/>
  <c r="P71" i="2"/>
  <c r="E71" i="2"/>
  <c r="P70" i="2"/>
  <c r="E15" i="6" s="1"/>
  <c r="E70" i="2"/>
  <c r="P69" i="2"/>
  <c r="E69" i="2"/>
  <c r="P68" i="2"/>
  <c r="E68" i="2"/>
  <c r="P67" i="2"/>
  <c r="E67" i="2"/>
  <c r="P66" i="2"/>
  <c r="E66" i="2"/>
  <c r="P65" i="2"/>
  <c r="E65" i="2"/>
  <c r="P64" i="2"/>
  <c r="E64" i="2"/>
  <c r="P63" i="2"/>
  <c r="E63" i="2"/>
  <c r="P62" i="2"/>
  <c r="E62" i="2"/>
  <c r="P61" i="2"/>
  <c r="E14" i="6" s="1"/>
  <c r="E61" i="2"/>
  <c r="P60" i="2"/>
  <c r="E60" i="2"/>
  <c r="P59" i="2"/>
  <c r="E59" i="2"/>
  <c r="P58" i="2"/>
  <c r="E58" i="2"/>
  <c r="P57" i="2"/>
  <c r="E57" i="2"/>
  <c r="P56" i="2"/>
  <c r="E56" i="2"/>
  <c r="P55" i="2"/>
  <c r="E55" i="2"/>
  <c r="P54" i="2"/>
  <c r="E54" i="2"/>
  <c r="P53" i="2"/>
  <c r="E53" i="2"/>
  <c r="P52" i="2"/>
  <c r="E52" i="2"/>
  <c r="P51" i="2"/>
  <c r="E51" i="2"/>
  <c r="P50" i="2"/>
  <c r="E50" i="2"/>
  <c r="P49" i="2"/>
  <c r="E49" i="2"/>
  <c r="P48" i="2"/>
  <c r="E48" i="2"/>
  <c r="P47" i="2"/>
  <c r="E47" i="2"/>
  <c r="P46" i="2"/>
  <c r="E46" i="2"/>
  <c r="P45" i="2"/>
  <c r="E45" i="2"/>
  <c r="P44" i="2"/>
  <c r="E44" i="2"/>
  <c r="P43" i="2"/>
  <c r="E43" i="2"/>
  <c r="P42" i="2"/>
  <c r="E42" i="2"/>
  <c r="P41" i="2"/>
  <c r="E41" i="2"/>
  <c r="P40" i="2"/>
  <c r="E40" i="2"/>
  <c r="P39" i="2"/>
  <c r="E39" i="2"/>
  <c r="P38" i="2"/>
  <c r="E38" i="2"/>
  <c r="P37" i="2"/>
  <c r="E37" i="2"/>
  <c r="P36" i="2"/>
  <c r="E36" i="2"/>
  <c r="P35" i="2"/>
  <c r="E35" i="2"/>
  <c r="P34" i="2"/>
  <c r="E34" i="2"/>
  <c r="P33" i="2"/>
  <c r="E33" i="2"/>
  <c r="P32" i="2"/>
  <c r="E32" i="2"/>
  <c r="P31" i="2"/>
  <c r="E31" i="2"/>
  <c r="P30" i="2"/>
  <c r="E30" i="2"/>
  <c r="P29" i="2"/>
  <c r="E29" i="2"/>
  <c r="P28" i="2"/>
  <c r="E28" i="2"/>
  <c r="P27" i="2"/>
  <c r="E27" i="2"/>
  <c r="P26" i="2"/>
  <c r="E26" i="2"/>
  <c r="P25" i="2"/>
  <c r="E25" i="2"/>
  <c r="P24" i="2"/>
  <c r="E24" i="2"/>
  <c r="P23" i="2"/>
  <c r="E23" i="2"/>
  <c r="P22" i="2"/>
  <c r="E22" i="2"/>
  <c r="P21" i="2"/>
  <c r="E21" i="2"/>
  <c r="P20" i="2"/>
  <c r="E20" i="2"/>
  <c r="P19" i="2"/>
  <c r="E19" i="2"/>
  <c r="P18" i="2"/>
  <c r="E18" i="2"/>
  <c r="P17" i="2"/>
  <c r="E17" i="2"/>
  <c r="P16" i="2"/>
  <c r="E16" i="2"/>
  <c r="P15" i="2"/>
  <c r="E15" i="2"/>
  <c r="P14" i="2"/>
  <c r="E14" i="2"/>
  <c r="P13" i="2"/>
  <c r="E13" i="2"/>
  <c r="P12" i="2"/>
  <c r="E12" i="2"/>
  <c r="P11" i="2"/>
  <c r="E11" i="2"/>
  <c r="P10" i="2"/>
  <c r="E10" i="2"/>
  <c r="P9" i="2"/>
  <c r="E9" i="2"/>
  <c r="P8" i="2"/>
  <c r="E8" i="2"/>
  <c r="P7" i="2"/>
  <c r="E7" i="2"/>
  <c r="P6" i="2"/>
  <c r="E6" i="2"/>
  <c r="P5" i="2"/>
  <c r="E5" i="2"/>
  <c r="C31" i="1"/>
  <c r="C30" i="1"/>
  <c r="C32" i="1" s="1"/>
  <c r="C29" i="1"/>
  <c r="G26" i="1"/>
  <c r="C26" i="1"/>
  <c r="C25" i="1"/>
  <c r="G24" i="1"/>
  <c r="C24" i="1"/>
  <c r="G23" i="1"/>
  <c r="C23" i="1"/>
  <c r="H19" i="1"/>
  <c r="G19" i="1"/>
  <c r="F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C17" i="1"/>
  <c r="H16" i="1"/>
  <c r="G16" i="1"/>
  <c r="F16" i="1"/>
  <c r="E16" i="1"/>
  <c r="D16" i="1"/>
  <c r="C16" i="1"/>
  <c r="H15" i="1"/>
  <c r="G15" i="1"/>
  <c r="F15" i="1"/>
  <c r="E15" i="1"/>
  <c r="D15" i="1"/>
  <c r="C15" i="1"/>
  <c r="H14" i="1"/>
  <c r="G14" i="1"/>
  <c r="F14" i="1"/>
  <c r="E14" i="1"/>
  <c r="D14" i="1"/>
  <c r="C14" i="1"/>
  <c r="H13" i="1"/>
  <c r="G13" i="1"/>
  <c r="F13" i="1"/>
  <c r="E13" i="1"/>
  <c r="D13" i="1"/>
  <c r="C13" i="1"/>
  <c r="H12" i="1"/>
  <c r="G12" i="1"/>
  <c r="F12" i="1"/>
  <c r="E12" i="1"/>
  <c r="E19" i="1" s="1"/>
  <c r="D12" i="1"/>
  <c r="C12" i="1"/>
  <c r="H6" i="1"/>
  <c r="F6" i="1"/>
  <c r="D6" i="1"/>
  <c r="B6" i="1"/>
  <c r="B943" i="3" l="1"/>
  <c r="B942" i="3"/>
  <c r="B941" i="3"/>
  <c r="B940" i="3"/>
  <c r="B939" i="3"/>
  <c r="B938" i="3"/>
  <c r="B937" i="3"/>
  <c r="B936" i="3"/>
  <c r="B935" i="3"/>
  <c r="B934" i="3"/>
  <c r="B933" i="3"/>
  <c r="B932" i="3"/>
  <c r="B931" i="3"/>
  <c r="B930" i="3"/>
  <c r="B929" i="3"/>
  <c r="B928" i="3"/>
  <c r="B927" i="3"/>
  <c r="B926" i="3"/>
  <c r="B925" i="3"/>
  <c r="B924" i="3"/>
  <c r="B923" i="3"/>
  <c r="B922" i="3"/>
  <c r="B921" i="3"/>
  <c r="B920" i="3"/>
  <c r="B919" i="3"/>
  <c r="B918" i="3"/>
  <c r="B917" i="3"/>
  <c r="B916" i="3"/>
  <c r="B915" i="3"/>
  <c r="B914" i="3"/>
  <c r="B913" i="3"/>
  <c r="B912" i="3"/>
  <c r="B911" i="3"/>
  <c r="B910" i="3"/>
  <c r="B909" i="3"/>
  <c r="B908" i="3"/>
  <c r="B907" i="3"/>
  <c r="B906" i="3"/>
  <c r="B905" i="3"/>
  <c r="B904" i="3"/>
  <c r="B903" i="3"/>
  <c r="B902" i="3"/>
  <c r="B901" i="3"/>
  <c r="B900" i="3"/>
  <c r="B899" i="3"/>
  <c r="B898" i="3"/>
  <c r="B897" i="3"/>
  <c r="B896" i="3"/>
  <c r="B895" i="3"/>
  <c r="B894" i="3"/>
  <c r="B893" i="3"/>
  <c r="B892" i="3"/>
  <c r="B891" i="3"/>
  <c r="B890" i="3"/>
  <c r="B845" i="3"/>
  <c r="B843" i="3"/>
  <c r="B842" i="3"/>
  <c r="B840" i="3"/>
  <c r="B838" i="3"/>
  <c r="B836" i="3"/>
  <c r="B833" i="3"/>
  <c r="B831" i="3"/>
  <c r="B829" i="3"/>
  <c r="B827" i="3"/>
  <c r="B825" i="3"/>
  <c r="B823" i="3"/>
  <c r="B821" i="3"/>
  <c r="B819" i="3"/>
  <c r="B817" i="3"/>
  <c r="B816" i="3"/>
  <c r="B814" i="3"/>
  <c r="B812" i="3"/>
  <c r="B810" i="3"/>
  <c r="B808" i="3"/>
  <c r="B806" i="3"/>
  <c r="B805" i="3"/>
  <c r="B804" i="3"/>
  <c r="B803" i="3"/>
  <c r="B802" i="3"/>
  <c r="B801" i="3"/>
  <c r="B800" i="3"/>
  <c r="B799" i="3"/>
  <c r="B798" i="3"/>
  <c r="B797" i="3"/>
  <c r="B796" i="3"/>
  <c r="B795" i="3"/>
  <c r="B794" i="3"/>
  <c r="B793" i="3"/>
  <c r="B792" i="3"/>
  <c r="B791" i="3"/>
  <c r="B790" i="3"/>
  <c r="B789" i="3"/>
  <c r="B788" i="3"/>
  <c r="B787" i="3"/>
  <c r="B786" i="3"/>
  <c r="B785" i="3"/>
  <c r="B784" i="3"/>
  <c r="B783" i="3"/>
  <c r="B782" i="3"/>
  <c r="B889" i="3"/>
  <c r="B888" i="3"/>
  <c r="B887" i="3"/>
  <c r="B886" i="3"/>
  <c r="B885" i="3"/>
  <c r="B884" i="3"/>
  <c r="B883" i="3"/>
  <c r="B882" i="3"/>
  <c r="B881" i="3"/>
  <c r="B880" i="3"/>
  <c r="B879" i="3"/>
  <c r="B878" i="3"/>
  <c r="B877" i="3"/>
  <c r="B876" i="3"/>
  <c r="B875" i="3"/>
  <c r="B874" i="3"/>
  <c r="B873" i="3"/>
  <c r="B872" i="3"/>
  <c r="B871" i="3"/>
  <c r="B870" i="3"/>
  <c r="B869" i="3"/>
  <c r="B868" i="3"/>
  <c r="B867" i="3"/>
  <c r="B866" i="3"/>
  <c r="B865" i="3"/>
  <c r="B864" i="3"/>
  <c r="B863" i="3"/>
  <c r="B862" i="3"/>
  <c r="B861" i="3"/>
  <c r="B860" i="3"/>
  <c r="B859" i="3"/>
  <c r="B858" i="3"/>
  <c r="B857" i="3"/>
  <c r="B856" i="3"/>
  <c r="B855" i="3"/>
  <c r="B854" i="3"/>
  <c r="B853" i="3"/>
  <c r="B852" i="3"/>
  <c r="B851" i="3"/>
  <c r="B850" i="3"/>
  <c r="B849" i="3"/>
  <c r="B848" i="3"/>
  <c r="B847" i="3"/>
  <c r="B846" i="3"/>
  <c r="B844" i="3"/>
  <c r="B841" i="3"/>
  <c r="B839" i="3"/>
  <c r="B837" i="3"/>
  <c r="B834" i="3"/>
  <c r="B832" i="3"/>
  <c r="B830" i="3"/>
  <c r="B828" i="3"/>
  <c r="B826" i="3"/>
  <c r="B824" i="3"/>
  <c r="B822" i="3"/>
  <c r="B820" i="3"/>
  <c r="B818" i="3"/>
  <c r="B815" i="3"/>
  <c r="B813" i="3"/>
  <c r="B811" i="3"/>
  <c r="B809" i="3"/>
  <c r="B807" i="3"/>
  <c r="B781" i="3"/>
  <c r="B780" i="3"/>
  <c r="B779" i="3"/>
  <c r="B778" i="3"/>
  <c r="B777" i="3"/>
  <c r="B776" i="3"/>
  <c r="B775" i="3"/>
  <c r="B774" i="3"/>
  <c r="B773" i="3"/>
  <c r="B772" i="3"/>
  <c r="B771" i="3"/>
  <c r="B770" i="3"/>
  <c r="B769" i="3"/>
  <c r="B768" i="3"/>
  <c r="B767" i="3"/>
  <c r="B766" i="3"/>
  <c r="B765" i="3"/>
  <c r="B764" i="3"/>
  <c r="B763" i="3"/>
  <c r="B762" i="3"/>
  <c r="B761" i="3"/>
  <c r="B760" i="3"/>
  <c r="B759" i="3"/>
  <c r="B758" i="3"/>
  <c r="B757" i="3"/>
  <c r="B756" i="3"/>
  <c r="B755" i="3"/>
  <c r="B754" i="3"/>
  <c r="B753" i="3"/>
  <c r="B752" i="3"/>
  <c r="B751" i="3"/>
  <c r="B750" i="3"/>
  <c r="B749" i="3"/>
  <c r="B748" i="3"/>
  <c r="B747" i="3"/>
  <c r="B746" i="3"/>
  <c r="B745" i="3"/>
  <c r="B744" i="3"/>
  <c r="B743" i="3"/>
  <c r="B742" i="3"/>
  <c r="B741" i="3"/>
  <c r="B740" i="3"/>
  <c r="B739" i="3"/>
  <c r="B738" i="3"/>
  <c r="B737" i="3"/>
  <c r="B736" i="3"/>
  <c r="B735" i="3"/>
  <c r="B734" i="3"/>
  <c r="B733" i="3"/>
  <c r="B732" i="3"/>
  <c r="B731" i="3"/>
  <c r="B730" i="3"/>
  <c r="B729" i="3"/>
  <c r="B728" i="3"/>
  <c r="B467" i="3"/>
  <c r="B461" i="3"/>
  <c r="B458" i="3"/>
  <c r="B88" i="3"/>
  <c r="B81" i="3"/>
  <c r="B70" i="3"/>
  <c r="B62" i="3"/>
  <c r="B52" i="3"/>
  <c r="B44" i="3"/>
  <c r="B34" i="3"/>
  <c r="B21" i="3"/>
  <c r="B10" i="3"/>
  <c r="B727" i="3"/>
  <c r="B726" i="3"/>
  <c r="B725" i="3"/>
  <c r="B724" i="3"/>
  <c r="B723" i="3"/>
  <c r="B722" i="3"/>
  <c r="B721" i="3"/>
  <c r="B720" i="3"/>
  <c r="B719" i="3"/>
  <c r="B718" i="3"/>
  <c r="B717" i="3"/>
  <c r="B716" i="3"/>
  <c r="B715" i="3"/>
  <c r="B714" i="3"/>
  <c r="B713" i="3"/>
  <c r="B712" i="3"/>
  <c r="B711" i="3"/>
  <c r="B710" i="3"/>
  <c r="B709" i="3"/>
  <c r="B708" i="3"/>
  <c r="B707" i="3"/>
  <c r="B706" i="3"/>
  <c r="B705" i="3"/>
  <c r="B704" i="3"/>
  <c r="B703" i="3"/>
  <c r="B702" i="3"/>
  <c r="B701" i="3"/>
  <c r="B700" i="3"/>
  <c r="B699" i="3"/>
  <c r="B698" i="3"/>
  <c r="B697" i="3"/>
  <c r="B696" i="3"/>
  <c r="B695" i="3"/>
  <c r="B694" i="3"/>
  <c r="B693" i="3"/>
  <c r="B692" i="3"/>
  <c r="B691" i="3"/>
  <c r="B690" i="3"/>
  <c r="B689" i="3"/>
  <c r="B688" i="3"/>
  <c r="B687" i="3"/>
  <c r="B686" i="3"/>
  <c r="B685" i="3"/>
  <c r="B684" i="3"/>
  <c r="B683" i="3"/>
  <c r="B682" i="3"/>
  <c r="B681" i="3"/>
  <c r="B680" i="3"/>
  <c r="B679" i="3"/>
  <c r="B678" i="3"/>
  <c r="B677" i="3"/>
  <c r="B676" i="3"/>
  <c r="B675" i="3"/>
  <c r="B674" i="3"/>
  <c r="B673" i="3"/>
  <c r="B672" i="3"/>
  <c r="B671" i="3"/>
  <c r="B670" i="3"/>
  <c r="B669" i="3"/>
  <c r="B668" i="3"/>
  <c r="B667" i="3"/>
  <c r="B666" i="3"/>
  <c r="B665" i="3"/>
  <c r="B664" i="3"/>
  <c r="B663" i="3"/>
  <c r="B662" i="3"/>
  <c r="B661" i="3"/>
  <c r="B660" i="3"/>
  <c r="B659" i="3"/>
  <c r="B658" i="3"/>
  <c r="B657" i="3"/>
  <c r="B656" i="3"/>
  <c r="B655" i="3"/>
  <c r="B654" i="3"/>
  <c r="B653" i="3"/>
  <c r="B652" i="3"/>
  <c r="B651" i="3"/>
  <c r="B650" i="3"/>
  <c r="B649" i="3"/>
  <c r="B648" i="3"/>
  <c r="B647" i="3"/>
  <c r="B646" i="3"/>
  <c r="B645" i="3"/>
  <c r="B644" i="3"/>
  <c r="B643" i="3"/>
  <c r="B642" i="3"/>
  <c r="B641" i="3"/>
  <c r="B640" i="3"/>
  <c r="B639" i="3"/>
  <c r="B638" i="3"/>
  <c r="B637" i="3"/>
  <c r="B636" i="3"/>
  <c r="B635" i="3"/>
  <c r="B634" i="3"/>
  <c r="B633" i="3"/>
  <c r="B632" i="3"/>
  <c r="B631" i="3"/>
  <c r="B630" i="3"/>
  <c r="B629" i="3"/>
  <c r="B628" i="3"/>
  <c r="B627" i="3"/>
  <c r="B626" i="3"/>
  <c r="B625" i="3"/>
  <c r="B624" i="3"/>
  <c r="B623" i="3"/>
  <c r="B622" i="3"/>
  <c r="B621" i="3"/>
  <c r="B620" i="3"/>
  <c r="B558" i="3"/>
  <c r="B556" i="3"/>
  <c r="B554" i="3"/>
  <c r="B552" i="3"/>
  <c r="B550" i="3"/>
  <c r="B548" i="3"/>
  <c r="B545" i="3"/>
  <c r="B543" i="3"/>
  <c r="B541" i="3"/>
  <c r="B539" i="3"/>
  <c r="B537" i="3"/>
  <c r="B535" i="3"/>
  <c r="B533" i="3"/>
  <c r="B531" i="3"/>
  <c r="B529" i="3"/>
  <c r="B527" i="3"/>
  <c r="B525" i="3"/>
  <c r="B523" i="3"/>
  <c r="B521" i="3"/>
  <c r="B520" i="3"/>
  <c r="B518" i="3"/>
  <c r="B516" i="3"/>
  <c r="B515" i="3"/>
  <c r="B512" i="3"/>
  <c r="B510" i="3"/>
  <c r="B508" i="3"/>
  <c r="B507" i="3"/>
  <c r="B506" i="3"/>
  <c r="B505" i="3"/>
  <c r="B504" i="3"/>
  <c r="B502" i="3"/>
  <c r="B500" i="3"/>
  <c r="B498" i="3"/>
  <c r="B496" i="3"/>
  <c r="B494" i="3"/>
  <c r="B491" i="3"/>
  <c r="B489" i="3"/>
  <c r="B487" i="3"/>
  <c r="B485" i="3"/>
  <c r="B483" i="3"/>
  <c r="B480" i="3"/>
  <c r="B478" i="3"/>
  <c r="B476" i="3"/>
  <c r="B474" i="3"/>
  <c r="B472" i="3"/>
  <c r="B470" i="3"/>
  <c r="B468" i="3"/>
  <c r="B465" i="3"/>
  <c r="B462" i="3"/>
  <c r="B459" i="3"/>
  <c r="B96" i="3"/>
  <c r="B92" i="3"/>
  <c r="B85" i="3"/>
  <c r="B79" i="3"/>
  <c r="B72" i="3"/>
  <c r="B67" i="3"/>
  <c r="B61" i="3"/>
  <c r="B53" i="3"/>
  <c r="B47" i="3"/>
  <c r="B41" i="3"/>
  <c r="B36" i="3"/>
  <c r="B30" i="3"/>
  <c r="B25" i="3"/>
  <c r="B6" i="3"/>
  <c r="B619" i="3"/>
  <c r="B618" i="3"/>
  <c r="B617" i="3"/>
  <c r="B616" i="3"/>
  <c r="B615" i="3"/>
  <c r="B614" i="3"/>
  <c r="B613" i="3"/>
  <c r="B612" i="3"/>
  <c r="B611" i="3"/>
  <c r="B610" i="3"/>
  <c r="B609" i="3"/>
  <c r="B608" i="3"/>
  <c r="B607" i="3"/>
  <c r="B606" i="3"/>
  <c r="B605" i="3"/>
  <c r="B604" i="3"/>
  <c r="B603" i="3"/>
  <c r="B602" i="3"/>
  <c r="B601" i="3"/>
  <c r="B600" i="3"/>
  <c r="B599" i="3"/>
  <c r="B598" i="3"/>
  <c r="B597" i="3"/>
  <c r="B596" i="3"/>
  <c r="B595" i="3"/>
  <c r="B594" i="3"/>
  <c r="B593" i="3"/>
  <c r="B592" i="3"/>
  <c r="B591" i="3"/>
  <c r="B590" i="3"/>
  <c r="B589" i="3"/>
  <c r="B588" i="3"/>
  <c r="B587" i="3"/>
  <c r="B586" i="3"/>
  <c r="B585" i="3"/>
  <c r="B584" i="3"/>
  <c r="B583" i="3"/>
  <c r="B582" i="3"/>
  <c r="B581" i="3"/>
  <c r="B580" i="3"/>
  <c r="B579" i="3"/>
  <c r="B578" i="3"/>
  <c r="B577" i="3"/>
  <c r="B576" i="3"/>
  <c r="B575" i="3"/>
  <c r="B574" i="3"/>
  <c r="B573" i="3"/>
  <c r="B572" i="3"/>
  <c r="B571" i="3"/>
  <c r="B570" i="3"/>
  <c r="B569" i="3"/>
  <c r="B568" i="3"/>
  <c r="B567" i="3"/>
  <c r="B566" i="3"/>
  <c r="B565" i="3"/>
  <c r="B564" i="3"/>
  <c r="B563" i="3"/>
  <c r="B562" i="3"/>
  <c r="B561" i="3"/>
  <c r="B560" i="3"/>
  <c r="B559" i="3"/>
  <c r="B557" i="3"/>
  <c r="B555" i="3"/>
  <c r="B553" i="3"/>
  <c r="B551" i="3"/>
  <c r="B549" i="3"/>
  <c r="B547" i="3"/>
  <c r="B546" i="3"/>
  <c r="B544" i="3"/>
  <c r="B542" i="3"/>
  <c r="B540" i="3"/>
  <c r="B538" i="3"/>
  <c r="B536" i="3"/>
  <c r="B534" i="3"/>
  <c r="B532" i="3"/>
  <c r="B530" i="3"/>
  <c r="B528" i="3"/>
  <c r="B526" i="3"/>
  <c r="B524" i="3"/>
  <c r="B522" i="3"/>
  <c r="B519" i="3"/>
  <c r="B517" i="3"/>
  <c r="B514" i="3"/>
  <c r="B513" i="3"/>
  <c r="B511" i="3"/>
  <c r="B509" i="3"/>
  <c r="B503" i="3"/>
  <c r="B501" i="3"/>
  <c r="B499" i="3"/>
  <c r="B497" i="3"/>
  <c r="B495" i="3"/>
  <c r="B493" i="3"/>
  <c r="B492" i="3"/>
  <c r="B490" i="3"/>
  <c r="B488" i="3"/>
  <c r="B486" i="3"/>
  <c r="B484" i="3"/>
  <c r="B482" i="3"/>
  <c r="B481" i="3"/>
  <c r="B479" i="3"/>
  <c r="B477" i="3"/>
  <c r="B475" i="3"/>
  <c r="B473" i="3"/>
  <c r="B471" i="3"/>
  <c r="B469" i="3"/>
  <c r="B466" i="3"/>
  <c r="B464" i="3"/>
  <c r="B463" i="3"/>
  <c r="B460" i="3"/>
  <c r="B95" i="3"/>
  <c r="B91" i="3"/>
  <c r="B84" i="3"/>
  <c r="B78" i="3"/>
  <c r="B73" i="3"/>
  <c r="B66" i="3"/>
  <c r="B59" i="3"/>
  <c r="B54" i="3"/>
  <c r="B48" i="3"/>
  <c r="B39" i="3"/>
  <c r="B35" i="3"/>
  <c r="B29" i="3"/>
  <c r="B23" i="3"/>
  <c r="B19" i="3"/>
  <c r="B16" i="3"/>
  <c r="B13" i="3"/>
  <c r="B8" i="3"/>
  <c r="B457" i="3"/>
  <c r="B456" i="3"/>
  <c r="B455" i="3"/>
  <c r="B454" i="3"/>
  <c r="B453" i="3"/>
  <c r="B452" i="3"/>
  <c r="B451" i="3"/>
  <c r="B450" i="3"/>
  <c r="B449" i="3"/>
  <c r="B448" i="3"/>
  <c r="B447" i="3"/>
  <c r="B446" i="3"/>
  <c r="B445" i="3"/>
  <c r="B444" i="3"/>
  <c r="B443" i="3"/>
  <c r="B442" i="3"/>
  <c r="B441" i="3"/>
  <c r="B440" i="3"/>
  <c r="B439" i="3"/>
  <c r="B438" i="3"/>
  <c r="B437" i="3"/>
  <c r="B436" i="3"/>
  <c r="B435" i="3"/>
  <c r="B434" i="3"/>
  <c r="B433" i="3"/>
  <c r="B432" i="3"/>
  <c r="B431" i="3"/>
  <c r="B430" i="3"/>
  <c r="B429" i="3"/>
  <c r="B428" i="3"/>
  <c r="B427" i="3"/>
  <c r="B426" i="3"/>
  <c r="B425" i="3"/>
  <c r="B424" i="3"/>
  <c r="B423" i="3"/>
  <c r="B422" i="3"/>
  <c r="B421" i="3"/>
  <c r="B420" i="3"/>
  <c r="B419" i="3"/>
  <c r="B418" i="3"/>
  <c r="B417" i="3"/>
  <c r="B416" i="3"/>
  <c r="B415" i="3"/>
  <c r="B414" i="3"/>
  <c r="B413" i="3"/>
  <c r="B412" i="3"/>
  <c r="B411" i="3"/>
  <c r="B410" i="3"/>
  <c r="B409" i="3"/>
  <c r="B408" i="3"/>
  <c r="B407" i="3"/>
  <c r="B406" i="3"/>
  <c r="B405" i="3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2" i="3"/>
  <c r="B301" i="3"/>
  <c r="B299" i="3"/>
  <c r="B298" i="3"/>
  <c r="B296" i="3"/>
  <c r="B294" i="3"/>
  <c r="B292" i="3"/>
  <c r="B290" i="3"/>
  <c r="B288" i="3"/>
  <c r="B286" i="3"/>
  <c r="B284" i="3"/>
  <c r="B282" i="3"/>
  <c r="B280" i="3"/>
  <c r="B278" i="3"/>
  <c r="B276" i="3"/>
  <c r="B274" i="3"/>
  <c r="B272" i="3"/>
  <c r="B270" i="3"/>
  <c r="B265" i="3"/>
  <c r="B263" i="3"/>
  <c r="B261" i="3"/>
  <c r="B259" i="3"/>
  <c r="B257" i="3"/>
  <c r="B255" i="3"/>
  <c r="B253" i="3"/>
  <c r="B251" i="3"/>
  <c r="B249" i="3"/>
  <c r="B247" i="3"/>
  <c r="B245" i="3"/>
  <c r="B243" i="3"/>
  <c r="B241" i="3"/>
  <c r="B239" i="3"/>
  <c r="B237" i="3"/>
  <c r="B235" i="3"/>
  <c r="B233" i="3"/>
  <c r="B231" i="3"/>
  <c r="B230" i="3"/>
  <c r="B228" i="3"/>
  <c r="B226" i="3"/>
  <c r="B224" i="3"/>
  <c r="B222" i="3"/>
  <c r="B220" i="3"/>
  <c r="B218" i="3"/>
  <c r="B216" i="3"/>
  <c r="B214" i="3"/>
  <c r="B212" i="3"/>
  <c r="B210" i="3"/>
  <c r="B208" i="3"/>
  <c r="B206" i="3"/>
  <c r="B204" i="3"/>
  <c r="B202" i="3"/>
  <c r="B200" i="3"/>
  <c r="B198" i="3"/>
  <c r="B196" i="3"/>
  <c r="B194" i="3"/>
  <c r="B192" i="3"/>
  <c r="B190" i="3"/>
  <c r="B188" i="3"/>
  <c r="B186" i="3"/>
  <c r="B185" i="3"/>
  <c r="B182" i="3"/>
  <c r="B181" i="3"/>
  <c r="B179" i="3"/>
  <c r="B177" i="3"/>
  <c r="B175" i="3"/>
  <c r="B173" i="3"/>
  <c r="B171" i="3"/>
  <c r="B169" i="3"/>
  <c r="B167" i="3"/>
  <c r="B165" i="3"/>
  <c r="B163" i="3"/>
  <c r="B161" i="3"/>
  <c r="B159" i="3"/>
  <c r="B157" i="3"/>
  <c r="B155" i="3"/>
  <c r="B153" i="3"/>
  <c r="B151" i="3"/>
  <c r="B149" i="3"/>
  <c r="B147" i="3"/>
  <c r="B145" i="3"/>
  <c r="B143" i="3"/>
  <c r="B141" i="3"/>
  <c r="B139" i="3"/>
  <c r="B137" i="3"/>
  <c r="B135" i="3"/>
  <c r="B133" i="3"/>
  <c r="B131" i="3"/>
  <c r="B130" i="3"/>
  <c r="B129" i="3"/>
  <c r="B127" i="3"/>
  <c r="B125" i="3"/>
  <c r="B123" i="3"/>
  <c r="B121" i="3"/>
  <c r="B119" i="3"/>
  <c r="B117" i="3"/>
  <c r="B115" i="3"/>
  <c r="B113" i="3"/>
  <c r="B111" i="3"/>
  <c r="B109" i="3"/>
  <c r="B107" i="3"/>
  <c r="B105" i="3"/>
  <c r="B103" i="3"/>
  <c r="B102" i="3"/>
  <c r="B100" i="3"/>
  <c r="B98" i="3"/>
  <c r="B94" i="3"/>
  <c r="B90" i="3"/>
  <c r="B86" i="3"/>
  <c r="B82" i="3"/>
  <c r="B77" i="3"/>
  <c r="B75" i="3"/>
  <c r="B69" i="3"/>
  <c r="B65" i="3"/>
  <c r="B60" i="3"/>
  <c r="B56" i="3"/>
  <c r="B51" i="3"/>
  <c r="B46" i="3"/>
  <c r="B42" i="3"/>
  <c r="B38" i="3"/>
  <c r="B33" i="3"/>
  <c r="B28" i="3"/>
  <c r="B26" i="3"/>
  <c r="B22" i="3"/>
  <c r="B17" i="3"/>
  <c r="B14" i="3"/>
  <c r="B12" i="3"/>
  <c r="B9" i="3"/>
  <c r="B325" i="3"/>
  <c r="B303" i="3"/>
  <c r="B300" i="3"/>
  <c r="B297" i="3"/>
  <c r="B295" i="3"/>
  <c r="B293" i="3"/>
  <c r="B291" i="3"/>
  <c r="B289" i="3"/>
  <c r="B287" i="3"/>
  <c r="B285" i="3"/>
  <c r="B283" i="3"/>
  <c r="B281" i="3"/>
  <c r="B279" i="3"/>
  <c r="B277" i="3"/>
  <c r="B275" i="3"/>
  <c r="B273" i="3"/>
  <c r="B271" i="3"/>
  <c r="B269" i="3"/>
  <c r="B268" i="3"/>
  <c r="B267" i="3"/>
  <c r="B266" i="3"/>
  <c r="B264" i="3"/>
  <c r="B262" i="3"/>
  <c r="B260" i="3"/>
  <c r="B258" i="3"/>
  <c r="B256" i="3"/>
  <c r="B254" i="3"/>
  <c r="B252" i="3"/>
  <c r="B250" i="3"/>
  <c r="B248" i="3"/>
  <c r="B246" i="3"/>
  <c r="B244" i="3"/>
  <c r="B242" i="3"/>
  <c r="B240" i="3"/>
  <c r="B238" i="3"/>
  <c r="B236" i="3"/>
  <c r="B234" i="3"/>
  <c r="B232" i="3"/>
  <c r="B229" i="3"/>
  <c r="B227" i="3"/>
  <c r="B225" i="3"/>
  <c r="B223" i="3"/>
  <c r="B221" i="3"/>
  <c r="B219" i="3"/>
  <c r="B217" i="3"/>
  <c r="B215" i="3"/>
  <c r="B213" i="3"/>
  <c r="B211" i="3"/>
  <c r="B209" i="3"/>
  <c r="B207" i="3"/>
  <c r="B205" i="3"/>
  <c r="B203" i="3"/>
  <c r="B201" i="3"/>
  <c r="B199" i="3"/>
  <c r="B197" i="3"/>
  <c r="B195" i="3"/>
  <c r="B193" i="3"/>
  <c r="B191" i="3"/>
  <c r="B189" i="3"/>
  <c r="B187" i="3"/>
  <c r="B184" i="3"/>
  <c r="B183" i="3"/>
  <c r="B180" i="3"/>
  <c r="B178" i="3"/>
  <c r="B176" i="3"/>
  <c r="B174" i="3"/>
  <c r="B172" i="3"/>
  <c r="B170" i="3"/>
  <c r="B168" i="3"/>
  <c r="B166" i="3"/>
  <c r="B164" i="3"/>
  <c r="B162" i="3"/>
  <c r="B160" i="3"/>
  <c r="B158" i="3"/>
  <c r="B156" i="3"/>
  <c r="B154" i="3"/>
  <c r="B152" i="3"/>
  <c r="B150" i="3"/>
  <c r="B148" i="3"/>
  <c r="B146" i="3"/>
  <c r="B144" i="3"/>
  <c r="B142" i="3"/>
  <c r="B140" i="3"/>
  <c r="B138" i="3"/>
  <c r="B136" i="3"/>
  <c r="B134" i="3"/>
  <c r="B128" i="3"/>
  <c r="B126" i="3"/>
  <c r="B124" i="3"/>
  <c r="B122" i="3"/>
  <c r="B120" i="3"/>
  <c r="B118" i="3"/>
  <c r="B116" i="3"/>
  <c r="B114" i="3"/>
  <c r="B112" i="3"/>
  <c r="B110" i="3"/>
  <c r="B108" i="3"/>
  <c r="B106" i="3"/>
  <c r="B104" i="3"/>
  <c r="B101" i="3"/>
  <c r="B99" i="3"/>
  <c r="B97" i="3"/>
  <c r="B93" i="3"/>
  <c r="B89" i="3"/>
  <c r="B83" i="3"/>
  <c r="B80" i="3"/>
  <c r="B76" i="3"/>
  <c r="B71" i="3"/>
  <c r="B68" i="3"/>
  <c r="B63" i="3"/>
  <c r="B58" i="3"/>
  <c r="B55" i="3"/>
  <c r="B50" i="3"/>
  <c r="B45" i="3"/>
  <c r="B40" i="3"/>
  <c r="B37" i="3"/>
  <c r="B32" i="3"/>
  <c r="B27" i="3"/>
  <c r="B20" i="3"/>
  <c r="B18" i="3"/>
  <c r="B15" i="3"/>
  <c r="B11" i="3"/>
  <c r="B7" i="3"/>
  <c r="B132" i="3"/>
  <c r="B87" i="3"/>
  <c r="B74" i="3"/>
  <c r="B64" i="3"/>
  <c r="B57" i="3"/>
  <c r="B49" i="3"/>
  <c r="B43" i="3"/>
  <c r="B31" i="3"/>
  <c r="B24" i="3"/>
  <c r="B5" i="3"/>
</calcChain>
</file>

<file path=xl/sharedStrings.xml><?xml version="1.0" encoding="utf-8"?>
<sst xmlns="http://schemas.openxmlformats.org/spreadsheetml/2006/main" count="14279" uniqueCount="929">
  <si>
    <t>SBMM OU1 — XRF Field Campaign Dashboard</t>
  </si>
  <si>
    <t>Tasks 2.1.6 &amp; 2.1.7 — Surface XRF + Boulder Crushing + Depth/Heterogeneity + Powder | Status: COMPLETE</t>
  </si>
  <si>
    <t>TOTAL BOULDERS</t>
  </si>
  <si>
    <t>XRF READINGS</t>
  </si>
  <si>
    <t>POWDER SAMPLES</t>
  </si>
  <si>
    <t>VERIFICATION PASS</t>
  </si>
  <si>
    <t>Boulders &amp; XRF by Area</t>
  </si>
  <si>
    <t>Area</t>
  </si>
  <si>
    <t>Boulders</t>
  </si>
  <si>
    <t>XRF Rdgs</t>
  </si>
  <si>
    <t>Powders</t>
  </si>
  <si>
    <t>Avg Hg (ppm)</t>
  </si>
  <si>
    <t>Avg As (ppm)</t>
  </si>
  <si>
    <t>Avg Sb (ppm)</t>
  </si>
  <si>
    <t>SWRP</t>
  </si>
  <si>
    <t>NWRP</t>
  </si>
  <si>
    <t>NWWRP</t>
  </si>
  <si>
    <t>NWP</t>
  </si>
  <si>
    <t>WRD</t>
  </si>
  <si>
    <t>WWRP</t>
  </si>
  <si>
    <t>DRA</t>
  </si>
  <si>
    <t>Site-wide AVG</t>
  </si>
  <si>
    <t>Depth XRF (Heterogeneity) Profile</t>
  </si>
  <si>
    <t>Powder XRF Summary</t>
  </si>
  <si>
    <t>Boulders Profiled</t>
  </si>
  <si>
    <t>Parent Powders</t>
  </si>
  <si>
    <t>of</t>
  </si>
  <si>
    <t>Total Depth Readings</t>
  </si>
  <si>
    <t>Field Duplicates</t>
  </si>
  <si>
    <t>WRD Shoreline Boulders</t>
  </si>
  <si>
    <t>MS/MSD Pairs</t>
  </si>
  <si>
    <t>Primary 14 (depth)</t>
  </si>
  <si>
    <t>Equipment Blanks</t>
  </si>
  <si>
    <t>Daily Verification (IARM 35NN)</t>
  </si>
  <si>
    <t>Notable Findings</t>
  </si>
  <si>
    <t>Total Verifications</t>
  </si>
  <si>
    <t>•</t>
  </si>
  <si>
    <t>Highest avg Hg: WWRP area (262.4 ppm)</t>
  </si>
  <si>
    <t>Passes</t>
  </si>
  <si>
    <t>Highest avg Sb: DRA area (73.4 ppm)</t>
  </si>
  <si>
    <t>Failures</t>
  </si>
  <si>
    <t>Highest avg As: WWRP area (43.2 ppm)</t>
  </si>
  <si>
    <t>Pass Rate</t>
  </si>
  <si>
    <t>Hottest single boulder: WWRP-G02-B2 (Hg max 23,796 ppm)</t>
  </si>
  <si>
    <t>Campaign Milestones</t>
  </si>
  <si>
    <t>Event</t>
  </si>
  <si>
    <t>Date(s)</t>
  </si>
  <si>
    <t>Notes</t>
  </si>
  <si>
    <t>Surface XRF Campaign Start</t>
  </si>
  <si>
    <t>4/2/2026</t>
  </si>
  <si>
    <t>SWRP first day</t>
  </si>
  <si>
    <t>Surface XRF Complete</t>
  </si>
  <si>
    <t>5/1/2026</t>
  </si>
  <si>
    <t>NWWRP G11/G12/G13 + NWP G13 wrapped surface</t>
  </si>
  <si>
    <t>Depth XRF Start</t>
  </si>
  <si>
    <t>5/4/2026</t>
  </si>
  <si>
    <t>NWP-G13 proof-of-concept profile</t>
  </si>
  <si>
    <t>ERRG Crushing Start</t>
  </si>
  <si>
    <t>NWP-G13 cut as test</t>
  </si>
  <si>
    <t>ERRG Crushing Complete</t>
  </si>
  <si>
    <t>5/7/2026</t>
  </si>
  <si>
    <t>14/14 primary cracked (NWP-G12 swapped in for WWRP-G15)</t>
  </si>
  <si>
    <t>WRD Shoreline Depth XRF</t>
  </si>
  <si>
    <t>5/7 – 5/8/2026</t>
  </si>
  <si>
    <t>21 shoreline boulders profiled (off primary 14)</t>
  </si>
  <si>
    <t>Final Powder Collection</t>
  </si>
  <si>
    <t>5/8/2026</t>
  </si>
  <si>
    <t>DRA-G01, DRA-G10, SWRP-G08 (Mo)</t>
  </si>
  <si>
    <t>Powder XRF Complete</t>
  </si>
  <si>
    <t>All 14 primary parents — X500456 Mining mode</t>
  </si>
  <si>
    <t>Campaign End</t>
  </si>
  <si>
    <t>Day 24 — XRF data collection complete</t>
  </si>
  <si>
    <t>Tracker generated by Jacobs SBMM team — see Sample Tracker for full detail</t>
  </si>
  <si>
    <t>SBMM OU1 — XRF Boulder Sample Tracker</t>
  </si>
  <si>
    <t>Tasks 2.1.6 &amp; 2.1.7 — Surface XRF &amp; Powder Collection | Updated Daily | MASTER SHEET — other tabs auto-populate from here</t>
  </si>
  <si>
    <t>ID</t>
  </si>
  <si>
    <t>Location</t>
  </si>
  <si>
    <t>GPS</t>
  </si>
  <si>
    <t>Boulder Info</t>
  </si>
  <si>
    <t>XRF Data</t>
  </si>
  <si>
    <t>Powder / Lab</t>
  </si>
  <si>
    <t>Documentation</t>
  </si>
  <si>
    <t>Date</t>
  </si>
  <si>
    <t>Area
Code</t>
  </si>
  <si>
    <t>Grid
#</t>
  </si>
  <si>
    <t>Boulder
#</t>
  </si>
  <si>
    <t>Sample ID</t>
  </si>
  <si>
    <t>Northing</t>
  </si>
  <si>
    <t>Easting</t>
  </si>
  <si>
    <t>Elev
(ft)</t>
  </si>
  <si>
    <t>Type
(H/F)</t>
  </si>
  <si>
    <t>Rind?
(Y/N)</t>
  </si>
  <si>
    <t>Rind
Thick (in)</t>
  </si>
  <si>
    <t>Surface Rdg
# Start</t>
  </si>
  <si>
    <t>Surface Rdg
# End</t>
  </si>
  <si>
    <t>Powder Rdg
# Start</t>
  </si>
  <si>
    <t>Powder Rdg
# End</t>
  </si>
  <si>
    <t># of
Rdgs</t>
  </si>
  <si>
    <t>Avg Hg
(ppm)</t>
  </si>
  <si>
    <t>Avg As
(ppm)</t>
  </si>
  <si>
    <t>Powder
(Y/N)</t>
  </si>
  <si>
    <t>Powder
Sample ID</t>
  </si>
  <si>
    <t>Lab
Sample #</t>
  </si>
  <si>
    <t>NCD
Filename</t>
  </si>
  <si>
    <t>Photo
Count</t>
  </si>
  <si>
    <t>Avg Sb
(ppm)</t>
  </si>
  <si>
    <t>B1</t>
  </si>
  <si>
    <t>H</t>
  </si>
  <si>
    <t>Y</t>
  </si>
  <si>
    <t>SBM-SWRP-G12-HB-PR</t>
  </si>
  <si>
    <t>SBM-SWRP-G12.ncd</t>
  </si>
  <si>
    <t>Hard andesite; MS+MSD collected</t>
  </si>
  <si>
    <t>B2</t>
  </si>
  <si>
    <t>F</t>
  </si>
  <si>
    <t>SBM-SWRP-G12-FB-PR</t>
  </si>
  <si>
    <t>Friable; Hg hot spot Spot 3 (164-178 ppm)</t>
  </si>
  <si>
    <t>SBM-SWRP-G14-HB-PR</t>
  </si>
  <si>
    <t>SBM-SWRP-G14 &amp; G15.ncd</t>
  </si>
  <si>
    <t>Hard; MS+MSD collected</t>
  </si>
  <si>
    <t>SBM-SWRP-G14-FB-PR</t>
  </si>
  <si>
    <t>Friable; only boulder w/ As detection</t>
  </si>
  <si>
    <t>SBM-SWRP-G15-HB-PR</t>
  </si>
  <si>
    <t>Hard; aborted rdg 86-87 (excluded)</t>
  </si>
  <si>
    <t>SBM-SWRP-G15-FB-PR</t>
  </si>
  <si>
    <t>Friable; Hg hot spot Spot 4 (~80 ppm); FD collected</t>
  </si>
  <si>
    <t>N</t>
  </si>
  <si>
    <t>SBM-SWRP-G10-G13+WWRP-G07_20260406.ncd</t>
  </si>
  <si>
    <t>Hard; Hg+As all &lt;LOD</t>
  </si>
  <si>
    <t>Friable; Rdg 157 dup + 158 abort excluded; As avg 25</t>
  </si>
  <si>
    <t>Hard; HIGH As avg 354 ppm</t>
  </si>
  <si>
    <t>Friable; As &lt;LOD; no GPS from XRF</t>
  </si>
  <si>
    <t>Hard only; Rdg 192 trigger mishap excluded; Rdg 205 listed as P on form</t>
  </si>
  <si>
    <t>SBM-SWRP-G04-G10-G11_20260407.ncd</t>
  </si>
  <si>
    <t>Friable andesite</t>
  </si>
  <si>
    <t>Friable; Rdg 246 kept (94.1s, near complete)</t>
  </si>
  <si>
    <t>Hard andesite; Rdg 262 trigger mishap removed</t>
  </si>
  <si>
    <t>Hard; GPS from Rdg 277 (266 missing GPS)</t>
  </si>
  <si>
    <t>Friable; Rdg 295 trigger mishap removed; XRF clock out of sync</t>
  </si>
  <si>
    <t>SBM-WWRP-G09-G13-G14-G15_20260408.ncd</t>
  </si>
  <si>
    <t>Hard; Rdg 318 trigger mishap removed; only 1 boulder located in grid</t>
  </si>
  <si>
    <t>Friable; highest Hg avg in campaign</t>
  </si>
  <si>
    <t>Hard; Rdg 343 (1.8s) and 353 (60.1s) removed</t>
  </si>
  <si>
    <t>Hard; rain break after Rdg 357, resumed at 374; Rdg 358 discarded, 384+385 trigger mishaps removed; only 1 boulder located</t>
  </si>
  <si>
    <t>Hard; sampled during G9 rain break; Nolen Brown assisted; only 1 boulder located</t>
  </si>
  <si>
    <t>SBM-SWRP-G01-G05-G07_20260409.ncd</t>
  </si>
  <si>
    <t>5x3 protocol; Spot 1 elevated Hg (72-154 ppm); radius 1.0 ft</t>
  </si>
  <si>
    <t>5x2 protocol; radius 2.0 ft</t>
  </si>
  <si>
    <t>5x2 protocol; all readings &lt;LOD; radius 1.0 ft</t>
  </si>
  <si>
    <t>5x3 protocol; Rdg 449 sulphur rock, 451+452 mishaps, 461 no contact; 1 boulder located; radius 2.0 ft</t>
  </si>
  <si>
    <t>SBM-SWRP_G9_G2_G8+WWRP_G3_G6.ncd</t>
  </si>
  <si>
    <t>5x2 protocol; 1 boulder located; operator: Michelle Gill</t>
  </si>
  <si>
    <t>Mixed 5x2/5x3; Rdg 512+516+518 mishaps; 1 boulder located; operator: Michelle Gill</t>
  </si>
  <si>
    <t>Mixed 5x2/5x3; highest Hg in campaign (528.73 ppm spot max); operator: Michelle Gill</t>
  </si>
  <si>
    <t>Mixed 5x3/5x2; operator: Michelle Gill</t>
  </si>
  <si>
    <t>Mixed 5x2/5x3; Rdg 546 pre-range mishap, 551 discarded; TP58 test pit boulders; GPS from B2</t>
  </si>
  <si>
    <t>5x2 protocol; TP58 test pit boulders</t>
  </si>
  <si>
    <t>5x2 protocol; 1 boulder located</t>
  </si>
  <si>
    <t>SBM-WWRP-G4-G6-G2-G5_WRD-G15.ncd</t>
  </si>
  <si>
    <t>5x2 protocol</t>
  </si>
  <si>
    <t>Mixed 5x2/5x3; labeled HB-02 on form; elevated As</t>
  </si>
  <si>
    <t>Mixed 5x2/5x3; highest Hg in campaign (spot 5: 6,970/9,540/23,796 ppm); heterogeneous red-spotted chalk-like rock, acid-drained</t>
  </si>
  <si>
    <t>Mixed 5x2/5x3; Rdg 623 Fe=0 flagged</t>
  </si>
  <si>
    <t>B3</t>
  </si>
  <si>
    <t>Mixed 5x2/5x3; labeled HB-03 on form</t>
  </si>
  <si>
    <t>5x2 protocol; Rdg 645 Fe=0 flagged</t>
  </si>
  <si>
    <t>Mixed; Rdg 655+662+665 discarded (mishaps); Rdg 664 Fe=0 flagged</t>
  </si>
  <si>
    <t>SBM-WRD-G14-G13-G11-G10.ncd</t>
  </si>
  <si>
    <t>Rdg 730 discarded (Fe&lt;LOD)</t>
  </si>
  <si>
    <t>SBM-WRD-G6-G7-G8-G9-G10-G12.ncd</t>
  </si>
  <si>
    <t>Rdg 748 trigger (33s); Rdg 746 discarded (Fe&lt;LOD)</t>
  </si>
  <si>
    <t>Rdg 777 Fe&lt;LOD flagged</t>
  </si>
  <si>
    <t>Rdg 807 trigger (85s)</t>
  </si>
  <si>
    <t>Rdg 829 trigger (88s); Rdg 834 discarded (Fe&lt;LOD)</t>
  </si>
  <si>
    <t>Rdg 840 trigger (81s)</t>
  </si>
  <si>
    <t>SBM-WRD-G2-G3-G4-G5-G6.ncd</t>
  </si>
  <si>
    <t>Rdg 883 trigger (87s)</t>
  </si>
  <si>
    <t>Rdg 908 trigger (54s); Rdg 909 trigger (2s)</t>
  </si>
  <si>
    <t>Rdg 942 trigger (84s)</t>
  </si>
  <si>
    <t>Rdg 952 discarded (Fe&lt;LOD; retake at Rdg 955)</t>
  </si>
  <si>
    <t>SBM-WRD-G1_DRA-G1-G2-G5.ncd</t>
  </si>
  <si>
    <t>Rdg 984 discarded (Fe&lt;LOD; retake at Rdg 985)</t>
  </si>
  <si>
    <t>Spot 3 hotspot: Rdg 993 Hg 745 ppm, Rdg 994 Hg 383 ppm, retake Rdg 996 clean</t>
  </si>
  <si>
    <t>Rdg 1027 discarded (Fe&lt;LOD; retake at Rdg 1028); Rdg 1031 Hg 313 ppm spot-5 spike</t>
  </si>
  <si>
    <t>SBM-DRA-G5-G10_NWRP-G10-G14.ncd</t>
  </si>
  <si>
    <t>Spot 4 had 3 rdgs; Rdg 1042 kept and flagged (Fe&lt;LOD)</t>
  </si>
  <si>
    <t>Spots 2 &amp; 5 had 3 rdgs each; Rdg 1059 kept and flagged (Fe&lt;LOD); Rdg 1061 discarded (Fe&lt;LOD, retake at 1062)</t>
  </si>
  <si>
    <t>Spot 1 had 3 rdgs</t>
  </si>
  <si>
    <t>SBM-NWRP-G14-G12-G9-G4-G13-G3_X501203.ncd</t>
  </si>
  <si>
    <t>Rdg 1129 discarded (Fe&lt;LOD)</t>
  </si>
  <si>
    <t>Rdg 1146 discarded (Fe&lt;LOD, 92s)</t>
  </si>
  <si>
    <t>Rdg 1159 discarded (Fe&lt;LOD)</t>
  </si>
  <si>
    <t>Rdg 1175 discarded (30s short, retake at 1176)</t>
  </si>
  <si>
    <t>Rdg 1183 discarded (45s short); GPS lat field-form typo (39.000805 → corrected to 39.006805)</t>
  </si>
  <si>
    <t>Rdg 1200 discarded (8s short)</t>
  </si>
  <si>
    <t>Rdg 1208 Fe&lt;LOD kept and flagged; GPS lat field-form typo (39.000743 → corrected to 39.006743)</t>
  </si>
  <si>
    <t>G3 HB-B1 not yet sampled</t>
  </si>
  <si>
    <t>SBM-DRA-G7-G3_X500456.ncd</t>
  </si>
  <si>
    <t>Rdgs 16, 18 Fe&lt;LOD kept and flagged; Elev estimated from nearby DRA boulders (Gun 2 X500456 has no GPS capture)</t>
  </si>
  <si>
    <t>Rdg 31 Fe~29 (effectively &lt;LOD) kept and flagged; spot 5 has 3 readings; Elev estimated from nearby DRA boulders (Gun 2 X500456 has no GPS capture)</t>
  </si>
  <si>
    <t>Spot 5 has 4 readings; Elev estimated from nearby DRA boulders (Gun 2 X500456 has no GPS capture)</t>
  </si>
  <si>
    <t>Spot 2 has 3 readings, spot 5 has 3 readings; GPS lon estimate (form unclear); Elev estimated from nearby DRA boulders (Gun 2 X500456 has no GPS capture)</t>
  </si>
  <si>
    <t>SBM-DRA-G6-G8_X501203.ncd</t>
  </si>
  <si>
    <t>Rdgs 1228, 1230, 1232, 1235 discarded (short on time). Dark grey andesite, small vesicles.</t>
  </si>
  <si>
    <t>Rdg 1245 discarded (short). Light-med grey andesite, small-med vesicles, NOA noted on surface, white and friable.</t>
  </si>
  <si>
    <t>Dark grey-black volcanic with white mineral inclusions. No vesicles.</t>
  </si>
  <si>
    <t>Rind chip soft chalky. Rdgs 1268, 1269 Fe&lt;LOD kept and flagged. Rind is also pink/orange and rusty.</t>
  </si>
  <si>
    <t>SBM-DRA-G14-G13-G12-G9_X500456.ncd</t>
  </si>
  <si>
    <t>Rdgs 66, 70 discarded (short).</t>
  </si>
  <si>
    <t>Rdg 91 discarded. Note: previous sample IDs in this area referenced as SBM-WRP — WRP=DRA.</t>
  </si>
  <si>
    <t>HOT BOULDER: Avg Hg ~74 ppm, Avg As ~223 ppm. Spot 5 (1106-1107) Hg 355-372 ppm. Spot 3 (1101-1103) As 441-554 ppm.</t>
  </si>
  <si>
    <t>Rdg 111 Fe near LOD (~40 ppm); kept and flagged.</t>
  </si>
  <si>
    <t>Rdg 119 discarded (0.33s).</t>
  </si>
  <si>
    <t>Gray andesite, small fresh vesicles. Rind is pink/orange, thick mass.</t>
  </si>
  <si>
    <t>SBM-NWP-G1-G2-G5_X501203.ncd</t>
  </si>
  <si>
    <t>Rdgs 1317, 1320 Fe&lt;LOD kept and flagged.</t>
  </si>
  <si>
    <t>SBM-NWRP-G5-G6-G7-G8-G11_X500456.ncd</t>
  </si>
  <si>
    <t>Rdg 165 Fe&lt;LOD kept and flagged.</t>
  </si>
  <si>
    <t>Rdg 181 discarded (short on time).</t>
  </si>
  <si>
    <t>Rdg 226 discarded (short on time).</t>
  </si>
  <si>
    <t>Rdgs 255, 256 discarded (short on time).</t>
  </si>
  <si>
    <t>SBM-NWP-G9-G12-NWWRP-G15_X501203.ncd</t>
  </si>
  <si>
    <t>Rdg 1388 discarded (short on time).</t>
  </si>
  <si>
    <t>SBM-NWP-G6-G11-G14-NWRP-G2_X500456.ncd</t>
  </si>
  <si>
    <t>Rdg 306 discarded (short on time).</t>
  </si>
  <si>
    <t>Rdgs 325, 335, 336 discarded (short on time).</t>
  </si>
  <si>
    <t>SBM-NWP-G4-G8-NWWRP-G2-G4-G5-G8-G10_X501203.ncd</t>
  </si>
  <si>
    <t>Rdgs 1408, 1412 discarded.</t>
  </si>
  <si>
    <t>Rdg 1423 discarded.</t>
  </si>
  <si>
    <t>Rdg 1435 discarded.</t>
  </si>
  <si>
    <t>Rdg 1454 discarded. Rdg 1457 Fe&lt;LOD kept and flagged.</t>
  </si>
  <si>
    <t>SBM-NWP-G13-NWWRP-G14-G3-G1-G6-G7-G9_X500456.ncd</t>
  </si>
  <si>
    <t>Rdgs 379, 380 discarded.</t>
  </si>
  <si>
    <t>Rdgs 403, 408 discarded.</t>
  </si>
  <si>
    <t>Rdgs 413, 414, 422 discarded.</t>
  </si>
  <si>
    <t>SBM-NWWRP-G11-G12-G13-NWP-G13-Depth.ncd</t>
  </si>
  <si>
    <t>XRF Individual Reading Log</t>
  </si>
  <si>
    <t>Pick Sample ID → Date auto-fills from Boulder Sample Log</t>
  </si>
  <si>
    <t>Identification</t>
  </si>
  <si>
    <t>Element Results</t>
  </si>
  <si>
    <t>Instrument</t>
  </si>
  <si>
    <t>Date
(auto)</t>
  </si>
  <si>
    <t>XRF
Rdg #</t>
  </si>
  <si>
    <t>Reading
Type</t>
  </si>
  <si>
    <t>Spot
#</t>
  </si>
  <si>
    <t>Hg
(ppm)</t>
  </si>
  <si>
    <t>As
(ppm)</t>
  </si>
  <si>
    <t>Pb
(ppm)</t>
  </si>
  <si>
    <t>Fe
(ppm)</t>
  </si>
  <si>
    <t>Mn
(ppm)</t>
  </si>
  <si>
    <t>S
(ppm)</t>
  </si>
  <si>
    <t>Zn
(ppm)</t>
  </si>
  <si>
    <t>Cu
(ppm)</t>
  </si>
  <si>
    <t>Duration
(sec)</t>
  </si>
  <si>
    <t># Filters</t>
  </si>
  <si>
    <t>XRF
S/N</t>
  </si>
  <si>
    <t>SBM-SWRP-G12-B1</t>
  </si>
  <si>
    <t>Surface</t>
  </si>
  <si>
    <t>&lt;LOD</t>
  </si>
  <si>
    <t>X501203</t>
  </si>
  <si>
    <t>Powder</t>
  </si>
  <si>
    <t>P</t>
  </si>
  <si>
    <t>SBM-SWRP-G12-B2</t>
  </si>
  <si>
    <t>SBM-SWRP-G14-B1</t>
  </si>
  <si>
    <t>SBM-SWRP-G14-B2</t>
  </si>
  <si>
    <t>SBM-SWRP-G15-B1</t>
  </si>
  <si>
    <t>SBM-SWRP-G15-B2</t>
  </si>
  <si>
    <t>SBM-SWRP-G13-B1</t>
  </si>
  <si>
    <t>SBM-SWRP-G13-B2</t>
  </si>
  <si>
    <t>SBM-WWRP-G07-B1</t>
  </si>
  <si>
    <t>SBM-WWRP-G07-B2</t>
  </si>
  <si>
    <t>SBM-SWRP-G10-B1</t>
  </si>
  <si>
    <t>Rdg 201 all &lt;LOD</t>
  </si>
  <si>
    <t>Listed as P on form; full surface reading</t>
  </si>
  <si>
    <t>SBM-SWRP-G10-B2</t>
  </si>
  <si>
    <t>SBM-SWRP-G11-B2</t>
  </si>
  <si>
    <t>94.1s near-complete; kept per field decision</t>
  </si>
  <si>
    <t>SBM-SWRP-G11-B1</t>
  </si>
  <si>
    <t>SBM-SWRP-G04-B1</t>
  </si>
  <si>
    <t>SBM-SWRP-G04-B2</t>
  </si>
  <si>
    <t>SBM-WWRP-G14-B1</t>
  </si>
  <si>
    <t>SBM-WWRP-G15-B2</t>
  </si>
  <si>
    <t>SBM-WWRP-G15-B1</t>
  </si>
  <si>
    <t>SBM-WWRP-G09-B1</t>
  </si>
  <si>
    <t>SBM-WWRP-G13-B1</t>
  </si>
  <si>
    <t>SBM-SWRP-G07-B2</t>
  </si>
  <si>
    <t>SBM-SWRP-G07-B1</t>
  </si>
  <si>
    <t>SBM-SWRP-G01-B1</t>
  </si>
  <si>
    <t>SBM-SWRP-G01-B2</t>
  </si>
  <si>
    <t>SBM-SWRP-G05-B1</t>
  </si>
  <si>
    <t>SBM-SWRP-G09-B1</t>
  </si>
  <si>
    <t>SBM-SWRP-G02-B1</t>
  </si>
  <si>
    <t>SBM-SWRP-G08-B2</t>
  </si>
  <si>
    <t>SBM-SWRP-G08-B1</t>
  </si>
  <si>
    <t>SBM-WWRP-G03-B1</t>
  </si>
  <si>
    <t>SBM-WWRP-G03-B2</t>
  </si>
  <si>
    <t>SBM-WWRP-G06-B1</t>
  </si>
  <si>
    <t>SBM-WWRP-G04-B1</t>
  </si>
  <si>
    <t>SBM-WWRP-G06-B2</t>
  </si>
  <si>
    <t>SBM-WWRP-G02-B2</t>
  </si>
  <si>
    <t>SBM-WWRP-G05-B1</t>
  </si>
  <si>
    <t>Fe=0 flag</t>
  </si>
  <si>
    <t>SBM-WWRP-G06-B3</t>
  </si>
  <si>
    <t>SBM-WRD-G15-B1</t>
  </si>
  <si>
    <t>SBM-WRD-G15-B2</t>
  </si>
  <si>
    <t>SBM-WRD-G14-B1</t>
  </si>
  <si>
    <t>SBM-WRD-G14-B2</t>
  </si>
  <si>
    <t>SBM-WRD-G13-B1</t>
  </si>
  <si>
    <t>SBM-WRD-G11-B1</t>
  </si>
  <si>
    <t>SBM-WRD-G11-B2</t>
  </si>
  <si>
    <t>SBM-WRD-G10-B1</t>
  </si>
  <si>
    <t>SBM-WRD-G10-B2</t>
  </si>
  <si>
    <t>Trigger (33s)</t>
  </si>
  <si>
    <t>SBM-WRD-G12-B1</t>
  </si>
  <si>
    <t>SBM-WRD-G12-B2</t>
  </si>
  <si>
    <t>SBM-WRD-G09-B2</t>
  </si>
  <si>
    <t>Fe&lt;LOD - flagged</t>
  </si>
  <si>
    <t>SBM-WRD-G09-B1</t>
  </si>
  <si>
    <t>SBM-WRD-G08-B2</t>
  </si>
  <si>
    <t>SBM-WRD-G08-B1</t>
  </si>
  <si>
    <t>Trigger (85s)</t>
  </si>
  <si>
    <t>SBM-WRD-G07-B2</t>
  </si>
  <si>
    <t>SBM-WRD-G07-B1</t>
  </si>
  <si>
    <t>Trigger (88s)</t>
  </si>
  <si>
    <t>SBM-WRD-G06-B1</t>
  </si>
  <si>
    <t>Trigger (81s)</t>
  </si>
  <si>
    <t>SBM-WRD-G06-B2</t>
  </si>
  <si>
    <t>SBM-WRD-G05-B2</t>
  </si>
  <si>
    <t>SBM-WRD-G05-B1</t>
  </si>
  <si>
    <t>SBM-WRD-G04-B1</t>
  </si>
  <si>
    <t>SBM-WRD-G04-B2</t>
  </si>
  <si>
    <t>SBM-WRD-G03-B1</t>
  </si>
  <si>
    <t>SBM-WRD-G03-B2</t>
  </si>
  <si>
    <t>SBM-WRD-G02-B2</t>
  </si>
  <si>
    <t>SBM-WRD-G02-B1</t>
  </si>
  <si>
    <t>SBM-WRD-G01-B1</t>
  </si>
  <si>
    <t>SBM-WRD-G01-B2</t>
  </si>
  <si>
    <t>SBM-DRA-G01-B2</t>
  </si>
  <si>
    <t>SBM-DRA-G01-B1</t>
  </si>
  <si>
    <t>SBM-DRA-G02-B2</t>
  </si>
  <si>
    <t>SBM-DRA-G02-B1</t>
  </si>
  <si>
    <t>SBM-DRA-G05-B1</t>
  </si>
  <si>
    <t>SBM-DRA-G05-B2</t>
  </si>
  <si>
    <t>Fe&lt;LOD — kept &amp; flagged</t>
  </si>
  <si>
    <t>SBM-DRA-G10-B1</t>
  </si>
  <si>
    <t>SBM-DRA-G10-B2</t>
  </si>
  <si>
    <t>SBM-NWRP-G10-B1</t>
  </si>
  <si>
    <t>SBM-NWRP-G10-B2</t>
  </si>
  <si>
    <t>SBM-NWRP-G14-B2</t>
  </si>
  <si>
    <t>SBM-NWRP-G14-B1</t>
  </si>
  <si>
    <t>SBM-NWRP-G12-B1</t>
  </si>
  <si>
    <t>SBM-NWRP-G12-B2</t>
  </si>
  <si>
    <t>SBM-NWRP-G09-B1</t>
  </si>
  <si>
    <t>SBM-NWRP-G09-B2</t>
  </si>
  <si>
    <t>SBM-NWRP-G04-B1</t>
  </si>
  <si>
    <t>SBM-NWRP-G04-B2</t>
  </si>
  <si>
    <t>SBM-NWRP-G13-B1</t>
  </si>
  <si>
    <t>SBM-NWRP-G13-B2</t>
  </si>
  <si>
    <t>Fe&lt;LOD; kept and flagged</t>
  </si>
  <si>
    <t>SBM-NWRP-G03-B2</t>
  </si>
  <si>
    <t>SBM-DRA-G07-B1</t>
  </si>
  <si>
    <t>X500456</t>
  </si>
  <si>
    <t>SBM-DRA-G07-B2</t>
  </si>
  <si>
    <t>Fe near LOD (Fe~29 ppm); kept and flagged</t>
  </si>
  <si>
    <t>SBM-DRA-G03-B1</t>
  </si>
  <si>
    <t>SBM-DRA-G03-B2</t>
  </si>
  <si>
    <t>SBM-DRA-G06-B1</t>
  </si>
  <si>
    <t>SBM-DRA-G06-B2</t>
  </si>
  <si>
    <t>SBM-DRA-G08-B1</t>
  </si>
  <si>
    <t>SBM-DRA-G08-B2</t>
  </si>
  <si>
    <t>SBM-DRA-G14-B1</t>
  </si>
  <si>
    <t>SBM-DRA-G14-B2</t>
  </si>
  <si>
    <t>SBM-DRA-G13-B1</t>
  </si>
  <si>
    <t>SBM-DRA-G13-B2</t>
  </si>
  <si>
    <t>SBM-DRA-G12-B1</t>
  </si>
  <si>
    <t>Fe near LOD (~40 ppm); kept and flagged</t>
  </si>
  <si>
    <t>SBM-DRA-G12-B2</t>
  </si>
  <si>
    <t>SBM-DRA-G09-B1</t>
  </si>
  <si>
    <t>SBM-NWP-G01-B1</t>
  </si>
  <si>
    <t>SBM-NWP-G01-B2</t>
  </si>
  <si>
    <t>SBM-NWP-G02-B1</t>
  </si>
  <si>
    <t>Fe&lt;LOD; kept and flagged.</t>
  </si>
  <si>
    <t>SBM-NWP-G02-B2</t>
  </si>
  <si>
    <t>SBM-NWP-G05-B1</t>
  </si>
  <si>
    <t>SBM-NWP-G05-B2</t>
  </si>
  <si>
    <t>SBM-NWRP-G11-B1</t>
  </si>
  <si>
    <t>SBM-NWRP-G11-B2</t>
  </si>
  <si>
    <t>SBM-NWRP-G08-B1</t>
  </si>
  <si>
    <t>SBM-NWRP-G08-B2</t>
  </si>
  <si>
    <t>SBM-NWRP-G07-B1</t>
  </si>
  <si>
    <t>SBM-NWRP-G07-B2</t>
  </si>
  <si>
    <t>SBM-NWRP-G05-B1</t>
  </si>
  <si>
    <t>SBM-NWRP-G05-B2</t>
  </si>
  <si>
    <t>SBM-NWRP-G06-B1</t>
  </si>
  <si>
    <t>SBM-NWRP-G06-B2</t>
  </si>
  <si>
    <t>SBM-NWP-G09-B1</t>
  </si>
  <si>
    <t>SBM-NWP-G12-B1</t>
  </si>
  <si>
    <t>SBM-NWWRP-G15-B1</t>
  </si>
  <si>
    <t>SBM-NWRP-G02-B1</t>
  </si>
  <si>
    <t>SBM-NWP-G06-B1</t>
  </si>
  <si>
    <t>SBM-NWP-G06-B2</t>
  </si>
  <si>
    <t>SBM-NWP-G11-B1</t>
  </si>
  <si>
    <t>SBM-NWP-G11-B2</t>
  </si>
  <si>
    <t>SBM-NWP-G14-B1</t>
  </si>
  <si>
    <t>SBM-NWP-G14-B2</t>
  </si>
  <si>
    <t>SBM-NWP-G04-B1</t>
  </si>
  <si>
    <t>SBM-NWP-G08-B1</t>
  </si>
  <si>
    <t>SBM-NWWRP-G02-B1</t>
  </si>
  <si>
    <t>SBM-NWWRP-G04-B1</t>
  </si>
  <si>
    <t>SBM-NWWRP-G05-B1</t>
  </si>
  <si>
    <t>SBM-NWWRP-G08-B1</t>
  </si>
  <si>
    <t>SBM-NWWRP-G10-B1</t>
  </si>
  <si>
    <t>SBM-NWP-G13-B1</t>
  </si>
  <si>
    <t>SBM-NWWRP-G14-B1</t>
  </si>
  <si>
    <t>SBM-NWWRP-G03-B1</t>
  </si>
  <si>
    <t>SBM-NWWRP-G01-B1</t>
  </si>
  <si>
    <t>SBM-NWWRP-G06-B1</t>
  </si>
  <si>
    <t>SBM-NWWRP-G07-B1</t>
  </si>
  <si>
    <t>SBM-NWWRP-G09-B1</t>
  </si>
  <si>
    <t>SBM-NWWRP-G11-B1</t>
  </si>
  <si>
    <t>SBM-NWWRP-G12-B1</t>
  </si>
  <si>
    <t>SBM-NWWRP-G13-B1</t>
  </si>
  <si>
    <t>Powder / Lab Sample Chain of Custody &amp; Results</t>
  </si>
  <si>
    <t>Pick Powder Sample ID → Parent info auto-fills</t>
  </si>
  <si>
    <t>Sample Info</t>
  </si>
  <si>
    <t>Shipping / Laboratory</t>
  </si>
  <si>
    <t>Lab Results</t>
  </si>
  <si>
    <t>Parent
Boulder ID
(auto)</t>
  </si>
  <si>
    <t>Area
(auto)</t>
  </si>
  <si>
    <t>Grid
(auto)</t>
  </si>
  <si>
    <t>Date
Collected
(auto)</t>
  </si>
  <si>
    <t>Time
Collected</t>
  </si>
  <si>
    <t>Sample
Type</t>
  </si>
  <si>
    <t>Date
Shipped</t>
  </si>
  <si>
    <t>Lab Name</t>
  </si>
  <si>
    <t>COC /
Lab ID</t>
  </si>
  <si>
    <t>Date Results
Received</t>
  </si>
  <si>
    <t>Lab Hg
(ppm)</t>
  </si>
  <si>
    <t>Lab As
(ppm)</t>
  </si>
  <si>
    <t>Lab Pb
(ppm)</t>
  </si>
  <si>
    <t>SBM-SWRP-RP-G12-ICP-HB</t>
  </si>
  <si>
    <t>Prior campaign</t>
  </si>
  <si>
    <t>SBM-SWRP-RP-G12-ICP-FB</t>
  </si>
  <si>
    <t>SBM-SWRP-RP-G14-ICP-HB</t>
  </si>
  <si>
    <t>SBM-SWRP-RP-G14-ICP-FB</t>
  </si>
  <si>
    <t>SBM-SWRP-RP-G15-ICP-HB</t>
  </si>
  <si>
    <t>SBM-SWRP-RP-G15-ICP-FB</t>
  </si>
  <si>
    <t>SBM-SWRP-RP-G15-ICP-FB-FD</t>
  </si>
  <si>
    <t>FD</t>
  </si>
  <si>
    <t>FD of SWRP-G15-FB</t>
  </si>
  <si>
    <t>SBM-SWRP-RP-G15-ICP-HB-MS</t>
  </si>
  <si>
    <t>MS</t>
  </si>
  <si>
    <t>MS of SWRP-G15-HB</t>
  </si>
  <si>
    <t>SBM-SWRP-RP-G15-ICP-HB-MSD</t>
  </si>
  <si>
    <t>MSD</t>
  </si>
  <si>
    <t>MSD of SWRP-G15-HB</t>
  </si>
  <si>
    <t>SBM-SWRP-RP-G13-ICP-HB</t>
  </si>
  <si>
    <t>SBM-EB076</t>
  </si>
  <si>
    <t>EB</t>
  </si>
  <si>
    <t>EB for prior SWRP campaign powders</t>
  </si>
  <si>
    <t>SBM-WWRP-RP-G02-ICP-FB</t>
  </si>
  <si>
    <t>SBM-WWRP-RP-G02-ICP-FB-MS</t>
  </si>
  <si>
    <t>MS of WWRP-G02-FB</t>
  </si>
  <si>
    <t>SBM-WWRP-RP-G02-ICP-FB-MSD</t>
  </si>
  <si>
    <t>MSD of WWRP-G02-FB</t>
  </si>
  <si>
    <t>SBM-DRA-RP-G13-ICP-FB</t>
  </si>
  <si>
    <t>SBM-DRA-RP-G13-ICP-FB-FD</t>
  </si>
  <si>
    <t>FD of DRA-G13-FB</t>
  </si>
  <si>
    <t>SBM-WRD-RP-G05-ICP-FB</t>
  </si>
  <si>
    <t>SBM-WRD-RP-G05-ICP-FB-FD</t>
  </si>
  <si>
    <t>FD of WRD-G05-FB</t>
  </si>
  <si>
    <t>SBM-WRD-RP-G14-ICP-HB</t>
  </si>
  <si>
    <t>SBM-WRD-RP-G14-ICP-HB-MS</t>
  </si>
  <si>
    <t>MS of WRD-G14-HB</t>
  </si>
  <si>
    <t>SBM-WRD-RP-G14-ICP-HB-MSD</t>
  </si>
  <si>
    <t>MSD of WRD-G14-HB</t>
  </si>
  <si>
    <t>SBM-WWRP-RP-G07-ICP-HB</t>
  </si>
  <si>
    <t>SBM-WWRP-RP-G07-ICP-HB-FD</t>
  </si>
  <si>
    <t>FD of WWRP-G07-HB</t>
  </si>
  <si>
    <t>SBM-NWRP-RP-G12-ICP-FB</t>
  </si>
  <si>
    <t>SBM-NWRP-RP-G12-ICP-FB-FD</t>
  </si>
  <si>
    <t>FD of NWRP-G12-FB</t>
  </si>
  <si>
    <t>SBM-NWP-RP-G14-ICP-HB</t>
  </si>
  <si>
    <t>SBM-NWP-RP-G14-ICP-HB-FD</t>
  </si>
  <si>
    <t>FD of NWP-G14-HB</t>
  </si>
  <si>
    <t>SBM-NWP-RP-G12-ICP-HB</t>
  </si>
  <si>
    <t>SBM-NWP-RP-G12-ICP-HB-FD</t>
  </si>
  <si>
    <t>FD of NWP-G12-HB</t>
  </si>
  <si>
    <t>SBM-NWP-RP-G13-ICP-HB</t>
  </si>
  <si>
    <t>SBM-NWP-RP-G13-ICP-HB-MS</t>
  </si>
  <si>
    <t>MS of NWP-G13-HB</t>
  </si>
  <si>
    <t>SBM-NWP-RP-G13-ICP-HB-MSD</t>
  </si>
  <si>
    <t>MSD of NWP-G13-HB</t>
  </si>
  <si>
    <t>SBM-NWP-RP-G08-ICP-HB</t>
  </si>
  <si>
    <t>SBM-NWWRP-RP-G07-ICP-HB</t>
  </si>
  <si>
    <t>SBM-NWWRP-RP-G07-ICP-HB-FD</t>
  </si>
  <si>
    <t>FD of NWWRP-G07-HB</t>
  </si>
  <si>
    <t>SBM-EB080</t>
  </si>
  <si>
    <t>EB for 5/7 powders: NWP-G14, G12, G13 (incl MS/MSD), G08, NWWRP-G07</t>
  </si>
  <si>
    <t>SBM-DRA-RP-G01-ICP-HB</t>
  </si>
  <si>
    <t>SBM-DRA-RP-G01-ICP-HB-FD</t>
  </si>
  <si>
    <t>FD of DRA-G01-HB</t>
  </si>
  <si>
    <t>SBM-DRA-RP-G10-ICP-FB</t>
  </si>
  <si>
    <t>SBM-DRA-RP-G10-ICP-FB-MS</t>
  </si>
  <si>
    <t>MS of DRA-G10-FB</t>
  </si>
  <si>
    <t>SBM-DRA-RP-G10-ICP-FB-MSD</t>
  </si>
  <si>
    <t>MSD of DRA-G10-FB</t>
  </si>
  <si>
    <t>SBM-SWRP-RP-G08-ICP-FB</t>
  </si>
  <si>
    <t>SBM-SWRP-RP-G08-ICP-FB-FD</t>
  </si>
  <si>
    <t>FD of SWRP-G08-FB</t>
  </si>
  <si>
    <t>SBM-EB081</t>
  </si>
  <si>
    <t>EB for 5/8 powders: DRA-G01, DRA-G10 (incl MS/MSD), SWRP-G08</t>
  </si>
  <si>
    <t>Daily XRF Verification Log — IARM 35NN CRM</t>
  </si>
  <si>
    <t>Record AM &amp; PM system check results against certified reference values</t>
  </si>
  <si>
    <t>Check Info</t>
  </si>
  <si>
    <t>Measured Values (compare to IARM 35NN cert)</t>
  </si>
  <si>
    <t>Result</t>
  </si>
  <si>
    <t>Time
(AM/PM)</t>
  </si>
  <si>
    <t>Operator</t>
  </si>
  <si>
    <t>Measured
Fe (%)</t>
  </si>
  <si>
    <t>Measured
Cr (ppm)</t>
  </si>
  <si>
    <t>Measured
Mo (ppm)</t>
  </si>
  <si>
    <t>Measured
Mn (ppm)</t>
  </si>
  <si>
    <t>Measured
Cu (ppm)</t>
  </si>
  <si>
    <t>Measured
Ni (ppm)</t>
  </si>
  <si>
    <t>Pass /
Fail</t>
  </si>
  <si>
    <t>CERTIFIED VALUES →</t>
  </si>
  <si>
    <t>Fe: 97.22%</t>
  </si>
  <si>
    <t>Cr: 10860</t>
  </si>
  <si>
    <t>Mo: 4780</t>
  </si>
  <si>
    <t>Mn: 3310</t>
  </si>
  <si>
    <t>Cu: 1740</t>
  </si>
  <si>
    <t>Ni: 1250</t>
  </si>
  <si>
    <t>±20% RPD</t>
  </si>
  <si>
    <t>AM</t>
  </si>
  <si>
    <t>Mo Sharif</t>
  </si>
  <si>
    <t>Pass</t>
  </si>
  <si>
    <t>PM</t>
  </si>
  <si>
    <t>30s quick check</t>
  </si>
  <si>
    <t>30s reading</t>
  </si>
  <si>
    <t>30s reading; Rdg 207 from field form</t>
  </si>
  <si>
    <t>Michelle Gill</t>
  </si>
  <si>
    <t>M Gil + N Brown</t>
  </si>
  <si>
    <t>N. Brown + M. Sharif</t>
  </si>
  <si>
    <t>M. Gil + T. Thomas</t>
  </si>
  <si>
    <t>N. Brown</t>
  </si>
  <si>
    <t>M. Sharif + N. Brown</t>
  </si>
  <si>
    <t>Rdg 434 was through-bag attempt; discarded. 435 is the redo out-of-bag.</t>
  </si>
  <si>
    <t>M. Gil</t>
  </si>
  <si>
    <t>Ni low (within ±20% RPD)</t>
  </si>
  <si>
    <t>A. Lineberger</t>
  </si>
  <si>
    <t>Powder XRF day (Aerial)</t>
  </si>
  <si>
    <t>C. Mochrie</t>
  </si>
  <si>
    <t>Mine Building XRF (Christian + Michelle)</t>
  </si>
  <si>
    <t>WRD shoreline depth XRF day (gun clock off — actual 5/7)</t>
  </si>
  <si>
    <t>WRD shoreline depth XRF day</t>
  </si>
  <si>
    <t>Final field day; gun clock off (~14.5 hr behind real)</t>
  </si>
  <si>
    <t>Final field day; depth XRF + powder XRF</t>
  </si>
  <si>
    <t>Daily Field Activity Log</t>
  </si>
  <si>
    <t>Enter Date → Boulder count, XRF readings, and Powder count auto-calculate from Boulder Sample Log</t>
  </si>
  <si>
    <t>Weather</t>
  </si>
  <si>
    <t>Area(s)
Worked</t>
  </si>
  <si>
    <t># Boulders
(auto)</t>
  </si>
  <si>
    <t># XRF Rdgs
(auto)</t>
  </si>
  <si>
    <t># Powder
(auto)</t>
  </si>
  <si>
    <t>Equipment
Issues</t>
  </si>
  <si>
    <t>NCD Files
Uploaded</t>
  </si>
  <si>
    <t>Verification
Pass?</t>
  </si>
  <si>
    <t>Notes / Summary</t>
  </si>
  <si>
    <t>Sunny, 70°F</t>
  </si>
  <si>
    <t>None</t>
  </si>
  <si>
    <t>Day 1 main campaign; G12 sampled; 2 boulders; 1 EB</t>
  </si>
  <si>
    <t>Aborted rdg 86-87 on G15 B1</t>
  </si>
  <si>
    <t>G14 + G15 sampled; 4 boulders; PD collected G15 B2</t>
  </si>
  <si>
    <t>Sunny, Clear, 79F</t>
  </si>
  <si>
    <t>SWRP, WWRP</t>
  </si>
  <si>
    <t>Rdg 158 abort; Rdg 201 &lt;LOD; Rdg 192 short</t>
  </si>
  <si>
    <t>G13+G10(H only)+WWRP G7; 5 boulders; no powder per John; Rdg 157 dup, 158 abort, 192 trigger mishap</t>
  </si>
  <si>
    <t>Sunny, Clear, 75F</t>
  </si>
  <si>
    <t>Rdg 262 trigger mishap (G11 B1); Rdg 295 trigger mishap (G04 B2); Rdg 246 kept (94.1s near-complete)</t>
  </si>
  <si>
    <t>G10(F)+G11(H+F)+G04(H+F); 5 boulders; no powder; G04 B1 GPS from Rdg 277</t>
  </si>
  <si>
    <t>Sunny Clear to Overcast, 78F</t>
  </si>
  <si>
    <t>Rdg 318 (55s), 343 (1.8s), 353 (60s), 358 (discarded stray), 384 (52s), 385 (6.6s); rain break during G9</t>
  </si>
  <si>
    <t>G14(H)+G15(H+F)+G9(H)+G13(H); 5 boulders; no powder; G9 rain break; G13/G14/G9 only 1 boulder located; Nolen Brown assisted G13</t>
  </si>
  <si>
    <t>Overcast 56F to Sunny Clear 75F</t>
  </si>
  <si>
    <t>Rdg 449 (sulphur rock), 451 (90.4s), 452 (1.8s), 461 (no contact/Fe&lt;LOD)</t>
  </si>
  <si>
    <t>G07(H+F)+G01(H+F)+G05(H); 5 boulders; no powder; protocol switch 5x3-&gt;5x2 per Bartos for low readings; G5 only 1 boulder</t>
  </si>
  <si>
    <t>Sunny Clear, 78F</t>
  </si>
  <si>
    <t>SWRP + WWRP</t>
  </si>
  <si>
    <t>Rdg 512+516+518 (G2 mishaps), 546 (G3 pre-range), 551 (G3 discarded), 579 (ore rock curiosity shot)</t>
  </si>
  <si>
    <t>G09(H)+G02(H)+G08(H+F)+G03(H+F)+G06(H); 7 boulders; 5 grids; no powder; mixed 5x2/5x3 protocol; Michelle Gill ran SWRP, Mo ran WWRP; TP58 boulders at G03; ore rock curiosity shot near G06</t>
  </si>
  <si>
    <t>Cloudy, 50F</t>
  </si>
  <si>
    <t>WWRP + WRD</t>
  </si>
  <si>
    <t>Rdg 655+665 trigger mishaps; Rdg 662 discarded (104.84s)</t>
  </si>
  <si>
    <t>G4(H)+G6(H,H)+G2(F)+G5(H)+G15(H,F); 7 boulders; WWRP effectively complete (G8/G12 inaccessible overgrowth, G10/G11 no surface boulders); WRD started at G15; Michelle Gill operator; G2 B2 F = campaign record Hg (avg 3,702 ppm, single reading 23,796 ppm); 623/645/664 Fe=0 flagged</t>
  </si>
  <si>
    <t>Sunny, clear, 65°F</t>
  </si>
  <si>
    <t>WRD G14, G13, G11, G10</t>
  </si>
  <si>
    <t>Rdg 730 discarded (Fe&lt;LOD); 1 trigger mishap; 6 boulders across 4 grids</t>
  </si>
  <si>
    <t>Sunny, clear, high wind/gusty, 55-57°F</t>
  </si>
  <si>
    <t>WRD G10, G12, G9, G8, G7, G6</t>
  </si>
  <si>
    <t>4 trigger mishaps (748,807,829,840); Rdg 746+834 discarded (Fe&lt;LOD); Rdg 777 Fe&lt;LOD flagged; Hot boulders: G7-B2(F), G8-B2(F), G6-B1(H)</t>
  </si>
  <si>
    <t>WRD G6, G5, G4, G3, G2</t>
  </si>
  <si>
    <t>Rdg 883, 908, 909, 942 trigger mishaps; Rdg 952 discarded (Fe&lt;LOD, retake at Rdg 955); 9 boulders across 5 grids; Hot: G5-B2(F) Hg 76 ppm avg</t>
  </si>
  <si>
    <t>Sunny, clear, 60°F</t>
  </si>
  <si>
    <t>WRD G1; DRA G1, G2, G5</t>
  </si>
  <si>
    <t>Rdg 984 discarded (Fe&lt;LOD; retake 985); Rdg 1027 discarded (Fe&lt;LOD; retake 1028); 7 boulders; started DRA (G1, G2, G5); Hot: DRA-G1-B1(H) Hg 111 avg; DRA-G1-B2(F) Hg 47 avg; H2S at DRA pile — Adam relocated to NWRP</t>
  </si>
  <si>
    <t>Sunny + overcast, 60°F</t>
  </si>
  <si>
    <t>DRA G5, G10; NWRP G10, G14</t>
  </si>
  <si>
    <t>Rdg 1042 kept Fe&lt;LOD (DRA-G5-B2); Rdg 1050 trigger mishap (8.67s, unassigned); Rdg 1059 kept Fe&lt;LOD (DRA-G10-B1); Rdg 1061 discarded Fe&lt;LOD (retake 1062); Fieldmaps down — XRF GPS only; 6 boulders across DRA G5/G10 + NWRP G10/G14; Hot: DRA-G5-B2 Hg 112 avg, DRA-G10-B1 Hg 119 avg</t>
  </si>
  <si>
    <t>Sunny clear, 50-65°F</t>
  </si>
  <si>
    <t>[Gun 1] NWRP G3, G4, G9, G12, G13, G14; [Gun 2] DRA G3, G7</t>
  </si>
  <si>
    <t>[Gun 1] Rdgs 1129/1146/1159 discarded (Fe&lt;LOD); 1175 (30s short, retake at 1176); 1183 (45s short); 1200 (8s short). Rdg 1208 Fe&lt;LOD kept and flagged. [Gun 2] No discards. Rdgs 16, 18 (G7-HB) and 31 (G7-FB) Fe&lt;LOD kept and flagged.</t>
  </si>
  <si>
    <t>[Gun 1] 10 boulders across NWRP G14, G12, G9, G4, G13, G3 (HB-B1 + FB-B2 each except G14 only HB-B1 -- FB done Day 14 -- and G3 only FB-B2). Rdgs 1208 (G13-FB) Fe&lt;LOD kept+flagged. Hot: NWRP-G4-HB-B1 Hg 23 avg; NWRP-G12-FB-B2 Hg 10 avg, As 45 avg. [Gun 2] X500456 arrived afternoon; M Gil + N Brown ran 4 boulders across DRA G7, G3. Rdgs 16, 18 (G7-HB) and 31 (G7-FB) Fe&lt;LOD kept+flagged. Hot: DRA-G3-FB-B2 Hg 11 avg; DRA-G3-HB-B1 Hg 6 avg.</t>
  </si>
  <si>
    <t>Sunny + clear, 60-65°F</t>
  </si>
  <si>
    <t>[Gun 1] DRA G6, G8; [Gun 2] DRA G9, G12, G13, G14</t>
  </si>
  <si>
    <t>[Gun 1] Rdgs 1228, 1230, 1232, 1235 discarded (G6-HB short on time); 1245 discarded (G6-FB short). Rdgs 1268, 1269 Fe&lt;LOD kept and flagged (G8-FB). Note: Gun 1 clock reset on battery change — CSV timestamps off, field-form date 4/28 used in tracker. [Gun 2] Rdgs 66, 70 discarded (G14-HB short); 91 discarded (G13-HB); 119 discarded (G12-FB short). Rdg 111 Fe~40 ppm kept and flagged (G12-HB).</t>
  </si>
  <si>
    <t>11 boulders today, all DRA. [Gun 1] M Gil + N Brown on G6, G8 (4 boulders, 46 valid readings). [Gun 2] M Gil afternoon on G14, G13, G12, G9 (7 boulders, 73 valid readings) after split. HOT boulder: DRA-G13-FB-B2 Avg Hg ~74 ppm, Avg As ~223 ppm; spot-level Hg up to 372 ppm and As up to 554 ppm. Other notable: DRA-G8-FB-B2 Hg 22 ppm avg; DRA-G14-FB-B2 Hg 15 ppm avg.</t>
  </si>
  <si>
    <t>Sunny + clear, 70-75°F</t>
  </si>
  <si>
    <t>[Gun 1] NWP G1, G2, G5; [Gun 2] NWRP G11, G8, G7, G5, G6</t>
  </si>
  <si>
    <t>[Gun 1] No discards. [Gun 2] Rdg 181 discarded (G8-FB short ~18s); 226 discarded (G5-FB short ~18s); 255, 256 discarded (G6-FB short, ~12s and ~4s). Rdgs 1317, 1320 Fe&lt;LOD kept and flagged (NWP-G2-HB-B1). Rdg 165 Fe&lt;LOD kept and flagged (NWRP-G11-FB-B2).</t>
  </si>
  <si>
    <t>16 boulders today across 2 areas. [Gun 1] N. Brown + M. Sharif on NWP G1, G2, G5 — 6 boulders, 75 valid readings; first day in NWP. [Gun 2] M. Gil + T. Thomas on NWRP G11, G8, G7, G5, G6 — 10 boulders, 110 valid readings; T. Thomas first day on site. Hot: NWRP-G7-HB-B1 Hg 66 ppm avg; NWRP-G5-FB-B2 Hg 54 avg; NWRP-G6-HB-B1 Hg 29 avg; NWP-G5-FB-B2 Hg 22 avg; NWRP-G8-HB-B1 As 25 avg.</t>
  </si>
  <si>
    <t>Sunny + clear, 65-80°F</t>
  </si>
  <si>
    <t>[Gun 1] NWP G9, G12; NWWRP G15; [Gun 2] NWRP G2; NWP G6, G11, G14</t>
  </si>
  <si>
    <t>[Gun 1] Rdg 1388 discarded (short, ~0s). [Gun 2] Rdg 306 discarded (G11-HB short ~8s). Rdgs 322, 323 discarded (post-lunch system checks, between G11-FB and G14-HB). Rdg 325 discarded (G14-HB short ~0s). Rdgs 335, 336 discarded (G14-HB short ~89s and ~4s). Rdgs 317/318 and 320/321 are duplicate-time entries on G11-FB; both kept per field form.</t>
  </si>
  <si>
    <t>10 boulders today: 1 NWRP G2 (last NWRP boulder, area technically complete) + 1 NWWRP G15 (first NWWRP boulder) + 8 NWP. [Gun 1] N. Brown on NWP G9, G12, and NWWRP G15 — 3 boulders, 34 valid readings; M. Sharif joined for NWWRP G15. [Gun 2] M. Gil + T. Thomas — 7 boulders (NWRP G2 + NWP G6, G11, G14), 81 valid readings. TWO HOT BOULDERS today: NWP-G14-HB-B1 Avg Hg ~378 ppm with spot-3 peaks of Hg 2291 and 1725 ppm; NWP-G12-HB-B1 Avg Hg ~145 ppm with spot-3 peak Hg 768 ppm.</t>
  </si>
  <si>
    <t>Sunny + clear, 60-80°F</t>
  </si>
  <si>
    <t>[Gun 1] NWP G4, G8; NWWRP G2, G4, G5, G8, G10; [Gun 2] NWP G13; NWWRP G14, G3, G1, G6, G7, G9</t>
  </si>
  <si>
    <t>[Gun 1] Rdgs 1408, 1412 discarded (G4-HB Fe&lt;LOD); 1423 discarded (G8-HB); 1435 discarded (G2-HB); 1454 discarded (G5-HB misfire). [Gun 2] Rdgs 379, 380 discarded (G3-HB); 403, 408 discarded (G6-HB); 413, 414, 422 discarded (G7-HB). Rdg 434 discarded (PM verif attempt through bag, low Fe attenuation); rdg 435 is redo out-of-bag and used as PM verif. Note: NWWRP-G6 detail page was rescanned and inserted into the Gun 2 master PDF at correct chronological position.</t>
  </si>
  <si>
    <t>14 boulders today: 3 NWP (G4, G8, G13) closes out NWP; 11 NWWRP (G1, G2, G3, G4, G5, G6, G7, G8, G9, G10, G14). [Gun 1] N. Brown + M. Sharif on NWP G4, G8 and NWWRP G2, G4, G5, G8, G10 — 7 boulders, 70 valid readings. [Gun 2] M. Gil + T. Thomas on NWP G13 and NWWRP G14, G3, G1, G6, G7, G9 — 7 boulders, 72 valid readings. Hot: NWWRP-G1-HB-B1 Hg 69 ppm avg, spot 2 had 5 readings up to ~199 ppm. NWP-G8-HB-B1 Hg 41 avg. NWP and NWRP areas now technically complete; NWWRP at 13/15 grids done (G11, G12, G13 remaining).</t>
  </si>
  <si>
    <t>Cloudy + overcast, 50-55°F, light rain afternoon</t>
  </si>
  <si>
    <t>[Gun 2] NWWRP G11, G12, G13; NWP G13 (Depth-XRF)</t>
  </si>
  <si>
    <t>No discards today. Verifications passed AM and PM (Fe 89.47% AM, 87.19% PM); Ni reading low on both verifs but within ±20% RPD criterion.</t>
  </si>
  <si>
    <t>Last day of field XRF on boulders. 3 NWWRP boulders (G11, G12, G13) close out NWWRP, now 15/15 grids done. NWWRP, NWP, NWRP, DRA, WRD, WWRP, SWRP all complete.Plus NWP-G13-HB-B1 depth-XRF profile (18 readings, 9 depths × 2 shots, 0-4 in. at 0.5 in. intervals); AvgHg 0.39 ppm, AvgAs ~0 across full profile. Boulder cut by ERRG. M. Gil ran the field XRF.</t>
  </si>
  <si>
    <t>Sunny + clear, 60-70°F</t>
  </si>
  <si>
    <t>WRD G1, G5, G9, G14 (Heterogeneity Profiles); ERRG crushing across all areas</t>
  </si>
  <si>
    <t>Rdg 498 discarded (short, ~5s); Rdg 546 short (91s) but kept</t>
  </si>
  <si>
    <t>Day 21. No surface XRF (auto count = 0; depth-XRF tracked separately in Heterogeneity tabs). Heterogeneity Profile (depth XRF, 0–4 in. at 0.5 in. intervals) on 4 WRD boulders: G05-B2 #3 + G14-B1 #6 (primary 14); G09-B2 #15 + G01-B2 #19 (off primary 14, on John B 22-list). 73 valid depth readings across the 4 (rdg 498 short discarded; rdg 546 short kept). ERRG continued crushing — 8 primary boulders cut today (WWRP-G02-B2, DRA-G13-B2, NWP-G14-B1, WWRP-G07-B1, NWWRP-G07-B1, NWP-G08-B1, NWRP-G12-B2, SWRP-G08-B2) plus 2 WRD primary (G05-B2, G14-B1) + 2 WRD extras (G09-B2, G01-B2). Total primary 14 crushed: 11/14. Remaining tomorrow: DRA-G01-B1, DRA-G10-B1, plus WWRP-G15-B2 contingent. Nolen started sieving (G1, G5, G14 sieve aggregate). Verifications AM/PM passed both guns.</t>
  </si>
  <si>
    <t>Sunny + clear, 60-75°F</t>
  </si>
  <si>
    <t>AM: DRA G01/G10 (ERRG cracking); PM: WRD shoreline (ERRG cracking); Old Mine Building XRF (Christian/Michelle); Powder XRF on 6 primary boulders (Aerial)</t>
  </si>
  <si>
    <t>Powder XRF mode set to Soils instead of Mining for rdgs 552-565; caught at rdg 567 and switched. Reshoot needed for 5 boulders (WWRP-G07, NWRP-G12, DRA-G13, WWRP-G02 MS+MSD, WRD-G14 MS+MSD). WRD-G05 FD (rdgs 568-569) shot in Mining mode ✓.</t>
  </si>
  <si>
    <t>Day 22. AM: ERRG + Nolen cracked DRA-G01-B1 + DRA-G10-B1 (closes DRA primary). PM: confirmation from Kat+Adam that depth XRF covers all WRD shoreline boulders, so ERRG moved to WRD and cracked all shoreline boulders. 13/14 primary cracked; only WWRP-G15-B2 (#7) outstanding pending West Ore Pile call. Powder XRF (Aerial, X500456): 24 rdgs (1 AM verif + 22 sample reads + 1 PM verif). 6 boulders sampled: WWRP-G07-HB, NWRP-G12-FB, DRA-G13-FB, WWRP-G02-FB (PR+MS+MSD), WRD-G05-FB (PR+FD), WRD-G14-HB (PR+MS+MSD). Christian + Michelle: Old Mine Building XRF (X501203, 63 rdgs incl AM/PM verifs). Verifications AM/PM passed both guns.</t>
  </si>
  <si>
    <t>AM: NWP-G12 cracked (ERRG); Powder collection NWP G8/12/13/14 + NWWRP G7 (Mo+Tyler); WRD shoreline depth XRF (Aerial+Michelle on 8 boulders); ERRG mine building chip investigation; sinkhole fill; ERRG to ridge for trash cleanup</t>
  </si>
  <si>
    <t>X501203 gun clock was off (showing 5/6 dates for 5/7 work). Discards on depth XRF: rdgs 1649, 1650, 1662, 1666, 1671, 1685 (stray verif), 1690 (stray verif), 1694, 1706, 1721 (X501203); 590, 615, 629 (X500456); plus 635 system check + 636-640 warmup on X500456.</t>
  </si>
  <si>
    <t>Day 23. Morning call confirmed WWRP-G15-B2 dropped (toe of west ore pile, off shoreline scope); NWP-G12-B1 swapped in as primary #15. ERRG cracked NWP-G12 first thing AM, Tyler+Mo collected powder right after. WRD shoreline depth profiles by Aerial (X501203) + Michelle (X500456): 8 boulders profiled across G1-G5 — G1-HB-B1, G5-HB-B1, G2-HB-B1, G2-HB-B2, G3-HB-B1, G3-HB-B2, G4-HB-B1, G4-FB-B2 (most active: G4-FB-B2 with As avg ~12 ppm, peaks 29). 149 valid + 13 discards = 162 readings logged. 5 powder parents collected (Mo+Tyler): NWP G8/G12/G13/G14, NWWRP G7. Brings total to 13/21 parents per Adam, 3 left (DRA-G01, DRA-G10, SWRP-G08). ERRG mine building chip investigation at old truck maintenance bldg ("pickle ball court"): 3 chips broken — side support (no rebar), oil-pit subfloor (#3-4 rebar at 1ft o.c.), entry pad (6" plain concrete on gravelly clay). Verdict: doable. Sinkhole filled with 2 buckets gravelly + compacted (still moist). ERRG to ridge for trash cleanup; demob tomorrow AM after decon. Christian + Tyler picked up aggregate collection (no Nolen PM) — pulled crushed boulder material into 5-gal buckets, hauled to second connex for sieving. Crushing of primary 14: 14/14 done (after NWP-G12 swap-in). Verifications AM/PM passed both guns.</t>
  </si>
  <si>
    <t>Sunny, clear, ~75-80°F</t>
  </si>
  <si>
    <t>WRD shoreline (depth XRF) + DRA + SWRP (powder collection) + on-site powder XRF</t>
  </si>
  <si>
    <t>X501203 gun clock drift (~14.5 hr behind real); discards captured (1740, 1763, 1783, 1800, 1804, 1814, 1820, 1842, 1851, 729, 788) in field forms</t>
  </si>
  <si>
    <t>2 depth NCDs + 1 powder NCD + 2 system check NCDs</t>
  </si>
  <si>
    <t>Pass (both guns AM+PM)</t>
  </si>
  <si>
    <t>Day 24 (FINAL). Field team Michelle + Ariel wrapped WRD shoreline depth XRF — 13 boulders profiled across G6-G12 (G7 FB-B2, G8 FB-B2 + HB-B1, G9 HB-B1, G10 HB-B1 + HB-B2, G6 HB-B1 + FB-B2, G11 HB-B1 + HB-B2, G12 HB-B1 + HB-B2). Mo collected final 3 boulder powders (DRA-G01, DRA-G10, SWRP-G08). Powder XRF run on all 14 primary boulder parents (rdgs 756-783, X500456 Mining mode). ERRG demobed: skid steer decon AM, then offsite. Christian + Tyler hauled aggregate to second connex. XRF data collection now complete.</t>
  </si>
  <si>
    <t>SBMM OU1 — XRF Boulder Sampling Grid Completion Tracker</t>
  </si>
  <si>
    <t>7 Areas  |  15 Grids/Area  |  2 Boulders/Grid (1H + 1F)  |  210 Total Boulders  |  Auto-updates from Boulder Sample Log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</si>
  <si>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</si>
  <si>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</si>
  <si>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</si>
  <si>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</si>
  <si>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</si>
  <si>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</si>
  <si>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</si>
  <si>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</si>
  <si>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</si>
  <si>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</si>
  <si>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</si>
  <si>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</si>
  <si>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G13</t>
  </si>
  <si>
    <t>G14</t>
  </si>
  <si>
    <t>G15</t>
  </si>
  <si>
    <t>Done</t>
  </si>
  <si>
    <t>TOTAL</t>
  </si>
  <si>
    <t>Legend:</t>
  </si>
  <si>
    <t>✓ = Both boulders complete  |  ½ = One boulder done (partial)  |  Blank = Not started  |  Updates automatically when data is entered in Boulder Sample Log</t>
  </si>
  <si>
    <t>SBMM OU1 — XRF Heterogeneity (Depth) Boulder Log</t>
  </si>
  <si>
    <t>14 primary boulders per John B 5/5 update with 5/7 swap (WWRP-G15-B2 dropped — confirmed off shoreline scope; NWP-G12-B1 promoted to primary at #15). 6 non-primary + 2 alternates retained for reference. Protocol: 0–4 in. depth at 0.5 in. intervals (9 depths), 2 shots per depth (3rd if RPD &gt; 50%). Min 18 readings per boulder.</t>
  </si>
  <si>
    <t>Geological Subtype</t>
  </si>
  <si>
    <t>Surface XRF (max — from John's analysis)</t>
  </si>
  <si>
    <t>Surface XRF (BSL avg)</t>
  </si>
  <si>
    <t>Crushing Status</t>
  </si>
  <si>
    <t>Depth-XRF Reading Range</t>
  </si>
  <si>
    <t>Depth XRF Avg</t>
  </si>
  <si>
    <t>#</t>
  </si>
  <si>
    <t>Tier</t>
  </si>
  <si>
    <t>Subtype Code</t>
  </si>
  <si>
    <t>Subtype Description</t>
  </si>
  <si>
    <t>Selection Reason</t>
  </si>
  <si>
    <t>Hg max
(ppm)</t>
  </si>
  <si>
    <t>As max
(ppm)</t>
  </si>
  <si>
    <t>Sb max
(ppm)</t>
  </si>
  <si>
    <t>BSL
Avg Hg</t>
  </si>
  <si>
    <t>BSL
Avg As</t>
  </si>
  <si>
    <t>Geo Scrutiny
(Y/N)</t>
  </si>
  <si>
    <t>Crushing
Date</t>
  </si>
  <si>
    <t>Crushing
By</t>
  </si>
  <si>
    <t>Status</t>
  </si>
  <si>
    <t>Depth Rdg
# Start</t>
  </si>
  <si>
    <t>Depth Rdg
# End</t>
  </si>
  <si>
    <t># of
Depth Rdgs</t>
  </si>
  <si>
    <t>Depth Hg avg
(ppm)</t>
  </si>
  <si>
    <t>Depth As avg
(ppm)</t>
  </si>
  <si>
    <t>Depth Sb avg
(ppm)</t>
  </si>
  <si>
    <t>4</t>
  </si>
  <si>
    <t>Cinnabar-mineralized (Hg-dominant)</t>
  </si>
  <si>
    <t>Single highest Hg in dataset. Anchors upper end of Hg leaching curve. Irreplaceable.</t>
  </si>
  <si>
    <t>ERRG (cut)</t>
  </si>
  <si>
    <t>Complete (no depth XRF)</t>
  </si>
  <si>
    <t>4d</t>
  </si>
  <si>
    <t>Triple-mineralized (Hg+As+Sb)</t>
  </si>
  <si>
    <t>Highest Sb on site, highest Friable As. Triple-mineralized late-stage paragenesis (W&amp;R p.405-406). Tests cross-contamination interactions.</t>
  </si>
  <si>
    <t>Second triple-mineralized boulder. Replicates DRA-G13-B2 mineralogy from a different area for duplicate-mineralogy comparison.</t>
  </si>
  <si>
    <t>ERRG (cut) / A. Lineberger (XRF)</t>
  </si>
  <si>
    <t>Complete</t>
  </si>
  <si>
    <t>SBM-WRD-G5-FB-B2_HeterogeneityProfile.ncd</t>
  </si>
  <si>
    <t>Part of WRD shoreline depth XRF (primary 14 + shoreline). Boulder cut &amp; sampled by ERRG. 18 valid readings (9 depths × 2 shots).</t>
  </si>
  <si>
    <t>3a</t>
  </si>
  <si>
    <t>Ore-zone overprinted silicified andesite</t>
  </si>
  <si>
    <t>Second-highest Hg in dataset. Tests Hg leaching from andesite host at extreme concentration.</t>
  </si>
  <si>
    <t>2b</t>
  </si>
  <si>
    <t>As-rich andesite (arsenian pyrite, no Hg)</t>
  </si>
  <si>
    <t>Highest As in dataset without Hg. Direct test of As-without-Hg at the high-As tail. Arsenian pyrite is the mineral.</t>
  </si>
  <si>
    <t>3c</t>
  </si>
  <si>
    <t>Sb-bearing silicified andesite</t>
  </si>
  <si>
    <t>Only Hard boulder with all three metals coupled at meaningful concentrations. W&amp;R p.409 boulder zone of andesite stibnite paragenesis.</t>
  </si>
  <si>
    <t>ERRG (cut) / M. Gil (XRF)</t>
  </si>
  <si>
    <t>SBM-WRD-G14-G9-G1_HeterogeneityProfile.ncd</t>
  </si>
  <si>
    <t>On HI (Herman Impoundment) side of WRD, behind fence. Not part of WRD shoreline. Boulder cut &amp; sampled by ERRG. 18 valid readings (9 depths × 2 shots). Rdg 498 discarded (short).</t>
  </si>
  <si>
    <t>5b</t>
  </si>
  <si>
    <t>Mineralized silicified chert</t>
  </si>
  <si>
    <t>Third-highest Sb (466 ppm) in chert host. Mineralogically distinct from metagraywacke triple-mineralized. Sb-in-chert otherwise unrepresented.</t>
  </si>
  <si>
    <t>Dropped</t>
  </si>
  <si>
    <t>DROPPED 5/7 per Kat: confirmed not part of west ore pile depth-XRF scope; toe of west ore pile, off shoreline.</t>
  </si>
  <si>
    <t>1a</t>
  </si>
  <si>
    <t>Aragonite-calcite hot-spring sinter</t>
  </si>
  <si>
    <t>Sb-without-Hg endmember (W&amp;R p.405). Worst-case Sb leaching per Avanza 2022: aragonite-calcite, no Fe sulfides, no HFO buffering.</t>
  </si>
  <si>
    <t>1b</t>
  </si>
  <si>
    <t>Dolomite-bearing carbonate (NEW)</t>
  </si>
  <si>
    <t>Mg/Ca ratio 0.19 indicates dolomite-bearing carbonate, distinct from DRA aragonite sinter. Sb 85 ppm at 100% spot detection (10/10). Tests Sb leaching from dolomite matrix. Required because NWWRP carbonate population was unrepresented in prior list.</t>
  </si>
  <si>
    <t>4e</t>
  </si>
  <si>
    <t>Massive iron-sulfide ore (NEW)</t>
  </si>
  <si>
    <t>NEW SUBTYPE. Fe 126k + S 44k chemistry indicates massive pyrite ore with cinnabar overprint. Hg 114 ppm at 100% detection. Tests Hg leaching from Fe-sulfide-dominated matrix. Pyrite oxidation drives Avanza 2022 acid-generation framework.</t>
  </si>
  <si>
    <t>4c</t>
  </si>
  <si>
    <t>Sb-dominant or As+Sb decoupled from Hg</t>
  </si>
  <si>
    <t>NWRP outlier with Sb elevated together while Hg suppressed. Closest SBMM analog to Avanza 2022 Mt. Avanza realgar+stibnite assemblage. Extremely high S median (~106k) suggests pyrite-rich matrix.</t>
  </si>
  <si>
    <t>6</t>
  </si>
  <si>
    <t>Silica-carbonate (Coast Range type)</t>
  </si>
  <si>
    <t>Si 158k + Ca 29k + Al/Fe near zero + Sb 94 ppm. New rock type chemistry resembles California Coast Range silica-carbonate Hg deposits (Rytuba 2003 type). Sb 94 ppm at 100% detection, fourth-highest Sb of dataset. Lithologically unique.</t>
  </si>
  <si>
    <t>SBM-NWP-G13-HB-HeterogeneityProfile.ncd</t>
  </si>
  <si>
    <t>Done as proof-of-concept depth profile. Boulder cut and sampled by ERRG. All 18 readings clean, no discards. Boulder very low Hg/As at all depths.</t>
  </si>
  <si>
    <t>Highest Hg in DRA Hard. Fills mid-range Hg position between WRD-G14-B1 (335) and NWP-G14-B1 (2,291).</t>
  </si>
  <si>
    <t>4b</t>
  </si>
  <si>
    <t>Highest Hg in SWRP. Cleanest cinnabar-only Friable representative; isolates cinnabar Hg release rate from triple-mineralized matrix.</t>
  </si>
  <si>
    <t>Added per John B 5/5. Promoted to primary 14 on 5/7 after WWRP-G15 confirmed out (toe of west ore pile, off shoreline scope). Replaces WWRP-G15-B2 in primary scope.</t>
  </si>
  <si>
    <t>Pending</t>
  </si>
  <si>
    <t>100% Sb spot detection (10/10) at 111 ppm. Cleanest representation of testing bulk-distributed vs point-mineralized Sb leaching.</t>
  </si>
  <si>
    <t>EXTRA depth profile (not on primary 1-14 list). 18 valid readings.</t>
  </si>
  <si>
    <t>Argillic alteration without ore overprint</t>
  </si>
  <si>
    <t>Only Tier 2 boulder targeting alteration mineralogy. Tests K-Al-S assemblage (alunite/jarosite/zeolite-S per W&amp;R p.408) without ore-zone confounding.</t>
  </si>
  <si>
    <t>Out of scope</t>
  </si>
  <si>
    <t>Tests whether As-in-andesite leaches together with Hg from a single boulder. Complementary to WWRP-G07-B1 (As-only).</t>
  </si>
  <si>
    <t>NWRP geographic representative for high-Hg ore-zone andesite. NWRP previously underrepresented in Hard high-Hg category.</t>
  </si>
  <si>
    <t>Aragonite-calcite hot-spring sinter (As-bearing variant)</t>
  </si>
  <si>
    <t>Sinter chemistry (Si+Ca dominant) but with anomalous As 285 ppm and Sb 39 ppm at 100% detection. Tests As+Sb co-leaching from carbonate matrix without cinnabar.</t>
  </si>
  <si>
    <t>EXTRA depth profile (not on primary 1-14 list). 19 valid readings. Rdg 546 flagged short (91s) but kept.</t>
  </si>
  <si>
    <t>2a</t>
  </si>
  <si>
    <t>Fresh/propylitic andesite (background)</t>
  </si>
  <si>
    <t>Anchors low end of all three leaching curves. Field team picks final boulder based on Hg &lt;LOD across all 5 spots in next data drop. (Alt: WRD-G09-B1.)</t>
  </si>
  <si>
    <t>&lt;5</t>
  </si>
  <si>
    <t>Alt 1</t>
  </si>
  <si>
    <t>Alt</t>
  </si>
  <si>
    <t>Geographic confirmation of As-without-Hg signal in SWRP at lower concentration than WWRP-G07-B1. Brings SWRP coverage to 2 boulders.</t>
  </si>
  <si>
    <t>Alt 2</t>
  </si>
  <si>
    <t>5a</t>
  </si>
  <si>
    <t>Background silicified chert</t>
  </si>
  <si>
    <t>Background silicified chert. Pairs with WWRP-G15-B2 (Tier 1) for chert-host comparison and bracketed leaching curve.</t>
  </si>
  <si>
    <t>Shoreline</t>
  </si>
  <si>
    <t>SBM-WRD-G1-HB-B1</t>
  </si>
  <si>
    <t>?</t>
  </si>
  <si>
    <t>WRD shoreline (off primary 14)</t>
  </si>
  <si>
    <t>WRD shoreline depth XRF — added 5/7 per Kat+Adam confirmation that shoreline coverage extends beyond primary 14.</t>
  </si>
  <si>
    <t>SBM-WRD-G1-G5-G2-G4_Depth_X501203_05072026.ncd</t>
  </si>
  <si>
    <t>WRD shoreline depth XRF (off primary 14). 19 valid readings.</t>
  </si>
  <si>
    <t>SBM-WRD-G5-HB-B1</t>
  </si>
  <si>
    <t>WRD shoreline depth XRF (off primary 14). 21 valid readings.</t>
  </si>
  <si>
    <t>SBM-WRD-G2-HB-B1</t>
  </si>
  <si>
    <t>SBM-WRD-G4-FB-B2</t>
  </si>
  <si>
    <t>WRD shoreline depth XRF (off primary 14). 18 valid readings.</t>
  </si>
  <si>
    <t>SBM-WRD-G3-HB-B1</t>
  </si>
  <si>
    <t>SBM-WRD-G2-G3-G4_Depth_X500456_05072026.ncd</t>
  </si>
  <si>
    <t>SBM-WRD-G4-HB-B1</t>
  </si>
  <si>
    <t>SBM-WRD-G2-HB-B2</t>
  </si>
  <si>
    <t>SBM-WRD-G3-HB-B2</t>
  </si>
  <si>
    <t>SBM-WRD-G08-HB-B1</t>
  </si>
  <si>
    <t>WRD shoreline depth XRF — added 5/8 per Kat+Adam confirmation that shoreline coverage extends beyond primary 14.</t>
  </si>
  <si>
    <t>2026-05-08_WRD-G11-G8-G9-G10-G6-G7_X500456.ncd</t>
  </si>
  <si>
    <t>WRD shoreline depth XRF — 5/8 (off primary 14). 18 valid readings.</t>
  </si>
  <si>
    <t>SBM-WRD-G09-HB-B1</t>
  </si>
  <si>
    <t>SBM-WRD-G10-HB-B1</t>
  </si>
  <si>
    <t>SBM-WRD-G06-HB-B1</t>
  </si>
  <si>
    <t>WRD shoreline depth XRF — 5/8 (off primary 14). 19 valid readings.</t>
  </si>
  <si>
    <t>SBM-WRD-G07-HB-B1</t>
  </si>
  <si>
    <t>SBM-WRD-G11-HB-B1</t>
  </si>
  <si>
    <t>SBM-WRD-G07-FB-B2</t>
  </si>
  <si>
    <t>2026-05-08_WRD-G12-G11-G12-G6-G10-G8-G7_X501203.ncd</t>
  </si>
  <si>
    <t>SBM-WRD-G08-FB-B2</t>
  </si>
  <si>
    <t>SBM-WRD-G10-HB-B2</t>
  </si>
  <si>
    <t>SBM-WRD-G06-FB-B2</t>
  </si>
  <si>
    <t>SBM-WRD-G12-HB-B1</t>
  </si>
  <si>
    <t>SBM-WRD-G11-HB-B2</t>
  </si>
  <si>
    <t>SBM-WRD-G12-HB-B2</t>
  </si>
  <si>
    <t>SBMM OU1 — Heterogeneity (Depth) XRF Reading Detail</t>
  </si>
  <si>
    <t>Per-reading log of depth-XRF data. Protocol: 9 depths (0, 0.5, 1, 1.5, 2, 2.5, 3, 3.5, 4 in.), 2 shots per depth (3rd if RPD &gt; 50%). Min 18 readings per boulder.</t>
  </si>
  <si>
    <t>Element Results (ppm)</t>
  </si>
  <si>
    <t>XRF Rdg #</t>
  </si>
  <si>
    <t>Depth
(in)</t>
  </si>
  <si>
    <t>Replicate
#</t>
  </si>
  <si>
    <t>Sb
(ppm)</t>
  </si>
  <si>
    <t>WRD HI (Herman Impoundment) side — primary 14, not shoreline</t>
  </si>
  <si>
    <t>WRD shoreline depth XRF</t>
  </si>
  <si>
    <t>WRD shoreline depth XRF (primary 14 + shoreline)</t>
  </si>
  <si>
    <t>SBMM OU1 — Crushing &amp; Depth-XRF Field Checklist</t>
  </si>
  <si>
    <t>22 boulders for crushing/depth-XRF per John B 5/2/2026. Grouped by area for field workflow. Tick boxes (mark X or initials) as steps complete.</t>
  </si>
  <si>
    <t>DRA  —  3 boulders</t>
  </si>
  <si>
    <t>Subtype</t>
  </si>
  <si>
    <t>Located
☐</t>
  </si>
  <si>
    <t>Cut
☐</t>
  </si>
  <si>
    <t>Photos
☐</t>
  </si>
  <si>
    <t>Depth-XRF
☐</t>
  </si>
  <si>
    <t>Powder
☐</t>
  </si>
  <si>
    <t>Geo Scrutiny
☐</t>
  </si>
  <si>
    <t>Decon
☐</t>
  </si>
  <si>
    <t>Date / Initials</t>
  </si>
  <si>
    <t>✓</t>
  </si>
  <si>
    <t>✓ 5/6</t>
  </si>
  <si>
    <t>✓ 5/8</t>
  </si>
  <si>
    <t>5/6/26 — ERRG</t>
  </si>
  <si>
    <t>N/A</t>
  </si>
  <si>
    <t>✓ 5/5</t>
  </si>
  <si>
    <t>Field Notes:</t>
  </si>
  <si>
    <t>NWP  —  4 boulders</t>
  </si>
  <si>
    <t>✓ 5/7</t>
  </si>
  <si>
    <t>Added to primary 14 (#15) per John B 5/5; crushed 5/7 by ERRG. Replaces WWRP-G15.</t>
  </si>
  <si>
    <t>✓ 5/4</t>
  </si>
  <si>
    <t>✓ 5/4 (trial)</t>
  </si>
  <si>
    <t>5/4/26 — MG</t>
  </si>
  <si>
    <t>NWRP  —  4 boulders</t>
  </si>
  <si>
    <t>3a-arg</t>
  </si>
  <si>
    <t>NWWRP  —  1 boulder</t>
  </si>
  <si>
    <t>SWRP  —  2 boulders</t>
  </si>
  <si>
    <t>Moved to Alt 1 per John B 5/5</t>
  </si>
  <si>
    <t>WRD  —  4 boulders</t>
  </si>
  <si>
    <t>✓ 5/5 (extra)</t>
  </si>
  <si>
    <t>5/5/26 — AL/MG</t>
  </si>
  <si>
    <t>✓ 5/5 (shoreline)</t>
  </si>
  <si>
    <t>5/5/26 — AL</t>
  </si>
  <si>
    <t>✓ 5/5 (HI side)</t>
  </si>
  <si>
    <t>WWRP  —  4 boulders</t>
  </si>
  <si>
    <t>DROPPED</t>
  </si>
  <si>
    <t>DROPPED 5/7 — off shoreline scope, no crushing/powder</t>
  </si>
  <si>
    <t>Powder Sample XRF Detail — per-reading log</t>
  </si>
  <si>
    <t>Each row = one XRF reading on a homogenized powder sub-sample. Mining mode required for high-Hg/As/Sb boulders.</t>
  </si>
  <si>
    <t>Sample Identification</t>
  </si>
  <si>
    <t>Reading Info</t>
  </si>
  <si>
    <t>Concentrations (ppm)</t>
  </si>
  <si>
    <t>Parent
Boulder</t>
  </si>
  <si>
    <t>Shot #</t>
  </si>
  <si>
    <t>Time</t>
  </si>
  <si>
    <t>Mode</t>
  </si>
  <si>
    <t>Duration
(s)</t>
  </si>
  <si>
    <t>Fe (%)</t>
  </si>
  <si>
    <t>XRF S/N</t>
  </si>
  <si>
    <t>SBM-WRD-G05-FB</t>
  </si>
  <si>
    <t>SBM-WRD-G05-FB-B2</t>
  </si>
  <si>
    <t>Mining</t>
  </si>
  <si>
    <t>Shot 1 — homogenized powder</t>
  </si>
  <si>
    <t>Shot 2 — repeat for verification</t>
  </si>
  <si>
    <t>SBM-WWRP-G07-HB</t>
  </si>
  <si>
    <t>SBM-WWRP-G07-HB-B1</t>
  </si>
  <si>
    <t>SBM-NWRP-G12-HB</t>
  </si>
  <si>
    <t>SBM-NWRP-G12-HB-B1</t>
  </si>
  <si>
    <t>SBM-DRA-G13-FB</t>
  </si>
  <si>
    <t>SBM-DRA-G13-FB-B1</t>
  </si>
  <si>
    <t>SBM-WWRP-G02-FB</t>
  </si>
  <si>
    <t>SBM-WWRP-G02-FB-B1</t>
  </si>
  <si>
    <t>SBM-WRD-G14-HB</t>
  </si>
  <si>
    <t>SBM-WRD-G14-HB-B1</t>
  </si>
  <si>
    <t>SBM-NWP-G14-HB</t>
  </si>
  <si>
    <t>SBM-NWP-G14-HB-B1</t>
  </si>
  <si>
    <t>SBM-NWP-G12-HB</t>
  </si>
  <si>
    <t>SBM-NWP-G12-HB-B1</t>
  </si>
  <si>
    <t>SBM-NWWRP-G07-HB</t>
  </si>
  <si>
    <t>SBM-NWWRP-G07-HB-B1</t>
  </si>
  <si>
    <t>SBM-NWP-G08-HB</t>
  </si>
  <si>
    <t>SBM-NWP-G08-HB-B1</t>
  </si>
  <si>
    <t>SBM-NWP-G13-HB</t>
  </si>
  <si>
    <t>SBM-NWP-G13-HB-B1</t>
  </si>
  <si>
    <t>SBM-SWRP-G08-FB</t>
  </si>
  <si>
    <t>SBM-SWRP-G08-FB-B1</t>
  </si>
  <si>
    <t>SBM-DRA-G01-HB</t>
  </si>
  <si>
    <t>SBM-DRA-G01-HB-B1</t>
  </si>
  <si>
    <t>SBM-DRA-G10-FB</t>
  </si>
  <si>
    <t>SBM-DRA-G10-FB-B1</t>
  </si>
  <si>
    <t>Powder Sample Collection Checklist — Primary 14 Boulders</t>
  </si>
  <si>
    <t>Field reference: track which crushed boulders had powder collected, and which QC sub-samples were taken (FD/MS/MSD).</t>
  </si>
  <si>
    <t>Boulder</t>
  </si>
  <si>
    <t>Crushed?</t>
  </si>
  <si>
    <t>Powder Collection (5/6 = today)</t>
  </si>
  <si>
    <t>Crushed
(Y/N)</t>
  </si>
  <si>
    <t>Parent
Collected</t>
  </si>
  <si>
    <t>FD
Collected</t>
  </si>
  <si>
    <t>MS
Collected</t>
  </si>
  <si>
    <t>MSD
Collected</t>
  </si>
  <si>
    <t>SBM-WWRP-G02-FB-B2</t>
  </si>
  <si>
    <t>5/6/26 — A. Lineberger</t>
  </si>
  <si>
    <t>SBM-DRA-G13-FB-B2</t>
  </si>
  <si>
    <t>5/7/26 — Mo/Tyler</t>
  </si>
  <si>
    <t>SBM-WWRP-G15-FB-B2</t>
  </si>
  <si>
    <t>OUT</t>
  </si>
  <si>
    <t>DROPPED 5/7 — toe of west ore pile, off shoreline scope</t>
  </si>
  <si>
    <t>5/8/26 — Me (Mo)</t>
  </si>
  <si>
    <t>SBM-NWRP-G12-FB-B2</t>
  </si>
  <si>
    <t>SBM-SWRP-G08-FB-B2</t>
  </si>
  <si>
    <t>Powder Sample Counts vs Lab Targets (per Adam 5/6/2026)</t>
  </si>
  <si>
    <t>Sample Type</t>
  </si>
  <si>
    <t>Target
(Adam)</t>
  </si>
  <si>
    <t>Sent to Lab
(prior to 5/6)</t>
  </si>
  <si>
    <t>Collected
Since 5/6</t>
  </si>
  <si>
    <t>Remaining
to Collect</t>
  </si>
  <si>
    <t>Parent Samples</t>
  </si>
  <si>
    <t>5/6: 6 (WWRP-G02,DRA-G13,WRD-G05,WWRP-G07,WRD-G14,NWRP-G12). 5/7: 5 (NWP-G14,NWWRP-G07,NWP-G08,NWP-G13,NWP-G12). 5/8: 3 (DRA-G01,DRA-G10,SWRP-G08). All 14 primary collected.</t>
  </si>
  <si>
    <t>Field Duplicates (FD)</t>
  </si>
  <si>
    <t>Tier 1: DRA-G13, WRD-G05, NWP-G14, WWRP-G07, DRA-G01, NWWRP-G07 (6). Tier 2: NWRP-G12, SWRP-G08, NWP-G12 (3). Total 9.</t>
  </si>
  <si>
    <t>4 new since 5/6: WWRP-G02 (5/6), WRD-G14 (5/6), NWP-G13 (5/7), DRA-G10 (5/8) + 1 prior SWRP-G15-HB = 5 total collected. 2 more pairs to reach target.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</si>
</sst>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%"/>
    <numFmt numFmtId="166" formatCode="mm/dd/yy"/>
    <numFmt numFmtId="167" formatCode="m/d/yy"/>
    <numFmt numFmtId="168" formatCode="yyyy\-mm\-dd\ h:mm:ss"/>
  </numFmts>
  <fonts count="39" x14ac:knownFonts="1">
    <font>
      <sz val="11"/>
      <color theme="1"/>
      <name val="Calibri"/>
      <family val="2"/>
      <charset val="1"/>
    </font>
    <font>
      <sz val="11"/>
      <name val="Cambria"/>
      <charset val="1"/>
    </font>
    <font>
      <b/>
      <sz val="18"/>
      <color rgb="FFFFFFFF"/>
      <name val="Calibri"/>
      <charset val="1"/>
    </font>
    <font>
      <i/>
      <sz val="11"/>
      <color rgb="FFFFFFFF"/>
      <name val="Calibri"/>
      <charset val="1"/>
    </font>
    <font>
      <b/>
      <sz val="10"/>
      <color rgb="FFFFFFFF"/>
      <name val="Calibri"/>
      <charset val="1"/>
    </font>
    <font>
      <b/>
      <sz val="24"/>
      <color rgb="FFFFFFFF"/>
      <name val="Calibri"/>
      <charset val="1"/>
    </font>
    <font>
      <b/>
      <sz val="12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name val="Calibri"/>
      <charset val="1"/>
    </font>
    <font>
      <sz val="10"/>
      <name val="Calibri"/>
      <charset val="1"/>
    </font>
    <font>
      <b/>
      <sz val="11"/>
      <color rgb="FF1F3864"/>
      <name val="Calibri"/>
      <charset val="1"/>
    </font>
    <font>
      <b/>
      <sz val="11"/>
      <name val="Calibri"/>
      <charset val="1"/>
    </font>
    <font>
      <i/>
      <sz val="10"/>
      <name val="Calibri"/>
      <charset val="1"/>
    </font>
    <font>
      <sz val="11"/>
      <name val="Calibri"/>
      <charset val="1"/>
    </font>
    <font>
      <i/>
      <sz val="9"/>
      <color rgb="FF808080"/>
      <name val="Calibri"/>
      <charset val="1"/>
    </font>
    <font>
      <b/>
      <sz val="14"/>
      <color rgb="FF1F3864"/>
      <name val="Arial"/>
      <family val="2"/>
      <charset val="1"/>
    </font>
    <font>
      <i/>
      <sz val="10"/>
      <color rgb="FF4472C4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name val="Arial"/>
      <family val="2"/>
      <charset val="1"/>
    </font>
    <font>
      <b/>
      <sz val="14"/>
      <color rgb="FF2F5496"/>
      <name val="Calibri"/>
      <family val="2"/>
      <charset val="1"/>
    </font>
    <font>
      <sz val="11"/>
      <name val="Calibri"/>
      <family val="2"/>
      <charset val="1"/>
    </font>
    <font>
      <i/>
      <sz val="10"/>
      <color rgb="FF808080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0"/>
      <name val="Calibri"/>
      <family val="2"/>
      <charset val="1"/>
    </font>
    <font>
      <b/>
      <sz val="14"/>
      <color rgb="FFFFFFFF"/>
      <name val="Calibri"/>
      <charset val="1"/>
    </font>
    <font>
      <sz val="8.5"/>
      <name val="Arial Narrow"/>
      <family val="2"/>
      <charset val="1"/>
    </font>
    <font>
      <b/>
      <sz val="9"/>
      <name val="Arial Narrow"/>
      <family val="2"/>
      <charset val="1"/>
    </font>
    <font>
      <b/>
      <i/>
      <sz val="10"/>
      <name val="Calibri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name val="Arial"/>
      <charset val="1"/>
    </font>
    <font>
      <sz val="11"/>
      <color theme="1"/>
      <name val="Calibri"/>
      <charset val="1"/>
    </font>
    <font>
      <strike/>
      <sz val="10"/>
      <name val="Arial"/>
      <charset val="1"/>
    </font>
    <font>
      <strike/>
      <sz val="11"/>
      <color theme="1"/>
      <name val="Calibri"/>
      <charset val="1"/>
    </font>
    <font>
      <strike/>
      <sz val="10"/>
      <name val="Arial"/>
      <family val="2"/>
      <charset val="1"/>
    </font>
    <font>
      <b/>
      <sz val="14"/>
      <color rgb="FFFFFFFF"/>
      <name val="Arial"/>
      <family val="2"/>
      <charset val="1"/>
    </font>
    <font>
      <strike/>
      <sz val="11"/>
      <color rgb="FF999999"/>
      <name val="Calibri"/>
      <charset val="1"/>
    </font>
    <font>
      <b/>
      <sz val="12"/>
      <color rgb="FFFFFFFF"/>
      <name val="Cambria"/>
      <charset val="1"/>
    </font>
    <font>
      <i/>
      <sz val="10"/>
      <color rgb="FF666666"/>
      <name val="Cambria"/>
      <charset val="1"/>
    </font>
  </fonts>
  <fills count="2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305496"/>
        <bgColor rgb="FF2F5496"/>
      </patternFill>
    </fill>
    <fill>
      <patternFill patternType="solid">
        <fgColor rgb="FF2E75B6"/>
        <bgColor rgb="FF4472C4"/>
      </patternFill>
    </fill>
    <fill>
      <patternFill patternType="solid">
        <fgColor rgb="FFC55A11"/>
        <bgColor rgb="FF993300"/>
      </patternFill>
    </fill>
    <fill>
      <patternFill patternType="solid">
        <fgColor rgb="FF548235"/>
        <bgColor rgb="FF66666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EEEEE"/>
      </patternFill>
    </fill>
    <fill>
      <patternFill patternType="solid">
        <fgColor rgb="FFD9E1F2"/>
        <bgColor rgb="FFE7E6E6"/>
      </patternFill>
    </fill>
    <fill>
      <patternFill patternType="solid">
        <fgColor rgb="FFBF8F00"/>
        <bgColor rgb="FFC55A11"/>
      </patternFill>
    </fill>
    <fill>
      <patternFill patternType="solid">
        <fgColor rgb="FF2F5496"/>
        <bgColor rgb="FF305496"/>
      </patternFill>
    </fill>
    <fill>
      <patternFill patternType="solid">
        <fgColor rgb="FFFFF2CC"/>
        <bgColor rgb="FFFCE4E4"/>
      </patternFill>
    </fill>
    <fill>
      <patternFill patternType="solid">
        <fgColor rgb="FFFFE699"/>
        <bgColor rgb="FFFFF2CC"/>
      </patternFill>
    </fill>
    <fill>
      <patternFill patternType="solid">
        <fgColor rgb="FF1F4E79"/>
        <bgColor rgb="FF2F5496"/>
      </patternFill>
    </fill>
    <fill>
      <patternFill patternType="solid">
        <fgColor rgb="FFFCE4E4"/>
        <bgColor rgb="FFEEEEEE"/>
      </patternFill>
    </fill>
    <fill>
      <patternFill patternType="solid">
        <fgColor rgb="FFE7E6E6"/>
        <bgColor rgb="FFEEEEEE"/>
      </patternFill>
    </fill>
    <fill>
      <patternFill patternType="solid">
        <fgColor rgb="FFEEEEEE"/>
        <bgColor rgb="FFF2F2F2"/>
      </patternFill>
    </fill>
    <fill>
      <patternFill patternType="solid">
        <fgColor rgb="FFE8F4DD"/>
        <bgColor rgb="FFEEEEEE"/>
      </patternFill>
    </fill>
    <fill>
      <patternFill patternType="solid">
        <fgColor rgb="FF4F81BD"/>
        <bgColor rgb="FF4472C4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</borders>
  <cellStyleXfs count="1">
    <xf numFmtId="0" fontId="0" fillId="0" borderId="0"/>
  </cellStyleXfs>
  <cellXfs count="221">
    <xf numFmtId="0" fontId="0" fillId="0" borderId="0" xfId="0"/>
    <xf numFmtId="9" fontId="5" fillId="6" borderId="0" xfId="0" applyNumberFormat="1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3" fontId="5" fillId="4" borderId="0" xfId="0" applyNumberFormat="1" applyFont="1" applyFill="1" applyAlignment="1">
      <alignment horizontal="center" vertical="center"/>
    </xf>
    <xf numFmtId="3" fontId="5" fillId="3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8" fillId="1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6" fillId="0" borderId="0" xfId="0" applyFont="1"/>
    <xf numFmtId="0" fontId="15" fillId="0" borderId="0" xfId="0" applyFont="1"/>
    <xf numFmtId="0" fontId="1" fillId="0" borderId="0" xfId="0" applyFont="1"/>
    <xf numFmtId="164" fontId="1" fillId="0" borderId="0" xfId="0" applyNumberFormat="1" applyFont="1"/>
    <xf numFmtId="0" fontId="7" fillId="3" borderId="1" xfId="0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/>
    </xf>
    <xf numFmtId="3" fontId="9" fillId="7" borderId="1" xfId="0" applyNumberFormat="1" applyFont="1" applyFill="1" applyBorder="1" applyAlignment="1">
      <alignment horizontal="center" vertical="center" wrapText="1"/>
    </xf>
    <xf numFmtId="2" fontId="9" fillId="7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/>
    </xf>
    <xf numFmtId="3" fontId="9" fillId="8" borderId="1" xfId="0" applyNumberFormat="1" applyFont="1" applyFill="1" applyBorder="1" applyAlignment="1">
      <alignment horizontal="center" vertical="center" wrapText="1"/>
    </xf>
    <xf numFmtId="2" fontId="9" fillId="8" borderId="1" xfId="0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3" fontId="10" fillId="9" borderId="1" xfId="0" applyNumberFormat="1" applyFont="1" applyFill="1" applyBorder="1" applyAlignment="1">
      <alignment horizontal="center" vertical="center" wrapText="1"/>
    </xf>
    <xf numFmtId="2" fontId="10" fillId="9" borderId="1" xfId="0" applyNumberFormat="1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3" fontId="11" fillId="7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/>
    <xf numFmtId="1" fontId="11" fillId="7" borderId="1" xfId="0" applyNumberFormat="1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center" vertical="center" wrapText="1"/>
    </xf>
    <xf numFmtId="1" fontId="13" fillId="7" borderId="1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3" fontId="11" fillId="8" borderId="1" xfId="0" applyNumberFormat="1" applyFont="1" applyFill="1" applyBorder="1" applyAlignment="1">
      <alignment horizontal="center" vertical="center" wrapText="1"/>
    </xf>
    <xf numFmtId="0" fontId="1" fillId="8" borderId="1" xfId="0" applyFont="1" applyFill="1" applyBorder="1"/>
    <xf numFmtId="1" fontId="11" fillId="8" borderId="1" xfId="0" applyNumberFormat="1" applyFont="1" applyFill="1" applyBorder="1" applyAlignment="1">
      <alignment horizontal="center" vertical="center" wrapText="1"/>
    </xf>
    <xf numFmtId="0" fontId="12" fillId="8" borderId="1" xfId="0" applyFont="1" applyFill="1" applyBorder="1" applyAlignment="1">
      <alignment horizontal="center" vertical="center" wrapText="1"/>
    </xf>
    <xf numFmtId="1" fontId="13" fillId="8" borderId="1" xfId="0" applyNumberFormat="1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165" fontId="11" fillId="8" borderId="1" xfId="0" applyNumberFormat="1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166" fontId="18" fillId="7" borderId="1" xfId="0" applyNumberFormat="1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166" fontId="18" fillId="8" borderId="1" xfId="0" applyNumberFormat="1" applyFont="1" applyFill="1" applyBorder="1" applyAlignment="1">
      <alignment horizontal="center" vertical="center" wrapText="1"/>
    </xf>
    <xf numFmtId="0" fontId="18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164" fontId="18" fillId="8" borderId="1" xfId="0" applyNumberFormat="1" applyFont="1" applyFill="1" applyBorder="1" applyAlignment="1">
      <alignment horizontal="center" vertical="center" wrapText="1"/>
    </xf>
    <xf numFmtId="164" fontId="18" fillId="7" borderId="1" xfId="0" applyNumberFormat="1" applyFont="1" applyFill="1" applyBorder="1" applyAlignment="1">
      <alignment horizontal="center" vertical="center" wrapText="1"/>
    </xf>
    <xf numFmtId="14" fontId="18" fillId="7" borderId="1" xfId="0" applyNumberFormat="1" applyFont="1" applyFill="1" applyBorder="1" applyAlignment="1">
      <alignment horizontal="center" vertical="center" wrapText="1"/>
    </xf>
    <xf numFmtId="14" fontId="18" fillId="8" borderId="1" xfId="0" applyNumberFormat="1" applyFont="1" applyFill="1" applyBorder="1" applyAlignment="1">
      <alignment horizontal="center" vertical="center" wrapText="1"/>
    </xf>
    <xf numFmtId="166" fontId="18" fillId="7" borderId="2" xfId="0" applyNumberFormat="1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166" fontId="18" fillId="8" borderId="2" xfId="0" applyNumberFormat="1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20" fillId="0" borderId="0" xfId="0" applyFont="1"/>
    <xf numFmtId="0" fontId="23" fillId="7" borderId="1" xfId="0" applyFont="1" applyFill="1" applyBorder="1" applyAlignment="1">
      <alignment horizontal="center" vertical="center"/>
    </xf>
    <xf numFmtId="166" fontId="23" fillId="7" borderId="1" xfId="0" applyNumberFormat="1" applyFont="1" applyFill="1" applyBorder="1" applyAlignment="1">
      <alignment horizontal="center" vertical="center"/>
    </xf>
    <xf numFmtId="2" fontId="23" fillId="7" borderId="1" xfId="0" applyNumberFormat="1" applyFont="1" applyFill="1" applyBorder="1" applyAlignment="1">
      <alignment horizontal="center" vertical="center"/>
    </xf>
    <xf numFmtId="164" fontId="23" fillId="7" borderId="1" xfId="0" applyNumberFormat="1" applyFont="1" applyFill="1" applyBorder="1" applyAlignment="1">
      <alignment horizontal="center" vertical="center"/>
    </xf>
    <xf numFmtId="0" fontId="23" fillId="8" borderId="1" xfId="0" applyFont="1" applyFill="1" applyBorder="1" applyAlignment="1">
      <alignment horizontal="center" vertical="center"/>
    </xf>
    <xf numFmtId="166" fontId="23" fillId="8" borderId="1" xfId="0" applyNumberFormat="1" applyFont="1" applyFill="1" applyBorder="1" applyAlignment="1">
      <alignment horizontal="center" vertical="center"/>
    </xf>
    <xf numFmtId="2" fontId="23" fillId="8" borderId="1" xfId="0" applyNumberFormat="1" applyFont="1" applyFill="1" applyBorder="1" applyAlignment="1">
      <alignment horizontal="center" vertical="center"/>
    </xf>
    <xf numFmtId="164" fontId="23" fillId="8" borderId="1" xfId="0" applyNumberFormat="1" applyFont="1" applyFill="1" applyBorder="1" applyAlignment="1">
      <alignment horizontal="center" vertical="center"/>
    </xf>
    <xf numFmtId="0" fontId="23" fillId="7" borderId="1" xfId="0" applyFont="1" applyFill="1" applyBorder="1" applyAlignment="1">
      <alignment horizontal="center" vertical="center" wrapText="1"/>
    </xf>
    <xf numFmtId="166" fontId="23" fillId="7" borderId="1" xfId="0" applyNumberFormat="1" applyFont="1" applyFill="1" applyBorder="1" applyAlignment="1">
      <alignment horizontal="center" vertical="center" wrapText="1"/>
    </xf>
    <xf numFmtId="2" fontId="23" fillId="7" borderId="1" xfId="0" applyNumberFormat="1" applyFont="1" applyFill="1" applyBorder="1" applyAlignment="1">
      <alignment horizontal="center" vertical="center" wrapText="1"/>
    </xf>
    <xf numFmtId="0" fontId="23" fillId="8" borderId="1" xfId="0" applyFont="1" applyFill="1" applyBorder="1" applyAlignment="1">
      <alignment horizontal="center" vertical="center" wrapText="1"/>
    </xf>
    <xf numFmtId="166" fontId="23" fillId="8" borderId="1" xfId="0" applyNumberFormat="1" applyFont="1" applyFill="1" applyBorder="1" applyAlignment="1">
      <alignment horizontal="center" vertical="center" wrapText="1"/>
    </xf>
    <xf numFmtId="2" fontId="23" fillId="8" borderId="1" xfId="0" applyNumberFormat="1" applyFont="1" applyFill="1" applyBorder="1" applyAlignment="1">
      <alignment horizontal="center" vertical="center" wrapText="1"/>
    </xf>
    <xf numFmtId="164" fontId="23" fillId="8" borderId="1" xfId="0" applyNumberFormat="1" applyFont="1" applyFill="1" applyBorder="1" applyAlignment="1">
      <alignment horizontal="center" vertical="center" wrapText="1"/>
    </xf>
    <xf numFmtId="164" fontId="23" fillId="7" borderId="1" xfId="0" applyNumberFormat="1" applyFont="1" applyFill="1" applyBorder="1" applyAlignment="1">
      <alignment horizontal="center" vertical="center" wrapText="1"/>
    </xf>
    <xf numFmtId="14" fontId="23" fillId="7" borderId="1" xfId="0" applyNumberFormat="1" applyFont="1" applyFill="1" applyBorder="1" applyAlignment="1">
      <alignment horizontal="center" vertical="center" wrapText="1"/>
    </xf>
    <xf numFmtId="14" fontId="23" fillId="8" borderId="1" xfId="0" applyNumberFormat="1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167" fontId="13" fillId="7" borderId="1" xfId="0" applyNumberFormat="1" applyFont="1" applyFill="1" applyBorder="1" applyAlignment="1">
      <alignment horizontal="center" vertical="center" wrapText="1"/>
    </xf>
    <xf numFmtId="18" fontId="13" fillId="7" borderId="1" xfId="0" applyNumberFormat="1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167" fontId="13" fillId="8" borderId="1" xfId="0" applyNumberFormat="1" applyFont="1" applyFill="1" applyBorder="1" applyAlignment="1">
      <alignment horizontal="center" vertical="center" wrapText="1"/>
    </xf>
    <xf numFmtId="18" fontId="13" fillId="8" borderId="1" xfId="0" applyNumberFormat="1" applyFont="1" applyFill="1" applyBorder="1" applyAlignment="1">
      <alignment horizontal="center" vertical="center" wrapText="1"/>
    </xf>
    <xf numFmtId="0" fontId="13" fillId="12" borderId="1" xfId="0" applyFont="1" applyFill="1" applyBorder="1" applyAlignment="1">
      <alignment horizontal="center" vertical="center" wrapText="1"/>
    </xf>
    <xf numFmtId="167" fontId="13" fillId="12" borderId="1" xfId="0" applyNumberFormat="1" applyFont="1" applyFill="1" applyBorder="1" applyAlignment="1">
      <alignment horizontal="center" vertical="center" wrapText="1"/>
    </xf>
    <xf numFmtId="18" fontId="13" fillId="12" borderId="1" xfId="0" applyNumberFormat="1" applyFont="1" applyFill="1" applyBorder="1" applyAlignment="1">
      <alignment horizontal="center" vertical="center" wrapText="1"/>
    </xf>
    <xf numFmtId="0" fontId="8" fillId="13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0" fillId="8" borderId="0" xfId="0" applyFill="1"/>
    <xf numFmtId="0" fontId="0" fillId="7" borderId="0" xfId="0" applyFill="1"/>
    <xf numFmtId="0" fontId="8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center" vertical="center" wrapText="1"/>
    </xf>
    <xf numFmtId="0" fontId="26" fillId="7" borderId="1" xfId="0" applyFont="1" applyFill="1" applyBorder="1" applyAlignment="1">
      <alignment horizontal="center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left" vertical="center" wrapText="1"/>
    </xf>
    <xf numFmtId="0" fontId="27" fillId="0" borderId="0" xfId="0" applyFont="1"/>
    <xf numFmtId="0" fontId="30" fillId="7" borderId="1" xfId="0" applyFont="1" applyFill="1" applyBorder="1" applyAlignment="1">
      <alignment horizontal="center" vertical="center" wrapText="1"/>
    </xf>
    <xf numFmtId="0" fontId="30" fillId="7" borderId="1" xfId="0" applyFont="1" applyFill="1" applyBorder="1" applyAlignment="1">
      <alignment horizontal="left" vertical="center" wrapText="1"/>
    </xf>
    <xf numFmtId="1" fontId="30" fillId="7" borderId="1" xfId="0" applyNumberFormat="1" applyFont="1" applyFill="1" applyBorder="1" applyAlignment="1">
      <alignment horizontal="center" vertical="center" wrapText="1"/>
    </xf>
    <xf numFmtId="2" fontId="30" fillId="7" borderId="1" xfId="0" applyNumberFormat="1" applyFont="1" applyFill="1" applyBorder="1" applyAlignment="1">
      <alignment horizontal="center" vertical="center" wrapText="1"/>
    </xf>
    <xf numFmtId="14" fontId="30" fillId="7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0" fillId="8" borderId="1" xfId="0" applyFont="1" applyFill="1" applyBorder="1" applyAlignment="1">
      <alignment horizontal="center" vertical="center" wrapText="1"/>
    </xf>
    <xf numFmtId="0" fontId="30" fillId="8" borderId="1" xfId="0" applyFont="1" applyFill="1" applyBorder="1" applyAlignment="1">
      <alignment horizontal="left" vertical="center" wrapText="1"/>
    </xf>
    <xf numFmtId="1" fontId="30" fillId="8" borderId="1" xfId="0" applyNumberFormat="1" applyFont="1" applyFill="1" applyBorder="1" applyAlignment="1">
      <alignment horizontal="center" vertical="center" wrapText="1"/>
    </xf>
    <xf numFmtId="2" fontId="30" fillId="8" borderId="1" xfId="0" applyNumberFormat="1" applyFont="1" applyFill="1" applyBorder="1" applyAlignment="1">
      <alignment horizontal="center" vertical="center" wrapText="1"/>
    </xf>
    <xf numFmtId="14" fontId="30" fillId="8" borderId="1" xfId="0" applyNumberFormat="1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2" fontId="30" fillId="7" borderId="1" xfId="0" applyNumberFormat="1" applyFont="1" applyFill="1" applyBorder="1" applyAlignment="1">
      <alignment horizontal="left" vertical="center" wrapText="1"/>
    </xf>
    <xf numFmtId="2" fontId="30" fillId="8" borderId="1" xfId="0" applyNumberFormat="1" applyFont="1" applyFill="1" applyBorder="1" applyAlignment="1">
      <alignment horizontal="left" vertical="center" wrapText="1"/>
    </xf>
    <xf numFmtId="0" fontId="32" fillId="15" borderId="1" xfId="0" applyFont="1" applyFill="1" applyBorder="1" applyAlignment="1">
      <alignment horizontal="center" vertical="center" wrapText="1"/>
    </xf>
    <xf numFmtId="0" fontId="32" fillId="15" borderId="1" xfId="0" applyFont="1" applyFill="1" applyBorder="1" applyAlignment="1">
      <alignment horizontal="left" vertical="center" wrapText="1"/>
    </xf>
    <xf numFmtId="1" fontId="32" fillId="15" borderId="1" xfId="0" applyNumberFormat="1" applyFont="1" applyFill="1" applyBorder="1" applyAlignment="1">
      <alignment horizontal="center" vertical="center" wrapText="1"/>
    </xf>
    <xf numFmtId="2" fontId="32" fillId="15" borderId="1" xfId="0" applyNumberFormat="1" applyFont="1" applyFill="1" applyBorder="1" applyAlignment="1">
      <alignment horizontal="center" vertical="center" wrapText="1"/>
    </xf>
    <xf numFmtId="0" fontId="33" fillId="15" borderId="1" xfId="0" applyFont="1" applyFill="1" applyBorder="1" applyAlignment="1">
      <alignment horizontal="center" vertical="center" wrapText="1"/>
    </xf>
    <xf numFmtId="168" fontId="30" fillId="8" borderId="1" xfId="0" applyNumberFormat="1" applyFont="1" applyFill="1" applyBorder="1" applyAlignment="1">
      <alignment horizontal="center" vertical="center" wrapText="1"/>
    </xf>
    <xf numFmtId="168" fontId="30" fillId="7" borderId="1" xfId="0" applyNumberFormat="1" applyFont="1" applyFill="1" applyBorder="1" applyAlignment="1">
      <alignment horizontal="center" vertical="center" wrapText="1"/>
    </xf>
    <xf numFmtId="0" fontId="32" fillId="7" borderId="1" xfId="0" applyFont="1" applyFill="1" applyBorder="1" applyAlignment="1">
      <alignment horizontal="center" vertical="center" wrapText="1"/>
    </xf>
    <xf numFmtId="0" fontId="32" fillId="7" borderId="1" xfId="0" applyFont="1" applyFill="1" applyBorder="1" applyAlignment="1">
      <alignment horizontal="left" vertical="center" wrapText="1"/>
    </xf>
    <xf numFmtId="1" fontId="32" fillId="7" borderId="1" xfId="0" applyNumberFormat="1" applyFont="1" applyFill="1" applyBorder="1" applyAlignment="1">
      <alignment horizontal="center" vertical="center" wrapText="1"/>
    </xf>
    <xf numFmtId="2" fontId="32" fillId="7" borderId="1" xfId="0" applyNumberFormat="1" applyFont="1" applyFill="1" applyBorder="1" applyAlignment="1">
      <alignment horizontal="center" vertical="center" wrapText="1"/>
    </xf>
    <xf numFmtId="0" fontId="33" fillId="7" borderId="1" xfId="0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left" vertical="center" wrapText="1"/>
    </xf>
    <xf numFmtId="1" fontId="32" fillId="8" borderId="1" xfId="0" applyNumberFormat="1" applyFont="1" applyFill="1" applyBorder="1" applyAlignment="1">
      <alignment horizontal="center" vertical="center" wrapText="1"/>
    </xf>
    <xf numFmtId="2" fontId="32" fillId="8" borderId="1" xfId="0" applyNumberFormat="1" applyFont="1" applyFill="1" applyBorder="1" applyAlignment="1">
      <alignment horizontal="center" vertical="center" wrapText="1"/>
    </xf>
    <xf numFmtId="0" fontId="33" fillId="8" borderId="1" xfId="0" applyFont="1" applyFill="1" applyBorder="1" applyAlignment="1">
      <alignment horizontal="center" vertical="center" wrapText="1"/>
    </xf>
    <xf numFmtId="14" fontId="32" fillId="8" borderId="1" xfId="0" applyNumberFormat="1" applyFont="1" applyFill="1" applyBorder="1" applyAlignment="1">
      <alignment horizontal="center" vertical="center" wrapText="1"/>
    </xf>
    <xf numFmtId="0" fontId="30" fillId="16" borderId="1" xfId="0" applyFont="1" applyFill="1" applyBorder="1" applyAlignment="1">
      <alignment horizontal="center" vertical="center" wrapText="1"/>
    </xf>
    <xf numFmtId="0" fontId="30" fillId="16" borderId="1" xfId="0" applyFont="1" applyFill="1" applyBorder="1" applyAlignment="1">
      <alignment horizontal="left" vertical="center" wrapText="1"/>
    </xf>
    <xf numFmtId="1" fontId="30" fillId="16" borderId="1" xfId="0" applyNumberFormat="1" applyFont="1" applyFill="1" applyBorder="1" applyAlignment="1">
      <alignment horizontal="center" vertical="center" wrapText="1"/>
    </xf>
    <xf numFmtId="2" fontId="30" fillId="16" borderId="1" xfId="0" applyNumberFormat="1" applyFont="1" applyFill="1" applyBorder="1" applyAlignment="1">
      <alignment horizontal="center" vertical="center" wrapText="1"/>
    </xf>
    <xf numFmtId="14" fontId="30" fillId="16" borderId="1" xfId="0" applyNumberFormat="1" applyFont="1" applyFill="1" applyBorder="1" applyAlignment="1">
      <alignment horizontal="center" vertical="center" wrapText="1"/>
    </xf>
    <xf numFmtId="0" fontId="31" fillId="16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center" vertical="center" wrapText="1"/>
    </xf>
    <xf numFmtId="0" fontId="30" fillId="17" borderId="1" xfId="0" applyFont="1" applyFill="1" applyBorder="1" applyAlignment="1">
      <alignment horizontal="left" vertical="center" wrapText="1"/>
    </xf>
    <xf numFmtId="1" fontId="30" fillId="17" borderId="1" xfId="0" applyNumberFormat="1" applyFont="1" applyFill="1" applyBorder="1" applyAlignment="1">
      <alignment horizontal="center" vertical="center" wrapText="1"/>
    </xf>
    <xf numFmtId="2" fontId="30" fillId="17" borderId="1" xfId="0" applyNumberFormat="1" applyFont="1" applyFill="1" applyBorder="1" applyAlignment="1">
      <alignment horizontal="center" vertical="center" wrapText="1"/>
    </xf>
    <xf numFmtId="14" fontId="30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2" fontId="18" fillId="7" borderId="1" xfId="0" applyNumberFormat="1" applyFont="1" applyFill="1" applyBorder="1" applyAlignment="1">
      <alignment horizontal="center" vertical="center" wrapText="1"/>
    </xf>
    <xf numFmtId="2" fontId="18" fillId="8" borderId="1" xfId="0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1" fontId="18" fillId="7" borderId="1" xfId="0" applyNumberFormat="1" applyFont="1" applyFill="1" applyBorder="1" applyAlignment="1">
      <alignment horizontal="center" vertical="center" wrapText="1"/>
    </xf>
    <xf numFmtId="1" fontId="18" fillId="8" borderId="1" xfId="0" applyNumberFormat="1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164" fontId="34" fillId="7" borderId="1" xfId="0" applyNumberFormat="1" applyFont="1" applyFill="1" applyBorder="1" applyAlignment="1">
      <alignment horizontal="center" vertical="center" wrapText="1"/>
    </xf>
    <xf numFmtId="1" fontId="34" fillId="7" borderId="1" xfId="0" applyNumberFormat="1" applyFont="1" applyFill="1" applyBorder="1" applyAlignment="1">
      <alignment horizontal="center" vertical="center" wrapText="1"/>
    </xf>
    <xf numFmtId="0" fontId="18" fillId="18" borderId="1" xfId="0" applyFont="1" applyFill="1" applyBorder="1" applyAlignment="1">
      <alignment horizontal="center" vertical="center" wrapText="1"/>
    </xf>
    <xf numFmtId="164" fontId="18" fillId="18" borderId="1" xfId="0" applyNumberFormat="1" applyFont="1" applyFill="1" applyBorder="1" applyAlignment="1">
      <alignment horizontal="center" vertical="center" wrapText="1"/>
    </xf>
    <xf numFmtId="1" fontId="18" fillId="18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34" fillId="8" borderId="1" xfId="0" applyFont="1" applyFill="1" applyBorder="1" applyAlignment="1">
      <alignment horizontal="center" vertical="center" wrapText="1"/>
    </xf>
    <xf numFmtId="164" fontId="34" fillId="8" borderId="1" xfId="0" applyNumberFormat="1" applyFont="1" applyFill="1" applyBorder="1" applyAlignment="1">
      <alignment horizontal="center" vertical="center" wrapText="1"/>
    </xf>
    <xf numFmtId="1" fontId="34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35" fillId="3" borderId="0" xfId="0" applyFont="1" applyFill="1" applyAlignment="1">
      <alignment horizontal="left" vertical="center" indent="1"/>
    </xf>
    <xf numFmtId="0" fontId="36" fillId="15" borderId="1" xfId="0" applyFont="1" applyFill="1" applyBorder="1" applyAlignment="1">
      <alignment horizontal="center" vertical="center" wrapText="1"/>
    </xf>
    <xf numFmtId="0" fontId="36" fillId="15" borderId="1" xfId="0" applyFont="1" applyFill="1" applyBorder="1" applyAlignment="1">
      <alignment horizontal="center" vertical="center"/>
    </xf>
    <xf numFmtId="0" fontId="0" fillId="15" borderId="1" xfId="0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19" fontId="0" fillId="7" borderId="1" xfId="0" applyNumberFormat="1" applyFill="1" applyBorder="1" applyAlignment="1">
      <alignment horizontal="center" vertical="center" wrapText="1"/>
    </xf>
    <xf numFmtId="19" fontId="0" fillId="8" borderId="1" xfId="0" applyNumberFormat="1" applyFill="1" applyBorder="1" applyAlignment="1">
      <alignment horizontal="center" vertical="center" wrapText="1"/>
    </xf>
    <xf numFmtId="0" fontId="0" fillId="7" borderId="1" xfId="0" applyFill="1" applyBorder="1"/>
    <xf numFmtId="0" fontId="1" fillId="7" borderId="1" xfId="0" applyFont="1" applyFill="1" applyBorder="1" applyAlignment="1">
      <alignment horizontal="center" vertical="center" wrapText="1"/>
    </xf>
    <xf numFmtId="0" fontId="38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38" fillId="8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9" fillId="7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7" fillId="4" borderId="2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7" fillId="5" borderId="3" xfId="0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5" xfId="0" applyBorder="1"/>
    <xf numFmtId="0" fontId="19" fillId="0" borderId="0" xfId="0" applyFont="1"/>
    <xf numFmtId="0" fontId="21" fillId="0" borderId="0" xfId="0" applyFont="1"/>
    <xf numFmtId="0" fontId="22" fillId="11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2" fillId="0" borderId="0" xfId="0" applyFont="1"/>
    <xf numFmtId="0" fontId="28" fillId="0" borderId="0" xfId="0" applyFont="1"/>
    <xf numFmtId="0" fontId="18" fillId="0" borderId="0" xfId="0" applyFont="1"/>
    <xf numFmtId="0" fontId="29" fillId="14" borderId="0" xfId="0" applyFont="1" applyFill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7" fillId="3" borderId="0" xfId="0" applyFont="1" applyFill="1" applyAlignment="1">
      <alignment horizontal="center" vertical="center" wrapText="1"/>
    </xf>
    <xf numFmtId="0" fontId="12" fillId="8" borderId="6" xfId="0" applyFont="1" applyFill="1" applyBorder="1" applyAlignment="1">
      <alignment horizontal="left" vertical="center" wrapText="1"/>
    </xf>
    <xf numFmtId="0" fontId="0" fillId="0" borderId="0" xfId="0"/>
    <xf numFmtId="0" fontId="37" fillId="19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left" vertical="center" wrapText="1"/>
    </xf>
    <xf numFmtId="0" fontId="38" fillId="7" borderId="1" xfId="0" applyFont="1" applyFill="1" applyBorder="1" applyAlignment="1">
      <alignment horizontal="left" vertical="center" wrapText="1"/>
    </xf>
    <xf numFmtId="0" fontId="38" fillId="8" borderId="1" xfId="0" applyFont="1" applyFill="1" applyBorder="1" applyAlignment="1">
      <alignment horizontal="left" vertical="center" wrapText="1"/>
    </xf>
    <xf numFmtId="0" fontId="33" fillId="8" borderId="1" xfId="0" applyFont="1" applyFill="1" applyBorder="1" applyAlignment="1">
      <alignment horizontal="center"/>
    </xf>
    <xf numFmtId="168" fontId="33" fillId="8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3" fillId="8" borderId="1" xfId="0" applyFont="1" applyFill="1" applyBorder="1" applyAlignment="1">
      <alignment horizontal="left"/>
    </xf>
    <xf numFmtId="14" fontId="0" fillId="8" borderId="7" xfId="0" applyNumberFormat="1" applyFill="1" applyBorder="1" applyAlignment="1">
      <alignment horizontal="center" vertical="center" wrapText="1"/>
    </xf>
    <xf numFmtId="14" fontId="0" fillId="8" borderId="8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/>
    </xf>
  </cellXfs>
  <cellStyles count="1">
    <cellStyle name="Normal" xfId="0" builtinId="0"/>
  </cellStyles>
  <dxfs count="2">
    <dxf>
      <font>
        <b/>
        <sz val="9"/>
        <color rgb="FFBF8F00"/>
        <name val="Arial Narrow"/>
        <charset val="1"/>
      </font>
      <fill>
        <patternFill>
          <bgColor rgb="FFFFF2CC"/>
        </patternFill>
      </fill>
    </dxf>
    <dxf>
      <font>
        <b/>
        <sz val="10"/>
        <color rgb="FF006100"/>
        <name val="Arial Narrow"/>
        <charset val="1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548235"/>
      <rgbColor rgb="FF800080"/>
      <rgbColor rgb="FF2F5496"/>
      <rgbColor rgb="FFCCCCCC"/>
      <rgbColor rgb="FF808080"/>
      <rgbColor rgb="FF9999FF"/>
      <rgbColor rgb="FF7030A0"/>
      <rgbColor rgb="FFFFF2CC"/>
      <rgbColor rgb="FFE8F4DD"/>
      <rgbColor rgb="FF660066"/>
      <rgbColor rgb="FFFF8080"/>
      <rgbColor rgb="FF2E75B6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6EFCE"/>
      <rgbColor rgb="FFFFE699"/>
      <rgbColor rgb="FFD9E1F2"/>
      <rgbColor rgb="FFE7E6E6"/>
      <rgbColor rgb="FFF2F2F2"/>
      <rgbColor rgb="FFFCE4E4"/>
      <rgbColor rgb="FF4472C4"/>
      <rgbColor rgb="FF33CCCC"/>
      <rgbColor rgb="FF99CC00"/>
      <rgbColor rgb="FFFFCC00"/>
      <rgbColor rgb="FFBF8F00"/>
      <rgbColor rgb="FFC55A11"/>
      <rgbColor rgb="FF666666"/>
      <rgbColor rgb="FF999999"/>
      <rgbColor rgb="FF1F3864"/>
      <rgbColor rgb="FF4F81BD"/>
      <rgbColor rgb="FF003300"/>
      <rgbColor rgb="FF333300"/>
      <rgbColor rgb="FF993300"/>
      <rgbColor rgb="FF993366"/>
      <rgbColor rgb="FF305496"/>
      <rgbColor rgb="FF1F4E7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K59"/>
  <sheetViews>
    <sheetView showGridLines="0" tabSelected="1" topLeftCell="A17" zoomScaleNormal="100" workbookViewId="0">
      <selection activeCell="B46" sqref="B46:I46"/>
    </sheetView>
  </sheetViews>
  <sheetFormatPr defaultColWidth="8.6640625" defaultRowHeight="14.4" x14ac:dyDescent="0.3"/>
  <cols>
    <col min="1" max="1" width="3" customWidth="1"/>
    <col min="2" max="2" width="20.5546875" bestFit="1" customWidth="1"/>
    <col min="3" max="4" width="8.5546875" bestFit="1" customWidth="1"/>
    <col min="5" max="5" width="8.44140625" bestFit="1" customWidth="1"/>
    <col min="6" max="6" width="15.21875" bestFit="1" customWidth="1"/>
    <col min="7" max="7" width="12.33203125" bestFit="1" customWidth="1"/>
    <col min="8" max="9" width="12.44140625" bestFit="1" customWidth="1"/>
    <col min="10" max="10" width="3" customWidth="1"/>
  </cols>
  <sheetData>
    <row r="1" spans="1:11" x14ac:dyDescent="0.3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23.4" x14ac:dyDescent="0.3">
      <c r="A2" s="15"/>
      <c r="B2" s="10" t="s">
        <v>0</v>
      </c>
      <c r="C2" s="10"/>
      <c r="D2" s="10"/>
      <c r="E2" s="10"/>
      <c r="F2" s="10"/>
      <c r="G2" s="10"/>
      <c r="H2" s="10"/>
      <c r="I2" s="10"/>
      <c r="J2" s="15"/>
      <c r="K2" s="15"/>
    </row>
    <row r="3" spans="1:11" x14ac:dyDescent="0.3">
      <c r="A3" s="15"/>
      <c r="B3" s="9" t="s">
        <v>1</v>
      </c>
      <c r="C3" s="9"/>
      <c r="D3" s="9"/>
      <c r="E3" s="9"/>
      <c r="F3" s="9"/>
      <c r="G3" s="9"/>
      <c r="H3" s="9"/>
      <c r="I3" s="9"/>
      <c r="J3" s="15"/>
      <c r="K3" s="15"/>
    </row>
    <row r="4" spans="1:11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</row>
    <row r="5" spans="1:11" x14ac:dyDescent="0.3">
      <c r="A5" s="15"/>
      <c r="B5" s="8" t="s">
        <v>2</v>
      </c>
      <c r="C5" s="8"/>
      <c r="D5" s="7" t="s">
        <v>3</v>
      </c>
      <c r="E5" s="7"/>
      <c r="F5" s="6" t="s">
        <v>4</v>
      </c>
      <c r="G5" s="6"/>
      <c r="H5" s="5" t="s">
        <v>5</v>
      </c>
      <c r="I5" s="5"/>
      <c r="J5" s="15"/>
      <c r="K5" s="15"/>
    </row>
    <row r="6" spans="1:11" x14ac:dyDescent="0.3">
      <c r="A6" s="15"/>
      <c r="B6" s="4">
        <f>COUNTA('Boulder Sample Log'!A5:A204)</f>
        <v>146</v>
      </c>
      <c r="C6" s="4"/>
      <c r="D6" s="3">
        <f>SUM('Boulder Sample Log'!P5:P204)</f>
        <v>1768</v>
      </c>
      <c r="E6" s="3"/>
      <c r="F6" s="2" t="str">
        <f>COUNTIF('Lab Samples'!G$5:G$48,"Powder")&amp;" / 21"</f>
        <v>21 / 21</v>
      </c>
      <c r="G6" s="2"/>
      <c r="H6" s="1">
        <f>IFERROR(COUNTIF('Daily Verification'!K6:K100,"Pass")/(COUNTIF('Daily Verification'!K6:K100,"Pass")+COUNTIF('Daily Verification'!K6:K100,"Fail")),0)</f>
        <v>1</v>
      </c>
      <c r="I6" s="1"/>
      <c r="J6" s="15"/>
      <c r="K6" s="15"/>
    </row>
    <row r="7" spans="1:11" x14ac:dyDescent="0.3">
      <c r="A7" s="15"/>
      <c r="B7" s="4"/>
      <c r="C7" s="4"/>
      <c r="D7" s="3"/>
      <c r="E7" s="3"/>
      <c r="F7" s="2"/>
      <c r="G7" s="2"/>
      <c r="H7" s="1"/>
      <c r="I7" s="1"/>
      <c r="J7" s="15"/>
      <c r="K7" s="15"/>
    </row>
    <row r="8" spans="1:11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</row>
    <row r="9" spans="1:11" x14ac:dyDescent="0.3">
      <c r="A9" s="15"/>
      <c r="B9" s="15"/>
      <c r="C9" s="15"/>
      <c r="D9" s="15"/>
      <c r="E9" s="15"/>
      <c r="F9" s="16"/>
      <c r="G9" s="16"/>
      <c r="H9" s="16"/>
      <c r="I9" s="15"/>
      <c r="J9" s="15"/>
      <c r="K9" s="15"/>
    </row>
    <row r="10" spans="1:11" ht="15.6" x14ac:dyDescent="0.3">
      <c r="A10" s="15"/>
      <c r="B10" s="177" t="s">
        <v>6</v>
      </c>
      <c r="C10" s="177"/>
      <c r="D10" s="177"/>
      <c r="E10" s="177"/>
      <c r="F10" s="177"/>
      <c r="G10" s="177"/>
      <c r="H10" s="177"/>
      <c r="I10" s="177"/>
      <c r="J10" s="15"/>
      <c r="K10" s="15"/>
    </row>
    <row r="11" spans="1:11" ht="28.8" x14ac:dyDescent="0.3">
      <c r="A11" s="15"/>
      <c r="B11" s="17" t="s">
        <v>7</v>
      </c>
      <c r="C11" s="17" t="s">
        <v>8</v>
      </c>
      <c r="D11" s="17" t="s">
        <v>9</v>
      </c>
      <c r="E11" s="17" t="s">
        <v>10</v>
      </c>
      <c r="F11" s="18" t="s">
        <v>11</v>
      </c>
      <c r="G11" s="18" t="s">
        <v>12</v>
      </c>
      <c r="H11" s="18" t="s">
        <v>13</v>
      </c>
      <c r="I11" s="19" t="s">
        <v>13</v>
      </c>
      <c r="J11" s="15"/>
      <c r="K11" s="15"/>
    </row>
    <row r="12" spans="1:11" x14ac:dyDescent="0.3">
      <c r="A12" s="15"/>
      <c r="B12" s="20" t="s">
        <v>14</v>
      </c>
      <c r="C12" s="21">
        <f>COUNTIF('Boulder Sample Log'!B$5:B$204,B12)</f>
        <v>23</v>
      </c>
      <c r="D12" s="21">
        <f>SUMIF('Boulder Sample Log'!B$5:B$204,B12,'Boulder Sample Log'!P$5:P$204)</f>
        <v>348</v>
      </c>
      <c r="E12" s="21">
        <f>COUNTIFS('Lab Samples'!C$5:C$48,B12,'Lab Samples'!G$5:G$48,"Powder")</f>
        <v>8</v>
      </c>
      <c r="F12" s="22">
        <f>IFERROR(AVERAGEIFS('Boulder Sample Log'!Q$5:Q$204,'Boulder Sample Log'!B$5:B$204,B12,'Boulder Sample Log'!Q$5:Q$204,"&gt;0"),"-")</f>
        <v>18.418333333333333</v>
      </c>
      <c r="G12" s="22">
        <f>IFERROR(AVERAGEIFS('Boulder Sample Log'!R$5:R$204,'Boulder Sample Log'!B$5:B$204,B12,'Boulder Sample Log'!R$5:R$204,"&gt;0"),"-")</f>
        <v>9.4075000000000006</v>
      </c>
      <c r="H12" s="22">
        <f>IFERROR(AVERAGEIFS('Boulder Sample Log'!Y$5:Y$204,'Boulder Sample Log'!B$5:B$204,B12,'Boulder Sample Log'!Y$5:Y$204,"&gt;0"),"-")</f>
        <v>19.899999999999999</v>
      </c>
      <c r="I12" s="15"/>
      <c r="J12" s="15"/>
      <c r="K12" s="15"/>
    </row>
    <row r="13" spans="1:11" x14ac:dyDescent="0.3">
      <c r="A13" s="15"/>
      <c r="B13" s="23" t="s">
        <v>15</v>
      </c>
      <c r="C13" s="24">
        <f>COUNTIF('Boulder Sample Log'!B$5:B$204,B13)</f>
        <v>24</v>
      </c>
      <c r="D13" s="24">
        <f>SUMIF('Boulder Sample Log'!B$5:B$204,B13,'Boulder Sample Log'!P$5:P$204)</f>
        <v>258</v>
      </c>
      <c r="E13" s="24">
        <f>COUNTIFS('Lab Samples'!C$5:C$48,B13,'Lab Samples'!G$5:G$48,"Powder")</f>
        <v>1</v>
      </c>
      <c r="F13" s="25">
        <f>IFERROR(AVERAGEIFS('Boulder Sample Log'!Q$5:Q$204,'Boulder Sample Log'!B$5:B$204,B13,'Boulder Sample Log'!Q$5:Q$204,"&gt;0"),"-")</f>
        <v>14.114782608695652</v>
      </c>
      <c r="G13" s="25">
        <f>IFERROR(AVERAGEIFS('Boulder Sample Log'!R$5:R$204,'Boulder Sample Log'!B$5:B$204,B13,'Boulder Sample Log'!R$5:R$204,"&gt;0"),"-")</f>
        <v>10.254782608695654</v>
      </c>
      <c r="H13" s="25">
        <f>IFERROR(AVERAGEIFS('Boulder Sample Log'!Y$5:Y$204,'Boulder Sample Log'!B$5:B$204,B13,'Boulder Sample Log'!Y$5:Y$204,"&gt;0"),"-")</f>
        <v>15.504285714285714</v>
      </c>
      <c r="I13" s="15"/>
      <c r="J13" s="15"/>
      <c r="K13" s="15"/>
    </row>
    <row r="14" spans="1:11" x14ac:dyDescent="0.3">
      <c r="A14" s="15"/>
      <c r="B14" s="20" t="s">
        <v>16</v>
      </c>
      <c r="C14" s="21">
        <f>COUNTIF('Boulder Sample Log'!B$5:B$204,B14)</f>
        <v>15</v>
      </c>
      <c r="D14" s="21">
        <f>SUMIF('Boulder Sample Log'!B$5:B$204,B14,'Boulder Sample Log'!P$5:P$204)</f>
        <v>162</v>
      </c>
      <c r="E14" s="21">
        <f>COUNTIFS('Lab Samples'!C$5:C$48,B14,'Lab Samples'!G$5:G$48,"Powder")</f>
        <v>1</v>
      </c>
      <c r="F14" s="22">
        <f>IFERROR(AVERAGEIFS('Boulder Sample Log'!Q$5:Q$204,'Boulder Sample Log'!B$5:B$204,B14,'Boulder Sample Log'!Q$5:Q$204,"&gt;0"),"-")</f>
        <v>11.780666666666667</v>
      </c>
      <c r="G14" s="22">
        <f>IFERROR(AVERAGEIFS('Boulder Sample Log'!R$5:R$204,'Boulder Sample Log'!B$5:B$204,B14,'Boulder Sample Log'!R$5:R$204,"&gt;0"),"-")</f>
        <v>1.6433333333333333</v>
      </c>
      <c r="H14" s="22">
        <f>IFERROR(AVERAGEIFS('Boulder Sample Log'!Y$5:Y$204,'Boulder Sample Log'!B$5:B$204,B14,'Boulder Sample Log'!Y$5:Y$204,"&gt;0"),"-")</f>
        <v>0.53</v>
      </c>
      <c r="I14" s="15"/>
      <c r="J14" s="15"/>
      <c r="K14" s="15"/>
    </row>
    <row r="15" spans="1:11" x14ac:dyDescent="0.3">
      <c r="A15" s="15"/>
      <c r="B15" s="23" t="s">
        <v>17</v>
      </c>
      <c r="C15" s="24">
        <f>COUNTIF('Boulder Sample Log'!B$5:B$204,B15)</f>
        <v>17</v>
      </c>
      <c r="D15" s="24">
        <f>SUMIF('Boulder Sample Log'!B$5:B$204,B15,'Boulder Sample Log'!P$5:P$204)</f>
        <v>208</v>
      </c>
      <c r="E15" s="24">
        <f>COUNTIFS('Lab Samples'!C$5:C$48,B15,'Lab Samples'!G$5:G$48,"Powder")</f>
        <v>4</v>
      </c>
      <c r="F15" s="25">
        <f>IFERROR(AVERAGEIFS('Boulder Sample Log'!Q$5:Q$204,'Boulder Sample Log'!B$5:B$204,B15,'Boulder Sample Log'!Q$5:Q$204,"&gt;0"),"-")</f>
        <v>43.485882352941175</v>
      </c>
      <c r="G15" s="25">
        <f>IFERROR(AVERAGEIFS('Boulder Sample Log'!R$5:R$204,'Boulder Sample Log'!B$5:B$204,B15,'Boulder Sample Log'!R$5:R$204,"&gt;0"),"-")</f>
        <v>4.5607692307692309</v>
      </c>
      <c r="H15" s="25">
        <f>IFERROR(AVERAGEIFS('Boulder Sample Log'!Y$5:Y$204,'Boulder Sample Log'!B$5:B$204,B15,'Boulder Sample Log'!Y$5:Y$204,"&gt;0"),"-")</f>
        <v>2.7800000000000002</v>
      </c>
      <c r="I15" s="15"/>
      <c r="J15" s="15"/>
      <c r="K15" s="15"/>
    </row>
    <row r="16" spans="1:11" x14ac:dyDescent="0.3">
      <c r="A16" s="15"/>
      <c r="B16" s="20" t="s">
        <v>18</v>
      </c>
      <c r="C16" s="21">
        <f>COUNTIF('Boulder Sample Log'!B$5:B$204,B16)</f>
        <v>29</v>
      </c>
      <c r="D16" s="21">
        <f>SUMIF('Boulder Sample Log'!B$5:B$204,B16,'Boulder Sample Log'!P$5:P$204)</f>
        <v>316</v>
      </c>
      <c r="E16" s="21">
        <f>COUNTIFS('Lab Samples'!C$5:C$48,B16,'Lab Samples'!G$5:G$48,"Powder")</f>
        <v>2</v>
      </c>
      <c r="F16" s="22">
        <f>IFERROR(AVERAGEIFS('Boulder Sample Log'!Q$5:Q$204,'Boulder Sample Log'!B$5:B$204,B16,'Boulder Sample Log'!Q$5:Q$204,"&gt;0"),"-")</f>
        <v>18.962692307692308</v>
      </c>
      <c r="G16" s="22">
        <f>IFERROR(AVERAGEIFS('Boulder Sample Log'!R$5:R$204,'Boulder Sample Log'!B$5:B$204,B16,'Boulder Sample Log'!R$5:R$204,"&gt;0"),"-")</f>
        <v>25.791333333333334</v>
      </c>
      <c r="H16" s="22">
        <f>IFERROR(AVERAGEIFS('Boulder Sample Log'!Y$5:Y$204,'Boulder Sample Log'!B$5:B$204,B16,'Boulder Sample Log'!Y$5:Y$204,"&gt;0"),"-")</f>
        <v>48.263333333333335</v>
      </c>
      <c r="I16" s="15"/>
      <c r="J16" s="15"/>
      <c r="K16" s="15"/>
    </row>
    <row r="17" spans="1:11" x14ac:dyDescent="0.3">
      <c r="A17" s="15"/>
      <c r="B17" s="23" t="s">
        <v>19</v>
      </c>
      <c r="C17" s="24">
        <f>COUNTIF('Boulder Sample Log'!B$5:B$204,B17)</f>
        <v>15</v>
      </c>
      <c r="D17" s="24">
        <f>SUMIF('Boulder Sample Log'!B$5:B$204,B17,'Boulder Sample Log'!P$5:P$204)</f>
        <v>214</v>
      </c>
      <c r="E17" s="24">
        <f>COUNTIFS('Lab Samples'!C$5:C$48,B17,'Lab Samples'!G$5:G$48,"Powder")</f>
        <v>2</v>
      </c>
      <c r="F17" s="25">
        <f>IFERROR(AVERAGEIFS('Boulder Sample Log'!Q$5:Q$204,'Boulder Sample Log'!B$5:B$204,B17,'Boulder Sample Log'!Q$5:Q$204,"&gt;0"),"-")</f>
        <v>262.43666666666672</v>
      </c>
      <c r="G17" s="25">
        <f>IFERROR(AVERAGEIFS('Boulder Sample Log'!R$5:R$204,'Boulder Sample Log'!B$5:B$204,B17,'Boulder Sample Log'!R$5:R$204,"&gt;0"),"-")</f>
        <v>43.215000000000003</v>
      </c>
      <c r="H17" s="25">
        <f>IFERROR(AVERAGEIFS('Boulder Sample Log'!Y$5:Y$204,'Boulder Sample Log'!B$5:B$204,B17,'Boulder Sample Log'!Y$5:Y$204,"&gt;0"),"-")</f>
        <v>3.6966666666666668</v>
      </c>
      <c r="I17" s="15"/>
      <c r="J17" s="15"/>
      <c r="K17" s="15"/>
    </row>
    <row r="18" spans="1:11" x14ac:dyDescent="0.3">
      <c r="A18" s="15"/>
      <c r="B18" s="20" t="s">
        <v>20</v>
      </c>
      <c r="C18" s="21">
        <f>COUNTIF('Boulder Sample Log'!B$5:B$204,B18)</f>
        <v>23</v>
      </c>
      <c r="D18" s="21">
        <f>SUMIF('Boulder Sample Log'!B$5:B$204,B18,'Boulder Sample Log'!P$5:P$204)</f>
        <v>262</v>
      </c>
      <c r="E18" s="21">
        <f>COUNTIFS('Lab Samples'!C$5:C$48,B18,'Lab Samples'!G$5:G$48,"Powder")</f>
        <v>3</v>
      </c>
      <c r="F18" s="22">
        <f>IFERROR(AVERAGEIFS('Boulder Sample Log'!Q$5:Q$204,'Boulder Sample Log'!B$5:B$204,B18,'Boulder Sample Log'!Q$5:Q$204,"&gt;0"),"-")</f>
        <v>31.185263157894742</v>
      </c>
      <c r="G18" s="22">
        <f>IFERROR(AVERAGEIFS('Boulder Sample Log'!R$5:R$204,'Boulder Sample Log'!B$5:B$204,B18,'Boulder Sample Log'!R$5:R$204,"&gt;0"),"-")</f>
        <v>17.407499999999999</v>
      </c>
      <c r="H18" s="22">
        <f>IFERROR(AVERAGEIFS('Boulder Sample Log'!Y$5:Y$204,'Boulder Sample Log'!B$5:B$204,B18,'Boulder Sample Log'!Y$5:Y$204,"&gt;0"),"-")</f>
        <v>73.355000000000004</v>
      </c>
      <c r="I18" s="15"/>
      <c r="J18" s="15"/>
      <c r="K18" s="15"/>
    </row>
    <row r="19" spans="1:11" x14ac:dyDescent="0.3">
      <c r="A19" s="15"/>
      <c r="B19" s="26" t="s">
        <v>21</v>
      </c>
      <c r="C19" s="27">
        <f>SUM(C12:C18)</f>
        <v>146</v>
      </c>
      <c r="D19" s="27">
        <f>SUM(D12:D18)</f>
        <v>1768</v>
      </c>
      <c r="E19" s="27">
        <f>SUM(E12:E18)</f>
        <v>21</v>
      </c>
      <c r="F19" s="28">
        <f>IFERROR(AVERAGEIFS('Boulder Sample Log'!Q$5:Q$204,'Boulder Sample Log'!Q$5:Q$204,"&gt;0"),"-")</f>
        <v>49.580751879699257</v>
      </c>
      <c r="G19" s="28">
        <f>IFERROR(AVERAGEIFS('Boulder Sample Log'!R$5:R$204,'Boulder Sample Log'!R$5:R$204,"&gt;0"),"-")</f>
        <v>15.647864077669905</v>
      </c>
      <c r="H19" s="28">
        <f>IFERROR(AVERAGEIFS('Boulder Sample Log'!Y$5:Y$204,'Boulder Sample Log'!Y$5:Y$204,"&gt;0"),"-")</f>
        <v>26.668387096774193</v>
      </c>
      <c r="I19" s="15"/>
      <c r="J19" s="15"/>
      <c r="K19" s="15"/>
    </row>
    <row r="20" spans="1:11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</row>
    <row r="21" spans="1:11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</row>
    <row r="22" spans="1:11" ht="15.6" x14ac:dyDescent="0.3">
      <c r="A22" s="15"/>
      <c r="B22" s="177" t="s">
        <v>22</v>
      </c>
      <c r="C22" s="177"/>
      <c r="D22" s="177"/>
      <c r="E22" s="177"/>
      <c r="F22" s="177" t="s">
        <v>23</v>
      </c>
      <c r="G22" s="177"/>
      <c r="H22" s="177"/>
      <c r="I22" s="177"/>
      <c r="J22" s="15"/>
      <c r="K22" s="15"/>
    </row>
    <row r="23" spans="1:11" x14ac:dyDescent="0.3">
      <c r="A23" s="15"/>
      <c r="B23" s="29" t="s">
        <v>24</v>
      </c>
      <c r="C23" s="30">
        <f>COUNTIF('Boulder Selection Log'!P5:P50,"Complete")</f>
        <v>26</v>
      </c>
      <c r="D23" s="31"/>
      <c r="E23" s="31"/>
      <c r="F23" s="29" t="s">
        <v>25</v>
      </c>
      <c r="G23" s="32">
        <f>COUNTIF('Lab Samples'!G$5:G$48,"Powder")</f>
        <v>21</v>
      </c>
      <c r="H23" s="33" t="s">
        <v>26</v>
      </c>
      <c r="I23" s="34">
        <v>21</v>
      </c>
      <c r="J23" s="15"/>
      <c r="K23" s="15"/>
    </row>
    <row r="24" spans="1:11" x14ac:dyDescent="0.3">
      <c r="A24" s="15"/>
      <c r="B24" s="35" t="s">
        <v>27</v>
      </c>
      <c r="C24" s="36">
        <f>COUNTA('Depth XRF Detail'!A5:A1000)</f>
        <v>478</v>
      </c>
      <c r="D24" s="37"/>
      <c r="E24" s="37"/>
      <c r="F24" s="35" t="s">
        <v>28</v>
      </c>
      <c r="G24" s="38">
        <f>COUNTIF('Lab Samples'!G$5:G$48,"FD")</f>
        <v>10</v>
      </c>
      <c r="H24" s="39" t="s">
        <v>26</v>
      </c>
      <c r="I24" s="40">
        <v>10</v>
      </c>
      <c r="J24" s="15"/>
      <c r="K24" s="15"/>
    </row>
    <row r="25" spans="1:11" ht="27.6" x14ac:dyDescent="0.3">
      <c r="A25" s="15"/>
      <c r="B25" s="29" t="s">
        <v>29</v>
      </c>
      <c r="C25" s="30">
        <f>COUNTIF('Boulder Selection Log'!D5:D50,"Shoreline")</f>
        <v>21</v>
      </c>
      <c r="D25" s="31"/>
      <c r="E25" s="31"/>
      <c r="F25" s="29" t="s">
        <v>30</v>
      </c>
      <c r="G25" s="32">
        <v>6</v>
      </c>
      <c r="H25" s="33" t="s">
        <v>26</v>
      </c>
      <c r="I25" s="34">
        <v>7</v>
      </c>
      <c r="J25" s="15"/>
      <c r="K25" s="15"/>
    </row>
    <row r="26" spans="1:11" ht="27.6" x14ac:dyDescent="0.3">
      <c r="A26" s="15"/>
      <c r="B26" s="35" t="s">
        <v>31</v>
      </c>
      <c r="C26" s="36">
        <f>COUNTIFS('Boulder Selection Log'!D5:D50,1,'Boulder Selection Log'!P5:P50,"Complete")+COUNTIFS('Boulder Selection Log'!D5:D50,2,'Boulder Selection Log'!P5:P50,"Complete")</f>
        <v>4</v>
      </c>
      <c r="D26" s="37"/>
      <c r="E26" s="37"/>
      <c r="F26" s="35" t="s">
        <v>32</v>
      </c>
      <c r="G26" s="38">
        <f>COUNTIF('Lab Samples'!G$5:G$48,"EB")</f>
        <v>3</v>
      </c>
      <c r="H26" s="39" t="s">
        <v>26</v>
      </c>
      <c r="I26" s="40">
        <v>3</v>
      </c>
      <c r="J26" s="15"/>
      <c r="K26" s="15"/>
    </row>
    <row r="27" spans="1:11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</row>
    <row r="28" spans="1:11" ht="15.6" x14ac:dyDescent="0.3">
      <c r="A28" s="15"/>
      <c r="B28" s="177" t="s">
        <v>33</v>
      </c>
      <c r="C28" s="177"/>
      <c r="D28" s="177"/>
      <c r="E28" s="177"/>
      <c r="F28" s="177" t="s">
        <v>34</v>
      </c>
      <c r="G28" s="177"/>
      <c r="H28" s="177"/>
      <c r="I28" s="177"/>
      <c r="J28" s="15"/>
      <c r="K28" s="15"/>
    </row>
    <row r="29" spans="1:11" x14ac:dyDescent="0.3">
      <c r="A29" s="15"/>
      <c r="B29" s="29" t="s">
        <v>35</v>
      </c>
      <c r="C29" s="30">
        <f>COUNTIF('Daily Verification'!K6:K100,"Pass")+COUNTIF('Daily Verification'!K6:K100,"Fail")</f>
        <v>64</v>
      </c>
      <c r="D29" s="31"/>
      <c r="E29" s="31"/>
      <c r="F29" s="41" t="s">
        <v>36</v>
      </c>
      <c r="G29" s="178" t="s">
        <v>37</v>
      </c>
      <c r="H29" s="178"/>
      <c r="I29" s="178"/>
      <c r="J29" s="15"/>
      <c r="K29" s="15"/>
    </row>
    <row r="30" spans="1:11" x14ac:dyDescent="0.3">
      <c r="A30" s="15"/>
      <c r="B30" s="35" t="s">
        <v>38</v>
      </c>
      <c r="C30" s="36">
        <f>COUNTIF('Daily Verification'!K6:K100,"Pass")</f>
        <v>64</v>
      </c>
      <c r="D30" s="37"/>
      <c r="E30" s="37"/>
      <c r="F30" s="42" t="s">
        <v>36</v>
      </c>
      <c r="G30" s="179" t="s">
        <v>39</v>
      </c>
      <c r="H30" s="179"/>
      <c r="I30" s="179"/>
      <c r="J30" s="15"/>
      <c r="K30" s="15"/>
    </row>
    <row r="31" spans="1:11" x14ac:dyDescent="0.3">
      <c r="A31" s="15"/>
      <c r="B31" s="29" t="s">
        <v>40</v>
      </c>
      <c r="C31" s="30">
        <f>COUNTIF('Daily Verification'!K6:K100,"Fail")</f>
        <v>0</v>
      </c>
      <c r="D31" s="31"/>
      <c r="E31" s="31"/>
      <c r="F31" s="41" t="s">
        <v>36</v>
      </c>
      <c r="G31" s="178" t="s">
        <v>41</v>
      </c>
      <c r="H31" s="178"/>
      <c r="I31" s="178"/>
      <c r="J31" s="15"/>
      <c r="K31" s="15"/>
    </row>
    <row r="32" spans="1:11" x14ac:dyDescent="0.3">
      <c r="A32" s="15"/>
      <c r="B32" s="35" t="s">
        <v>42</v>
      </c>
      <c r="C32" s="43">
        <f>IFERROR(C30/C29,0)</f>
        <v>1</v>
      </c>
      <c r="D32" s="37"/>
      <c r="E32" s="37"/>
      <c r="F32" s="42" t="s">
        <v>36</v>
      </c>
      <c r="G32" s="179" t="s">
        <v>43</v>
      </c>
      <c r="H32" s="179"/>
      <c r="I32" s="179"/>
      <c r="J32" s="15"/>
      <c r="K32" s="15"/>
    </row>
    <row r="33" spans="1:11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</row>
    <row r="34" spans="1:11" ht="15.6" x14ac:dyDescent="0.3">
      <c r="A34" s="15"/>
      <c r="B34" s="177" t="s">
        <v>44</v>
      </c>
      <c r="C34" s="177"/>
      <c r="D34" s="177"/>
      <c r="E34" s="177"/>
      <c r="F34" s="177"/>
      <c r="G34" s="177"/>
      <c r="H34" s="177"/>
      <c r="I34" s="177"/>
      <c r="J34" s="15"/>
      <c r="K34" s="15"/>
    </row>
    <row r="35" spans="1:11" x14ac:dyDescent="0.3">
      <c r="A35" s="15"/>
      <c r="B35" s="12" t="s">
        <v>45</v>
      </c>
      <c r="C35" s="12"/>
      <c r="D35" s="12" t="s">
        <v>46</v>
      </c>
      <c r="E35" s="12"/>
      <c r="F35" s="12" t="s">
        <v>47</v>
      </c>
      <c r="G35" s="12"/>
      <c r="H35" s="12"/>
      <c r="I35" s="12"/>
      <c r="J35" s="15"/>
      <c r="K35" s="15"/>
    </row>
    <row r="36" spans="1:11" x14ac:dyDescent="0.3">
      <c r="A36" s="15"/>
      <c r="B36" s="180" t="s">
        <v>48</v>
      </c>
      <c r="C36" s="180"/>
      <c r="D36" s="181" t="s">
        <v>49</v>
      </c>
      <c r="E36" s="181"/>
      <c r="F36" s="181" t="s">
        <v>50</v>
      </c>
      <c r="G36" s="181"/>
      <c r="H36" s="181"/>
      <c r="I36" s="181"/>
      <c r="J36" s="15"/>
      <c r="K36" s="15"/>
    </row>
    <row r="37" spans="1:11" x14ac:dyDescent="0.3">
      <c r="A37" s="15"/>
      <c r="B37" s="182" t="s">
        <v>51</v>
      </c>
      <c r="C37" s="182"/>
      <c r="D37" s="183" t="s">
        <v>52</v>
      </c>
      <c r="E37" s="183"/>
      <c r="F37" s="183" t="s">
        <v>53</v>
      </c>
      <c r="G37" s="183"/>
      <c r="H37" s="183"/>
      <c r="I37" s="183"/>
      <c r="J37" s="15"/>
      <c r="K37" s="15"/>
    </row>
    <row r="38" spans="1:11" x14ac:dyDescent="0.3">
      <c r="A38" s="15"/>
      <c r="B38" s="180" t="s">
        <v>54</v>
      </c>
      <c r="C38" s="180"/>
      <c r="D38" s="181" t="s">
        <v>55</v>
      </c>
      <c r="E38" s="181"/>
      <c r="F38" s="181" t="s">
        <v>56</v>
      </c>
      <c r="G38" s="181"/>
      <c r="H38" s="181"/>
      <c r="I38" s="181"/>
      <c r="J38" s="15"/>
      <c r="K38" s="15"/>
    </row>
    <row r="39" spans="1:11" x14ac:dyDescent="0.3">
      <c r="A39" s="15"/>
      <c r="B39" s="182" t="s">
        <v>57</v>
      </c>
      <c r="C39" s="182"/>
      <c r="D39" s="183" t="s">
        <v>55</v>
      </c>
      <c r="E39" s="183"/>
      <c r="F39" s="183" t="s">
        <v>58</v>
      </c>
      <c r="G39" s="183"/>
      <c r="H39" s="183"/>
      <c r="I39" s="183"/>
      <c r="J39" s="15"/>
      <c r="K39" s="15"/>
    </row>
    <row r="40" spans="1:11" x14ac:dyDescent="0.3">
      <c r="A40" s="15"/>
      <c r="B40" s="180" t="s">
        <v>59</v>
      </c>
      <c r="C40" s="180"/>
      <c r="D40" s="181" t="s">
        <v>60</v>
      </c>
      <c r="E40" s="181"/>
      <c r="F40" s="181" t="s">
        <v>61</v>
      </c>
      <c r="G40" s="181"/>
      <c r="H40" s="181"/>
      <c r="I40" s="181"/>
      <c r="J40" s="15"/>
      <c r="K40" s="15"/>
    </row>
    <row r="41" spans="1:11" x14ac:dyDescent="0.3">
      <c r="A41" s="15"/>
      <c r="B41" s="182" t="s">
        <v>62</v>
      </c>
      <c r="C41" s="182"/>
      <c r="D41" s="183" t="s">
        <v>63</v>
      </c>
      <c r="E41" s="183"/>
      <c r="F41" s="183" t="s">
        <v>64</v>
      </c>
      <c r="G41" s="183"/>
      <c r="H41" s="183"/>
      <c r="I41" s="183"/>
      <c r="J41" s="15"/>
      <c r="K41" s="15"/>
    </row>
    <row r="42" spans="1:11" x14ac:dyDescent="0.3">
      <c r="A42" s="15"/>
      <c r="B42" s="180" t="s">
        <v>65</v>
      </c>
      <c r="C42" s="180"/>
      <c r="D42" s="181" t="s">
        <v>66</v>
      </c>
      <c r="E42" s="181"/>
      <c r="F42" s="181" t="s">
        <v>67</v>
      </c>
      <c r="G42" s="181"/>
      <c r="H42" s="181"/>
      <c r="I42" s="181"/>
      <c r="J42" s="15"/>
      <c r="K42" s="15"/>
    </row>
    <row r="43" spans="1:11" x14ac:dyDescent="0.3">
      <c r="A43" s="15"/>
      <c r="B43" s="182" t="s">
        <v>68</v>
      </c>
      <c r="C43" s="182"/>
      <c r="D43" s="183" t="s">
        <v>66</v>
      </c>
      <c r="E43" s="183"/>
      <c r="F43" s="183" t="s">
        <v>69</v>
      </c>
      <c r="G43" s="183"/>
      <c r="H43" s="183"/>
      <c r="I43" s="183"/>
      <c r="J43" s="15"/>
      <c r="K43" s="15"/>
    </row>
    <row r="44" spans="1:11" x14ac:dyDescent="0.3">
      <c r="A44" s="15"/>
      <c r="B44" s="180" t="s">
        <v>70</v>
      </c>
      <c r="C44" s="180"/>
      <c r="D44" s="181" t="s">
        <v>66</v>
      </c>
      <c r="E44" s="181"/>
      <c r="F44" s="181" t="s">
        <v>71</v>
      </c>
      <c r="G44" s="181"/>
      <c r="H44" s="181"/>
      <c r="I44" s="181"/>
      <c r="J44" s="15"/>
      <c r="K44" s="15"/>
    </row>
    <row r="45" spans="1:11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</row>
    <row r="46" spans="1:11" x14ac:dyDescent="0.3">
      <c r="A46" s="15"/>
      <c r="B46" s="184" t="s">
        <v>72</v>
      </c>
      <c r="C46" s="184"/>
      <c r="D46" s="184"/>
      <c r="E46" s="184"/>
      <c r="F46" s="184"/>
      <c r="G46" s="184"/>
      <c r="H46" s="184"/>
      <c r="I46" s="184"/>
      <c r="J46" s="15"/>
      <c r="K46" s="15"/>
    </row>
    <row r="47" spans="1:11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</row>
    <row r="48" spans="1:11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</row>
    <row r="49" spans="1:11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</row>
    <row r="51" spans="1:11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</row>
    <row r="52" spans="1:11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</row>
    <row r="53" spans="1:11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</row>
    <row r="54" spans="1:11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</row>
    <row r="55" spans="1:11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</row>
    <row r="56" spans="1:11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</row>
    <row r="57" spans="1:11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</row>
    <row r="58" spans="1:11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</row>
    <row r="59" spans="1:11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</row>
  </sheetData>
  <mergeCells count="51">
    <mergeCell ref="B44:C44"/>
    <mergeCell ref="D44:E44"/>
    <mergeCell ref="F44:I44"/>
    <mergeCell ref="B46:I46"/>
    <mergeCell ref="B42:C42"/>
    <mergeCell ref="D42:E42"/>
    <mergeCell ref="F42:I42"/>
    <mergeCell ref="B43:C43"/>
    <mergeCell ref="D43:E43"/>
    <mergeCell ref="F43:I43"/>
    <mergeCell ref="B40:C40"/>
    <mergeCell ref="D40:E40"/>
    <mergeCell ref="F40:I40"/>
    <mergeCell ref="B41:C41"/>
    <mergeCell ref="D41:E41"/>
    <mergeCell ref="F41:I41"/>
    <mergeCell ref="B38:C38"/>
    <mergeCell ref="D38:E38"/>
    <mergeCell ref="F38:I38"/>
    <mergeCell ref="B39:C39"/>
    <mergeCell ref="D39:E39"/>
    <mergeCell ref="F39:I39"/>
    <mergeCell ref="B36:C36"/>
    <mergeCell ref="D36:E36"/>
    <mergeCell ref="F36:I36"/>
    <mergeCell ref="B37:C37"/>
    <mergeCell ref="D37:E37"/>
    <mergeCell ref="F37:I37"/>
    <mergeCell ref="G30:I30"/>
    <mergeCell ref="G31:I31"/>
    <mergeCell ref="G32:I32"/>
    <mergeCell ref="B34:I34"/>
    <mergeCell ref="B35:C35"/>
    <mergeCell ref="D35:E35"/>
    <mergeCell ref="F35:I35"/>
    <mergeCell ref="B22:E22"/>
    <mergeCell ref="F22:I22"/>
    <mergeCell ref="B28:E28"/>
    <mergeCell ref="F28:I28"/>
    <mergeCell ref="G29:I29"/>
    <mergeCell ref="B6:C7"/>
    <mergeCell ref="D6:E7"/>
    <mergeCell ref="F6:G7"/>
    <mergeCell ref="H6:I7"/>
    <mergeCell ref="B10:I10"/>
    <mergeCell ref="B2:I2"/>
    <mergeCell ref="B3:I3"/>
    <mergeCell ref="B5:C5"/>
    <mergeCell ref="D5:E5"/>
    <mergeCell ref="F5:G5"/>
    <mergeCell ref="H5:I5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305496"/>
    <pageSetUpPr fitToPage="1"/>
  </sheetPr>
  <dimension ref="A1:Y204"/>
  <sheetViews>
    <sheetView zoomScaleNormal="100" workbookViewId="0">
      <pane ySplit="4" topLeftCell="A5" activePane="bottomLeft" state="frozen"/>
      <selection activeCell="H1" sqref="H1"/>
      <selection pane="bottomLeft" sqref="A1:XFD1048576"/>
    </sheetView>
  </sheetViews>
  <sheetFormatPr defaultColWidth="8.6640625" defaultRowHeight="14.4" customHeight="1" x14ac:dyDescent="0.3"/>
  <cols>
    <col min="1" max="1" width="9.44140625" bestFit="1" customWidth="1"/>
    <col min="2" max="2" width="9.88671875" bestFit="1" customWidth="1"/>
    <col min="3" max="3" width="9.109375" bestFit="1" customWidth="1"/>
    <col min="4" max="4" width="12.21875" bestFit="1" customWidth="1"/>
    <col min="5" max="5" width="21.21875" bestFit="1" customWidth="1"/>
    <col min="6" max="6" width="13" bestFit="1" customWidth="1"/>
    <col min="7" max="7" width="11.5546875" bestFit="1" customWidth="1"/>
    <col min="8" max="8" width="9" bestFit="1" customWidth="1"/>
    <col min="9" max="9" width="9.88671875" bestFit="1" customWidth="1"/>
    <col min="10" max="10" width="10.21875" bestFit="1" customWidth="1"/>
    <col min="11" max="11" width="13.33203125" bestFit="1" customWidth="1"/>
    <col min="12" max="13" width="15.44140625" bestFit="1" customWidth="1"/>
    <col min="14" max="15" width="15.6640625" bestFit="1" customWidth="1"/>
    <col min="16" max="16" width="9.44140625" bestFit="1" customWidth="1"/>
    <col min="17" max="17" width="11.33203125" bestFit="1" customWidth="1"/>
    <col min="18" max="18" width="11.109375" bestFit="1" customWidth="1"/>
    <col min="19" max="19" width="12.109375" bestFit="1" customWidth="1"/>
    <col min="20" max="20" width="21.6640625" bestFit="1" customWidth="1"/>
    <col min="21" max="21" width="13.21875" bestFit="1" customWidth="1"/>
    <col min="22" max="22" width="53.88671875" bestFit="1" customWidth="1"/>
    <col min="23" max="23" width="10.5546875" bestFit="1" customWidth="1"/>
    <col min="24" max="24" width="134.21875" bestFit="1" customWidth="1"/>
    <col min="25" max="25" width="11.21875" bestFit="1" customWidth="1"/>
  </cols>
  <sheetData>
    <row r="1" spans="1:25" ht="14.4" customHeight="1" x14ac:dyDescent="0.3">
      <c r="A1" s="185" t="s">
        <v>73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</row>
    <row r="2" spans="1:25" ht="14.4" customHeight="1" x14ac:dyDescent="0.3">
      <c r="A2" s="13" t="s">
        <v>74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25" ht="14.4" customHeight="1" x14ac:dyDescent="0.3">
      <c r="A3" s="44" t="s">
        <v>75</v>
      </c>
      <c r="B3" s="186" t="s">
        <v>76</v>
      </c>
      <c r="C3" s="186"/>
      <c r="D3" s="186"/>
      <c r="E3" s="186"/>
      <c r="F3" s="187" t="s">
        <v>77</v>
      </c>
      <c r="G3" s="187"/>
      <c r="H3" s="187"/>
      <c r="I3" s="188" t="s">
        <v>78</v>
      </c>
      <c r="J3" s="188"/>
      <c r="K3" s="188"/>
      <c r="L3" s="189" t="s">
        <v>79</v>
      </c>
      <c r="M3" s="189"/>
      <c r="N3" s="189"/>
      <c r="O3" s="189"/>
      <c r="P3" s="189"/>
      <c r="Q3" s="189"/>
      <c r="R3" s="189"/>
      <c r="S3" s="190" t="s">
        <v>80</v>
      </c>
      <c r="T3" s="190"/>
      <c r="U3" s="190"/>
      <c r="V3" s="191" t="s">
        <v>81</v>
      </c>
      <c r="W3" s="191"/>
      <c r="X3" s="191"/>
    </row>
    <row r="4" spans="1:25" ht="14.4" customHeight="1" x14ac:dyDescent="0.3">
      <c r="A4" s="17" t="s">
        <v>82</v>
      </c>
      <c r="B4" s="17" t="s">
        <v>83</v>
      </c>
      <c r="C4" s="17" t="s">
        <v>84</v>
      </c>
      <c r="D4" s="17" t="s">
        <v>85</v>
      </c>
      <c r="E4" s="17" t="s">
        <v>86</v>
      </c>
      <c r="F4" s="17" t="s">
        <v>87</v>
      </c>
      <c r="G4" s="17" t="s">
        <v>88</v>
      </c>
      <c r="H4" s="17" t="s">
        <v>89</v>
      </c>
      <c r="I4" s="17" t="s">
        <v>90</v>
      </c>
      <c r="J4" s="17" t="s">
        <v>91</v>
      </c>
      <c r="K4" s="17" t="s">
        <v>92</v>
      </c>
      <c r="L4" s="17" t="s">
        <v>93</v>
      </c>
      <c r="M4" s="17" t="s">
        <v>94</v>
      </c>
      <c r="N4" s="17" t="s">
        <v>95</v>
      </c>
      <c r="O4" s="17" t="s">
        <v>96</v>
      </c>
      <c r="P4" s="17" t="s">
        <v>97</v>
      </c>
      <c r="Q4" s="17" t="s">
        <v>98</v>
      </c>
      <c r="R4" s="17" t="s">
        <v>99</v>
      </c>
      <c r="S4" s="17" t="s">
        <v>100</v>
      </c>
      <c r="T4" s="17" t="s">
        <v>101</v>
      </c>
      <c r="U4" s="17" t="s">
        <v>102</v>
      </c>
      <c r="V4" s="17" t="s">
        <v>103</v>
      </c>
      <c r="W4" s="17" t="s">
        <v>104</v>
      </c>
      <c r="X4" s="17" t="s">
        <v>47</v>
      </c>
      <c r="Y4" s="17" t="s">
        <v>105</v>
      </c>
    </row>
    <row r="5" spans="1:25" ht="14.4" customHeight="1" x14ac:dyDescent="0.3">
      <c r="A5" s="45">
        <v>46114</v>
      </c>
      <c r="B5" s="46" t="s">
        <v>14</v>
      </c>
      <c r="C5" s="46">
        <v>12</v>
      </c>
      <c r="D5" s="46" t="s">
        <v>106</v>
      </c>
      <c r="E5" s="47" t="str">
        <f t="shared" ref="E5:E36" si="0">IF(B5="","","SBM-"&amp;B5&amp;"-G"&amp;TEXT(C5,"00")&amp;"-"&amp;D5)</f>
        <v>SBM-SWRP-G12-B1</v>
      </c>
      <c r="F5" s="46">
        <v>4317025</v>
      </c>
      <c r="G5" s="46">
        <v>529256.19999999995</v>
      </c>
      <c r="H5" s="46">
        <v>406.7</v>
      </c>
      <c r="I5" s="46" t="s">
        <v>107</v>
      </c>
      <c r="J5" s="46" t="s">
        <v>108</v>
      </c>
      <c r="K5" s="46"/>
      <c r="L5" s="46">
        <v>2</v>
      </c>
      <c r="M5" s="46">
        <v>16</v>
      </c>
      <c r="N5" s="46">
        <v>17</v>
      </c>
      <c r="O5" s="46">
        <v>19</v>
      </c>
      <c r="P5" s="47">
        <f t="shared" ref="P5:P36" si="1">IF(L5="","",(M5-L5+1)+IF(N5="",0,O5-N5+1))</f>
        <v>18</v>
      </c>
      <c r="Q5" s="46">
        <v>13.74</v>
      </c>
      <c r="R5" s="46">
        <v>0</v>
      </c>
      <c r="S5" s="46" t="s">
        <v>108</v>
      </c>
      <c r="T5" s="46" t="s">
        <v>109</v>
      </c>
      <c r="U5" s="46"/>
      <c r="V5" s="46" t="s">
        <v>110</v>
      </c>
      <c r="W5" s="46">
        <v>0</v>
      </c>
      <c r="X5" s="46" t="s">
        <v>111</v>
      </c>
      <c r="Y5" s="46">
        <v>3.72</v>
      </c>
    </row>
    <row r="6" spans="1:25" ht="14.4" customHeight="1" x14ac:dyDescent="0.3">
      <c r="A6" s="48">
        <v>46114</v>
      </c>
      <c r="B6" s="49" t="s">
        <v>14</v>
      </c>
      <c r="C6" s="49">
        <v>12</v>
      </c>
      <c r="D6" s="49" t="s">
        <v>112</v>
      </c>
      <c r="E6" s="50" t="str">
        <f t="shared" si="0"/>
        <v>SBM-SWRP-G12-B2</v>
      </c>
      <c r="F6" s="49">
        <v>4317020.5</v>
      </c>
      <c r="G6" s="49">
        <v>529267.1</v>
      </c>
      <c r="H6" s="49">
        <v>411.7</v>
      </c>
      <c r="I6" s="49" t="s">
        <v>113</v>
      </c>
      <c r="J6" s="49" t="s">
        <v>108</v>
      </c>
      <c r="K6" s="49"/>
      <c r="L6" s="49">
        <v>20</v>
      </c>
      <c r="M6" s="49">
        <v>34</v>
      </c>
      <c r="N6" s="49">
        <v>35</v>
      </c>
      <c r="O6" s="49">
        <v>37</v>
      </c>
      <c r="P6" s="50">
        <f t="shared" si="1"/>
        <v>18</v>
      </c>
      <c r="Q6" s="49">
        <v>75.849999999999994</v>
      </c>
      <c r="R6" s="49">
        <v>0</v>
      </c>
      <c r="S6" s="49" t="s">
        <v>108</v>
      </c>
      <c r="T6" s="49" t="s">
        <v>114</v>
      </c>
      <c r="U6" s="49"/>
      <c r="V6" s="49" t="s">
        <v>110</v>
      </c>
      <c r="W6" s="49">
        <v>0</v>
      </c>
      <c r="X6" s="49" t="s">
        <v>115</v>
      </c>
      <c r="Y6" s="49">
        <v>0</v>
      </c>
    </row>
    <row r="7" spans="1:25" ht="14.4" customHeight="1" x14ac:dyDescent="0.3">
      <c r="A7" s="45">
        <v>46115</v>
      </c>
      <c r="B7" s="46" t="s">
        <v>14</v>
      </c>
      <c r="C7" s="46">
        <v>14</v>
      </c>
      <c r="D7" s="46" t="s">
        <v>106</v>
      </c>
      <c r="E7" s="47" t="str">
        <f t="shared" si="0"/>
        <v>SBM-SWRP-G14-B1</v>
      </c>
      <c r="F7" s="46">
        <v>4317010.5</v>
      </c>
      <c r="G7" s="46">
        <v>529230.80000000005</v>
      </c>
      <c r="H7" s="46">
        <v>406.7</v>
      </c>
      <c r="I7" s="46" t="s">
        <v>107</v>
      </c>
      <c r="J7" s="46" t="s">
        <v>108</v>
      </c>
      <c r="K7" s="46"/>
      <c r="L7" s="46">
        <v>48</v>
      </c>
      <c r="M7" s="46">
        <v>62</v>
      </c>
      <c r="N7" s="46">
        <v>78</v>
      </c>
      <c r="O7" s="46">
        <v>80</v>
      </c>
      <c r="P7" s="47">
        <f t="shared" si="1"/>
        <v>18</v>
      </c>
      <c r="Q7" s="46">
        <v>5.33</v>
      </c>
      <c r="R7" s="46">
        <v>0</v>
      </c>
      <c r="S7" s="46" t="s">
        <v>108</v>
      </c>
      <c r="T7" s="46" t="s">
        <v>116</v>
      </c>
      <c r="U7" s="46"/>
      <c r="V7" s="46" t="s">
        <v>117</v>
      </c>
      <c r="W7" s="46">
        <v>0</v>
      </c>
      <c r="X7" s="46" t="s">
        <v>118</v>
      </c>
      <c r="Y7" s="46">
        <v>0</v>
      </c>
    </row>
    <row r="8" spans="1:25" ht="14.4" customHeight="1" x14ac:dyDescent="0.3">
      <c r="A8" s="48">
        <v>46115</v>
      </c>
      <c r="B8" s="49" t="s">
        <v>14</v>
      </c>
      <c r="C8" s="49">
        <v>14</v>
      </c>
      <c r="D8" s="49" t="s">
        <v>112</v>
      </c>
      <c r="E8" s="50" t="str">
        <f t="shared" si="0"/>
        <v>SBM-SWRP-G14-B2</v>
      </c>
      <c r="F8" s="49">
        <v>4316986.5</v>
      </c>
      <c r="G8" s="49">
        <v>529226.80000000005</v>
      </c>
      <c r="H8" s="49">
        <v>433.5</v>
      </c>
      <c r="I8" s="49" t="s">
        <v>113</v>
      </c>
      <c r="J8" s="49"/>
      <c r="K8" s="49"/>
      <c r="L8" s="49">
        <v>63</v>
      </c>
      <c r="M8" s="49">
        <v>77</v>
      </c>
      <c r="N8" s="49">
        <v>81</v>
      </c>
      <c r="O8" s="49">
        <v>83</v>
      </c>
      <c r="P8" s="50">
        <f t="shared" si="1"/>
        <v>18</v>
      </c>
      <c r="Q8" s="49">
        <v>8.1300000000000008</v>
      </c>
      <c r="R8" s="49">
        <v>2.59</v>
      </c>
      <c r="S8" s="49" t="s">
        <v>108</v>
      </c>
      <c r="T8" s="49" t="s">
        <v>119</v>
      </c>
      <c r="U8" s="49"/>
      <c r="V8" s="49" t="s">
        <v>117</v>
      </c>
      <c r="W8" s="49">
        <v>0</v>
      </c>
      <c r="X8" s="49" t="s">
        <v>120</v>
      </c>
      <c r="Y8" s="49">
        <v>0</v>
      </c>
    </row>
    <row r="9" spans="1:25" ht="14.4" customHeight="1" x14ac:dyDescent="0.3">
      <c r="A9" s="45">
        <v>46115</v>
      </c>
      <c r="B9" s="46" t="s">
        <v>14</v>
      </c>
      <c r="C9" s="46">
        <v>15</v>
      </c>
      <c r="D9" s="46" t="s">
        <v>106</v>
      </c>
      <c r="E9" s="47" t="str">
        <f t="shared" si="0"/>
        <v>SBM-SWRP-G15-B1</v>
      </c>
      <c r="F9" s="46">
        <v>4316974</v>
      </c>
      <c r="G9" s="46">
        <v>529294.5</v>
      </c>
      <c r="H9" s="46">
        <v>447.3</v>
      </c>
      <c r="I9" s="46" t="s">
        <v>107</v>
      </c>
      <c r="J9" s="46"/>
      <c r="K9" s="46"/>
      <c r="L9" s="46">
        <v>84</v>
      </c>
      <c r="M9" s="46">
        <v>100</v>
      </c>
      <c r="N9" s="46">
        <v>116</v>
      </c>
      <c r="O9" s="46">
        <v>118</v>
      </c>
      <c r="P9" s="47">
        <f t="shared" si="1"/>
        <v>20</v>
      </c>
      <c r="Q9" s="46">
        <v>3.44</v>
      </c>
      <c r="R9" s="46">
        <v>0</v>
      </c>
      <c r="S9" s="46" t="s">
        <v>108</v>
      </c>
      <c r="T9" s="46" t="s">
        <v>121</v>
      </c>
      <c r="U9" s="46"/>
      <c r="V9" s="46" t="s">
        <v>117</v>
      </c>
      <c r="W9" s="46">
        <v>0</v>
      </c>
      <c r="X9" s="46" t="s">
        <v>122</v>
      </c>
      <c r="Y9" s="46">
        <v>13.08</v>
      </c>
    </row>
    <row r="10" spans="1:25" ht="14.4" customHeight="1" x14ac:dyDescent="0.3">
      <c r="A10" s="48">
        <v>46115</v>
      </c>
      <c r="B10" s="49" t="s">
        <v>14</v>
      </c>
      <c r="C10" s="49">
        <v>15</v>
      </c>
      <c r="D10" s="49" t="s">
        <v>112</v>
      </c>
      <c r="E10" s="50" t="str">
        <f t="shared" si="0"/>
        <v>SBM-SWRP-G15-B2</v>
      </c>
      <c r="F10" s="49">
        <v>4316994.5</v>
      </c>
      <c r="G10" s="49">
        <v>529256.19999999995</v>
      </c>
      <c r="H10" s="49">
        <v>437.5</v>
      </c>
      <c r="I10" s="49" t="s">
        <v>113</v>
      </c>
      <c r="J10" s="49" t="s">
        <v>108</v>
      </c>
      <c r="K10" s="49"/>
      <c r="L10" s="49">
        <v>101</v>
      </c>
      <c r="M10" s="49">
        <v>115</v>
      </c>
      <c r="N10" s="49">
        <v>119</v>
      </c>
      <c r="O10" s="49">
        <v>121</v>
      </c>
      <c r="P10" s="50">
        <f t="shared" si="1"/>
        <v>18</v>
      </c>
      <c r="Q10" s="49">
        <v>26.55</v>
      </c>
      <c r="R10" s="49">
        <v>0</v>
      </c>
      <c r="S10" s="49" t="s">
        <v>108</v>
      </c>
      <c r="T10" s="49" t="s">
        <v>123</v>
      </c>
      <c r="U10" s="49"/>
      <c r="V10" s="49" t="s">
        <v>117</v>
      </c>
      <c r="W10" s="49">
        <v>0</v>
      </c>
      <c r="X10" s="49" t="s">
        <v>124</v>
      </c>
      <c r="Y10" s="49">
        <v>93.09</v>
      </c>
    </row>
    <row r="11" spans="1:25" ht="14.4" customHeight="1" x14ac:dyDescent="0.3">
      <c r="A11" s="45">
        <v>46118</v>
      </c>
      <c r="B11" s="46" t="s">
        <v>14</v>
      </c>
      <c r="C11" s="46">
        <v>13</v>
      </c>
      <c r="D11" s="46" t="s">
        <v>106</v>
      </c>
      <c r="E11" s="47" t="str">
        <f t="shared" si="0"/>
        <v>SBM-SWRP-G13-B1</v>
      </c>
      <c r="F11" s="46">
        <v>4317074.5</v>
      </c>
      <c r="G11" s="46">
        <v>529375.5</v>
      </c>
      <c r="H11" s="46">
        <v>417.5</v>
      </c>
      <c r="I11" s="46" t="s">
        <v>107</v>
      </c>
      <c r="J11" s="46" t="s">
        <v>108</v>
      </c>
      <c r="K11" s="46">
        <v>0.01</v>
      </c>
      <c r="L11" s="46">
        <v>128</v>
      </c>
      <c r="M11" s="46">
        <v>142</v>
      </c>
      <c r="N11" s="46"/>
      <c r="O11" s="46"/>
      <c r="P11" s="47">
        <f t="shared" si="1"/>
        <v>15</v>
      </c>
      <c r="Q11" s="46">
        <v>0</v>
      </c>
      <c r="R11" s="46">
        <v>0</v>
      </c>
      <c r="S11" s="46" t="s">
        <v>125</v>
      </c>
      <c r="T11" s="46"/>
      <c r="U11" s="46"/>
      <c r="V11" s="46" t="s">
        <v>126</v>
      </c>
      <c r="W11" s="46">
        <v>0</v>
      </c>
      <c r="X11" s="46" t="s">
        <v>127</v>
      </c>
      <c r="Y11" s="46">
        <v>0</v>
      </c>
    </row>
    <row r="12" spans="1:25" ht="14.4" customHeight="1" x14ac:dyDescent="0.3">
      <c r="A12" s="48">
        <v>46118</v>
      </c>
      <c r="B12" s="49" t="s">
        <v>14</v>
      </c>
      <c r="C12" s="49">
        <v>13</v>
      </c>
      <c r="D12" s="49" t="s">
        <v>112</v>
      </c>
      <c r="E12" s="50" t="str">
        <f t="shared" si="0"/>
        <v>SBM-SWRP-G13-B2</v>
      </c>
      <c r="F12" s="49">
        <v>4317074.5</v>
      </c>
      <c r="G12" s="49">
        <v>529380</v>
      </c>
      <c r="H12" s="49">
        <v>424.9</v>
      </c>
      <c r="I12" s="49" t="s">
        <v>113</v>
      </c>
      <c r="J12" s="49" t="s">
        <v>108</v>
      </c>
      <c r="K12" s="49">
        <v>0.01</v>
      </c>
      <c r="L12" s="49">
        <v>143</v>
      </c>
      <c r="M12" s="49">
        <v>159</v>
      </c>
      <c r="N12" s="49"/>
      <c r="O12" s="49"/>
      <c r="P12" s="50">
        <f t="shared" si="1"/>
        <v>17</v>
      </c>
      <c r="Q12" s="49">
        <v>0</v>
      </c>
      <c r="R12" s="49">
        <v>25</v>
      </c>
      <c r="S12" s="49" t="s">
        <v>125</v>
      </c>
      <c r="T12" s="49"/>
      <c r="U12" s="49"/>
      <c r="V12" s="49" t="s">
        <v>126</v>
      </c>
      <c r="W12" s="49">
        <v>0</v>
      </c>
      <c r="X12" s="49" t="s">
        <v>128</v>
      </c>
      <c r="Y12" s="49">
        <v>0</v>
      </c>
    </row>
    <row r="13" spans="1:25" ht="14.4" customHeight="1" x14ac:dyDescent="0.3">
      <c r="A13" s="45">
        <v>46118</v>
      </c>
      <c r="B13" s="46" t="s">
        <v>19</v>
      </c>
      <c r="C13" s="46">
        <v>7</v>
      </c>
      <c r="D13" s="46" t="s">
        <v>106</v>
      </c>
      <c r="E13" s="47" t="str">
        <f t="shared" si="0"/>
        <v>SBM-WWRP-G07-B1</v>
      </c>
      <c r="F13" s="46">
        <v>4316997.5</v>
      </c>
      <c r="G13" s="46">
        <v>528719.4</v>
      </c>
      <c r="H13" s="46">
        <v>408.7</v>
      </c>
      <c r="I13" s="46" t="s">
        <v>107</v>
      </c>
      <c r="J13" s="46" t="s">
        <v>108</v>
      </c>
      <c r="K13" s="46">
        <v>0.01</v>
      </c>
      <c r="L13" s="46">
        <v>160</v>
      </c>
      <c r="M13" s="46">
        <v>174</v>
      </c>
      <c r="N13" s="46"/>
      <c r="O13" s="46"/>
      <c r="P13" s="47">
        <f t="shared" si="1"/>
        <v>15</v>
      </c>
      <c r="Q13" s="46">
        <v>14.98</v>
      </c>
      <c r="R13" s="46">
        <v>353.99</v>
      </c>
      <c r="S13" s="46" t="s">
        <v>125</v>
      </c>
      <c r="T13" s="46"/>
      <c r="U13" s="46"/>
      <c r="V13" s="46" t="s">
        <v>126</v>
      </c>
      <c r="W13" s="46">
        <v>0</v>
      </c>
      <c r="X13" s="46" t="s">
        <v>129</v>
      </c>
      <c r="Y13" s="46">
        <v>0</v>
      </c>
    </row>
    <row r="14" spans="1:25" ht="14.4" customHeight="1" x14ac:dyDescent="0.3">
      <c r="A14" s="48">
        <v>46118</v>
      </c>
      <c r="B14" s="49" t="s">
        <v>19</v>
      </c>
      <c r="C14" s="49">
        <v>7</v>
      </c>
      <c r="D14" s="49" t="s">
        <v>112</v>
      </c>
      <c r="E14" s="50" t="str">
        <f t="shared" si="0"/>
        <v>SBM-WWRP-G07-B2</v>
      </c>
      <c r="F14" s="49"/>
      <c r="G14" s="49"/>
      <c r="H14" s="49"/>
      <c r="I14" s="49" t="s">
        <v>113</v>
      </c>
      <c r="J14" s="49" t="s">
        <v>108</v>
      </c>
      <c r="K14" s="49">
        <v>0.01</v>
      </c>
      <c r="L14" s="49">
        <v>175</v>
      </c>
      <c r="M14" s="49">
        <v>189</v>
      </c>
      <c r="N14" s="49"/>
      <c r="O14" s="49"/>
      <c r="P14" s="50">
        <f t="shared" si="1"/>
        <v>15</v>
      </c>
      <c r="Q14" s="49">
        <v>6.36</v>
      </c>
      <c r="R14" s="49">
        <v>0</v>
      </c>
      <c r="S14" s="49" t="s">
        <v>125</v>
      </c>
      <c r="T14" s="49"/>
      <c r="U14" s="49"/>
      <c r="V14" s="49" t="s">
        <v>126</v>
      </c>
      <c r="W14" s="49">
        <v>0</v>
      </c>
      <c r="X14" s="49" t="s">
        <v>130</v>
      </c>
      <c r="Y14" s="49">
        <v>1.25</v>
      </c>
    </row>
    <row r="15" spans="1:25" ht="14.4" customHeight="1" x14ac:dyDescent="0.3">
      <c r="A15" s="45">
        <v>46118</v>
      </c>
      <c r="B15" s="46" t="s">
        <v>14</v>
      </c>
      <c r="C15" s="46">
        <v>10</v>
      </c>
      <c r="D15" s="46" t="s">
        <v>106</v>
      </c>
      <c r="E15" s="47" t="str">
        <f t="shared" si="0"/>
        <v>SBM-SWRP-G10-B1</v>
      </c>
      <c r="F15" s="46">
        <v>4317039</v>
      </c>
      <c r="G15" s="46">
        <v>529081.59999999998</v>
      </c>
      <c r="H15" s="46">
        <v>401.6</v>
      </c>
      <c r="I15" s="46" t="s">
        <v>107</v>
      </c>
      <c r="J15" s="46" t="s">
        <v>108</v>
      </c>
      <c r="K15" s="46">
        <v>0.01</v>
      </c>
      <c r="L15" s="46">
        <v>190</v>
      </c>
      <c r="M15" s="46">
        <v>205</v>
      </c>
      <c r="N15" s="46"/>
      <c r="O15" s="46"/>
      <c r="P15" s="47">
        <f t="shared" si="1"/>
        <v>16</v>
      </c>
      <c r="Q15" s="46">
        <v>14.58</v>
      </c>
      <c r="R15" s="46">
        <v>5.76</v>
      </c>
      <c r="S15" s="46" t="s">
        <v>125</v>
      </c>
      <c r="T15" s="46"/>
      <c r="U15" s="46"/>
      <c r="V15" s="46" t="s">
        <v>126</v>
      </c>
      <c r="W15" s="46">
        <v>0</v>
      </c>
      <c r="X15" s="46" t="s">
        <v>131</v>
      </c>
      <c r="Y15" s="46">
        <v>0</v>
      </c>
    </row>
    <row r="16" spans="1:25" ht="14.4" customHeight="1" x14ac:dyDescent="0.3">
      <c r="A16" s="48">
        <v>46119</v>
      </c>
      <c r="B16" s="49" t="s">
        <v>14</v>
      </c>
      <c r="C16" s="49">
        <v>10</v>
      </c>
      <c r="D16" s="49" t="s">
        <v>112</v>
      </c>
      <c r="E16" s="50" t="str">
        <f t="shared" si="0"/>
        <v>SBM-SWRP-G10-B2</v>
      </c>
      <c r="F16" s="49">
        <v>4317046.5</v>
      </c>
      <c r="G16" s="49">
        <v>529077.19999999995</v>
      </c>
      <c r="H16" s="49">
        <v>408.1</v>
      </c>
      <c r="I16" s="49" t="s">
        <v>113</v>
      </c>
      <c r="J16" s="49" t="s">
        <v>125</v>
      </c>
      <c r="K16" s="49"/>
      <c r="L16" s="49">
        <v>219</v>
      </c>
      <c r="M16" s="49">
        <v>233</v>
      </c>
      <c r="N16" s="49"/>
      <c r="O16" s="49"/>
      <c r="P16" s="50">
        <f t="shared" si="1"/>
        <v>15</v>
      </c>
      <c r="Q16" s="49">
        <v>0</v>
      </c>
      <c r="R16" s="49">
        <v>8.1</v>
      </c>
      <c r="S16" s="49" t="s">
        <v>125</v>
      </c>
      <c r="T16" s="49"/>
      <c r="U16" s="49"/>
      <c r="V16" s="49" t="s">
        <v>132</v>
      </c>
      <c r="W16" s="49">
        <v>0</v>
      </c>
      <c r="X16" s="49" t="s">
        <v>133</v>
      </c>
      <c r="Y16" s="49">
        <v>4.05</v>
      </c>
    </row>
    <row r="17" spans="1:25" ht="14.4" customHeight="1" x14ac:dyDescent="0.3">
      <c r="A17" s="45">
        <v>46119</v>
      </c>
      <c r="B17" s="46" t="s">
        <v>14</v>
      </c>
      <c r="C17" s="46">
        <v>11</v>
      </c>
      <c r="D17" s="46" t="s">
        <v>112</v>
      </c>
      <c r="E17" s="47" t="str">
        <f t="shared" si="0"/>
        <v>SBM-SWRP-G11-B2</v>
      </c>
      <c r="F17" s="46">
        <v>4317065.5</v>
      </c>
      <c r="G17" s="46">
        <v>529177</v>
      </c>
      <c r="H17" s="46">
        <v>428.3</v>
      </c>
      <c r="I17" s="46" t="s">
        <v>113</v>
      </c>
      <c r="J17" s="46" t="s">
        <v>125</v>
      </c>
      <c r="K17" s="46"/>
      <c r="L17" s="46">
        <v>234</v>
      </c>
      <c r="M17" s="46">
        <v>249</v>
      </c>
      <c r="N17" s="46"/>
      <c r="O17" s="46"/>
      <c r="P17" s="47">
        <f t="shared" si="1"/>
        <v>16</v>
      </c>
      <c r="Q17" s="46">
        <v>4.8</v>
      </c>
      <c r="R17" s="46">
        <v>19.899999999999999</v>
      </c>
      <c r="S17" s="46" t="s">
        <v>125</v>
      </c>
      <c r="T17" s="46"/>
      <c r="U17" s="46"/>
      <c r="V17" s="46" t="s">
        <v>132</v>
      </c>
      <c r="W17" s="46">
        <v>0</v>
      </c>
      <c r="X17" s="46" t="s">
        <v>134</v>
      </c>
      <c r="Y17" s="46">
        <v>2.16</v>
      </c>
    </row>
    <row r="18" spans="1:25" ht="14.4" customHeight="1" x14ac:dyDescent="0.3">
      <c r="A18" s="48">
        <v>46119</v>
      </c>
      <c r="B18" s="49" t="s">
        <v>14</v>
      </c>
      <c r="C18" s="49">
        <v>11</v>
      </c>
      <c r="D18" s="49" t="s">
        <v>106</v>
      </c>
      <c r="E18" s="50" t="str">
        <f t="shared" si="0"/>
        <v>SBM-SWRP-G11-B1</v>
      </c>
      <c r="F18" s="49">
        <v>4317068</v>
      </c>
      <c r="G18" s="49">
        <v>529177.4</v>
      </c>
      <c r="H18" s="49">
        <v>426.4</v>
      </c>
      <c r="I18" s="49" t="s">
        <v>107</v>
      </c>
      <c r="J18" s="49" t="s">
        <v>125</v>
      </c>
      <c r="K18" s="49"/>
      <c r="L18" s="49">
        <v>250</v>
      </c>
      <c r="M18" s="49">
        <v>265</v>
      </c>
      <c r="N18" s="49"/>
      <c r="O18" s="49"/>
      <c r="P18" s="50">
        <f t="shared" si="1"/>
        <v>16</v>
      </c>
      <c r="Q18" s="49">
        <v>3.7</v>
      </c>
      <c r="R18" s="49">
        <v>1.3</v>
      </c>
      <c r="S18" s="49" t="s">
        <v>125</v>
      </c>
      <c r="T18" s="49"/>
      <c r="U18" s="49"/>
      <c r="V18" s="49" t="s">
        <v>132</v>
      </c>
      <c r="W18" s="49">
        <v>0</v>
      </c>
      <c r="X18" s="49" t="s">
        <v>135</v>
      </c>
      <c r="Y18" s="49">
        <v>0</v>
      </c>
    </row>
    <row r="19" spans="1:25" ht="14.4" customHeight="1" x14ac:dyDescent="0.3">
      <c r="A19" s="45">
        <v>46119</v>
      </c>
      <c r="B19" s="46" t="s">
        <v>14</v>
      </c>
      <c r="C19" s="46">
        <v>4</v>
      </c>
      <c r="D19" s="46" t="s">
        <v>106</v>
      </c>
      <c r="E19" s="47" t="str">
        <f t="shared" si="0"/>
        <v>SBM-SWRP-G04-B1</v>
      </c>
      <c r="F19" s="46">
        <v>4317144</v>
      </c>
      <c r="G19" s="46">
        <v>529280.30000000005</v>
      </c>
      <c r="H19" s="46">
        <v>417.7</v>
      </c>
      <c r="I19" s="46" t="s">
        <v>107</v>
      </c>
      <c r="J19" s="46" t="s">
        <v>125</v>
      </c>
      <c r="K19" s="46"/>
      <c r="L19" s="46">
        <v>266</v>
      </c>
      <c r="M19" s="46">
        <v>280</v>
      </c>
      <c r="N19" s="46"/>
      <c r="O19" s="46"/>
      <c r="P19" s="47">
        <f t="shared" si="1"/>
        <v>15</v>
      </c>
      <c r="Q19" s="46">
        <v>1.3</v>
      </c>
      <c r="R19" s="46">
        <v>0</v>
      </c>
      <c r="S19" s="46" t="s">
        <v>125</v>
      </c>
      <c r="T19" s="46"/>
      <c r="U19" s="46"/>
      <c r="V19" s="46" t="s">
        <v>132</v>
      </c>
      <c r="W19" s="46">
        <v>0</v>
      </c>
      <c r="X19" s="46" t="s">
        <v>136</v>
      </c>
      <c r="Y19" s="46">
        <v>0</v>
      </c>
    </row>
    <row r="20" spans="1:25" ht="14.4" customHeight="1" x14ac:dyDescent="0.3">
      <c r="A20" s="48">
        <v>46119</v>
      </c>
      <c r="B20" s="49" t="s">
        <v>14</v>
      </c>
      <c r="C20" s="49">
        <v>4</v>
      </c>
      <c r="D20" s="49" t="s">
        <v>112</v>
      </c>
      <c r="E20" s="50" t="str">
        <f t="shared" si="0"/>
        <v>SBM-SWRP-G04-B2</v>
      </c>
      <c r="F20" s="49">
        <v>4316902.5</v>
      </c>
      <c r="G20" s="49">
        <v>529236.30000000005</v>
      </c>
      <c r="H20" s="49">
        <v>204.3</v>
      </c>
      <c r="I20" s="49" t="s">
        <v>113</v>
      </c>
      <c r="J20" s="49" t="s">
        <v>125</v>
      </c>
      <c r="K20" s="49"/>
      <c r="L20" s="49">
        <v>281</v>
      </c>
      <c r="M20" s="49">
        <v>296</v>
      </c>
      <c r="N20" s="49"/>
      <c r="O20" s="49"/>
      <c r="P20" s="50">
        <f t="shared" si="1"/>
        <v>16</v>
      </c>
      <c r="Q20" s="49">
        <v>0</v>
      </c>
      <c r="R20" s="49">
        <v>0</v>
      </c>
      <c r="S20" s="49" t="s">
        <v>125</v>
      </c>
      <c r="T20" s="49"/>
      <c r="U20" s="49"/>
      <c r="V20" s="49" t="s">
        <v>132</v>
      </c>
      <c r="W20" s="49">
        <v>0</v>
      </c>
      <c r="X20" s="49" t="s">
        <v>137</v>
      </c>
      <c r="Y20" s="49">
        <v>3.3</v>
      </c>
    </row>
    <row r="21" spans="1:25" ht="14.4" customHeight="1" x14ac:dyDescent="0.3">
      <c r="A21" s="45">
        <v>46120</v>
      </c>
      <c r="B21" s="46" t="s">
        <v>19</v>
      </c>
      <c r="C21" s="46">
        <v>14</v>
      </c>
      <c r="D21" s="46" t="s">
        <v>106</v>
      </c>
      <c r="E21" s="47" t="str">
        <f t="shared" si="0"/>
        <v>SBM-WWRP-G14-B1</v>
      </c>
      <c r="F21" s="46">
        <v>4316902</v>
      </c>
      <c r="G21" s="46">
        <v>528663.6875</v>
      </c>
      <c r="H21" s="46">
        <v>403.5</v>
      </c>
      <c r="I21" s="46" t="s">
        <v>107</v>
      </c>
      <c r="J21" s="46" t="s">
        <v>108</v>
      </c>
      <c r="K21" s="46">
        <v>0.01</v>
      </c>
      <c r="L21" s="46">
        <v>308</v>
      </c>
      <c r="M21" s="46">
        <v>323</v>
      </c>
      <c r="N21" s="46"/>
      <c r="O21" s="46"/>
      <c r="P21" s="47">
        <f t="shared" si="1"/>
        <v>16</v>
      </c>
      <c r="Q21" s="46">
        <v>2.1</v>
      </c>
      <c r="R21" s="46">
        <v>0</v>
      </c>
      <c r="S21" s="46" t="s">
        <v>125</v>
      </c>
      <c r="T21" s="46"/>
      <c r="U21" s="46"/>
      <c r="V21" s="46" t="s">
        <v>138</v>
      </c>
      <c r="W21" s="46">
        <v>0</v>
      </c>
      <c r="X21" s="46" t="s">
        <v>139</v>
      </c>
      <c r="Y21" s="46">
        <v>0</v>
      </c>
    </row>
    <row r="22" spans="1:25" ht="14.4" customHeight="1" x14ac:dyDescent="0.3">
      <c r="A22" s="48">
        <v>46120</v>
      </c>
      <c r="B22" s="49" t="s">
        <v>19</v>
      </c>
      <c r="C22" s="49">
        <v>15</v>
      </c>
      <c r="D22" s="49" t="s">
        <v>112</v>
      </c>
      <c r="E22" s="50" t="str">
        <f t="shared" si="0"/>
        <v>SBM-WWRP-G15-B2</v>
      </c>
      <c r="F22" s="49">
        <v>4316848.5</v>
      </c>
      <c r="G22" s="49">
        <v>528692.4375</v>
      </c>
      <c r="H22" s="51">
        <v>404.39999399999999</v>
      </c>
      <c r="I22" s="49" t="s">
        <v>113</v>
      </c>
      <c r="J22" s="49" t="s">
        <v>108</v>
      </c>
      <c r="K22" s="49">
        <v>0.01</v>
      </c>
      <c r="L22" s="49">
        <v>324</v>
      </c>
      <c r="M22" s="49">
        <v>338</v>
      </c>
      <c r="N22" s="49"/>
      <c r="O22" s="49"/>
      <c r="P22" s="50">
        <f t="shared" si="1"/>
        <v>15</v>
      </c>
      <c r="Q22" s="49">
        <v>74.2</v>
      </c>
      <c r="R22" s="49">
        <v>0.5</v>
      </c>
      <c r="S22" s="49" t="s">
        <v>125</v>
      </c>
      <c r="T22" s="49"/>
      <c r="U22" s="49"/>
      <c r="V22" s="49" t="s">
        <v>138</v>
      </c>
      <c r="W22" s="49">
        <v>0</v>
      </c>
      <c r="X22" s="49" t="s">
        <v>140</v>
      </c>
      <c r="Y22" s="49">
        <v>0</v>
      </c>
    </row>
    <row r="23" spans="1:25" ht="14.4" customHeight="1" x14ac:dyDescent="0.3">
      <c r="A23" s="45">
        <v>46120</v>
      </c>
      <c r="B23" s="46" t="s">
        <v>19</v>
      </c>
      <c r="C23" s="46">
        <v>15</v>
      </c>
      <c r="D23" s="46" t="s">
        <v>106</v>
      </c>
      <c r="E23" s="47" t="str">
        <f t="shared" si="0"/>
        <v>SBM-WWRP-G15-B1</v>
      </c>
      <c r="F23" s="46">
        <v>4316826.5</v>
      </c>
      <c r="G23" s="46">
        <v>528724.8125</v>
      </c>
      <c r="H23" s="52">
        <v>425.29998799999998</v>
      </c>
      <c r="I23" s="46" t="s">
        <v>107</v>
      </c>
      <c r="J23" s="46" t="s">
        <v>108</v>
      </c>
      <c r="K23" s="46">
        <v>0.01</v>
      </c>
      <c r="L23" s="46">
        <v>339</v>
      </c>
      <c r="M23" s="46">
        <v>355</v>
      </c>
      <c r="N23" s="46"/>
      <c r="O23" s="46"/>
      <c r="P23" s="47">
        <f t="shared" si="1"/>
        <v>17</v>
      </c>
      <c r="Q23" s="46">
        <v>15.1</v>
      </c>
      <c r="R23" s="46">
        <v>5</v>
      </c>
      <c r="S23" s="46" t="s">
        <v>125</v>
      </c>
      <c r="T23" s="46"/>
      <c r="U23" s="46"/>
      <c r="V23" s="46" t="s">
        <v>138</v>
      </c>
      <c r="W23" s="46">
        <v>0</v>
      </c>
      <c r="X23" s="46" t="s">
        <v>141</v>
      </c>
      <c r="Y23" s="46">
        <v>0</v>
      </c>
    </row>
    <row r="24" spans="1:25" ht="14.4" customHeight="1" x14ac:dyDescent="0.3">
      <c r="A24" s="48">
        <v>46120</v>
      </c>
      <c r="B24" s="49" t="s">
        <v>19</v>
      </c>
      <c r="C24" s="49">
        <v>9</v>
      </c>
      <c r="D24" s="49" t="s">
        <v>106</v>
      </c>
      <c r="E24" s="50" t="str">
        <f t="shared" si="0"/>
        <v>SBM-WWRP-G09-B1</v>
      </c>
      <c r="F24" s="49">
        <v>4316892.5</v>
      </c>
      <c r="G24" s="49">
        <v>528582.4375</v>
      </c>
      <c r="H24" s="51">
        <v>181.699997</v>
      </c>
      <c r="I24" s="49" t="s">
        <v>107</v>
      </c>
      <c r="J24" s="49" t="s">
        <v>108</v>
      </c>
      <c r="K24" s="49">
        <v>0.01</v>
      </c>
      <c r="L24" s="49">
        <v>356</v>
      </c>
      <c r="M24" s="49">
        <v>388</v>
      </c>
      <c r="N24" s="49"/>
      <c r="O24" s="49"/>
      <c r="P24" s="50">
        <f t="shared" si="1"/>
        <v>33</v>
      </c>
      <c r="Q24" s="49">
        <v>44.7</v>
      </c>
      <c r="R24" s="49">
        <v>9.6</v>
      </c>
      <c r="S24" s="49" t="s">
        <v>125</v>
      </c>
      <c r="T24" s="49"/>
      <c r="U24" s="49"/>
      <c r="V24" s="49" t="s">
        <v>138</v>
      </c>
      <c r="W24" s="49">
        <v>0</v>
      </c>
      <c r="X24" s="49" t="s">
        <v>142</v>
      </c>
      <c r="Y24" s="49">
        <v>0</v>
      </c>
    </row>
    <row r="25" spans="1:25" ht="14.4" customHeight="1" x14ac:dyDescent="0.3">
      <c r="A25" s="45">
        <v>46120</v>
      </c>
      <c r="B25" s="46" t="s">
        <v>19</v>
      </c>
      <c r="C25" s="46">
        <v>13</v>
      </c>
      <c r="D25" s="46" t="s">
        <v>106</v>
      </c>
      <c r="E25" s="47" t="str">
        <f t="shared" si="0"/>
        <v>SBM-WWRP-G13-B1</v>
      </c>
      <c r="F25" s="46">
        <v>4316887</v>
      </c>
      <c r="G25" s="46">
        <v>528599.625</v>
      </c>
      <c r="H25" s="52">
        <v>405.20001200000002</v>
      </c>
      <c r="I25" s="46" t="s">
        <v>107</v>
      </c>
      <c r="J25" s="46" t="s">
        <v>108</v>
      </c>
      <c r="K25" s="46">
        <v>0.01</v>
      </c>
      <c r="L25" s="46">
        <v>359</v>
      </c>
      <c r="M25" s="46">
        <v>373</v>
      </c>
      <c r="N25" s="46"/>
      <c r="O25" s="46"/>
      <c r="P25" s="47">
        <f t="shared" si="1"/>
        <v>15</v>
      </c>
      <c r="Q25" s="46">
        <v>1.7</v>
      </c>
      <c r="R25" s="46">
        <v>1.1000000000000001</v>
      </c>
      <c r="S25" s="46" t="s">
        <v>125</v>
      </c>
      <c r="T25" s="46"/>
      <c r="U25" s="46"/>
      <c r="V25" s="46" t="s">
        <v>138</v>
      </c>
      <c r="W25" s="46">
        <v>0</v>
      </c>
      <c r="X25" s="46" t="s">
        <v>143</v>
      </c>
      <c r="Y25" s="46">
        <v>0</v>
      </c>
    </row>
    <row r="26" spans="1:25" ht="14.4" customHeight="1" x14ac:dyDescent="0.3">
      <c r="A26" s="48">
        <v>46121</v>
      </c>
      <c r="B26" s="49" t="s">
        <v>14</v>
      </c>
      <c r="C26" s="49">
        <v>7</v>
      </c>
      <c r="D26" s="49" t="s">
        <v>112</v>
      </c>
      <c r="E26" s="50" t="str">
        <f t="shared" si="0"/>
        <v>SBM-SWRP-G07-B2</v>
      </c>
      <c r="F26" s="49">
        <v>4317107.5</v>
      </c>
      <c r="G26" s="49">
        <v>529210.19999999995</v>
      </c>
      <c r="H26" s="51">
        <v>410.8</v>
      </c>
      <c r="I26" s="49" t="s">
        <v>113</v>
      </c>
      <c r="J26" s="49" t="s">
        <v>108</v>
      </c>
      <c r="K26" s="49">
        <v>0.01</v>
      </c>
      <c r="L26" s="49">
        <v>401</v>
      </c>
      <c r="M26" s="49">
        <v>415</v>
      </c>
      <c r="N26" s="49"/>
      <c r="O26" s="49"/>
      <c r="P26" s="50">
        <f t="shared" si="1"/>
        <v>15</v>
      </c>
      <c r="Q26" s="49">
        <v>32.700000000000003</v>
      </c>
      <c r="R26" s="49">
        <v>0.5</v>
      </c>
      <c r="S26" s="49" t="s">
        <v>125</v>
      </c>
      <c r="T26" s="49"/>
      <c r="U26" s="49"/>
      <c r="V26" s="49" t="s">
        <v>144</v>
      </c>
      <c r="W26" s="49">
        <v>0</v>
      </c>
      <c r="X26" s="49" t="s">
        <v>145</v>
      </c>
      <c r="Y26" s="49">
        <v>0</v>
      </c>
    </row>
    <row r="27" spans="1:25" ht="14.4" customHeight="1" x14ac:dyDescent="0.3">
      <c r="A27" s="45">
        <v>46121</v>
      </c>
      <c r="B27" s="46" t="s">
        <v>14</v>
      </c>
      <c r="C27" s="46">
        <v>7</v>
      </c>
      <c r="D27" s="46" t="s">
        <v>106</v>
      </c>
      <c r="E27" s="47" t="str">
        <f t="shared" si="0"/>
        <v>SBM-SWRP-G07-B1</v>
      </c>
      <c r="F27" s="46">
        <v>4317100.5</v>
      </c>
      <c r="G27" s="46">
        <v>529218.19999999995</v>
      </c>
      <c r="H27" s="52">
        <v>413.4</v>
      </c>
      <c r="I27" s="46" t="s">
        <v>107</v>
      </c>
      <c r="J27" s="46" t="s">
        <v>108</v>
      </c>
      <c r="K27" s="46">
        <v>0.01</v>
      </c>
      <c r="L27" s="46">
        <v>416</v>
      </c>
      <c r="M27" s="46">
        <v>425</v>
      </c>
      <c r="N27" s="46"/>
      <c r="O27" s="46"/>
      <c r="P27" s="47">
        <f t="shared" si="1"/>
        <v>10</v>
      </c>
      <c r="Q27" s="46">
        <v>6.8</v>
      </c>
      <c r="R27" s="46">
        <v>1.8</v>
      </c>
      <c r="S27" s="46" t="s">
        <v>125</v>
      </c>
      <c r="T27" s="46"/>
      <c r="U27" s="46"/>
      <c r="V27" s="46" t="s">
        <v>144</v>
      </c>
      <c r="W27" s="46">
        <v>0</v>
      </c>
      <c r="X27" s="46" t="s">
        <v>146</v>
      </c>
      <c r="Y27" s="46">
        <v>0</v>
      </c>
    </row>
    <row r="28" spans="1:25" ht="14.4" customHeight="1" x14ac:dyDescent="0.3">
      <c r="A28" s="48">
        <v>46121</v>
      </c>
      <c r="B28" s="49" t="s">
        <v>14</v>
      </c>
      <c r="C28" s="49">
        <v>1</v>
      </c>
      <c r="D28" s="49" t="s">
        <v>106</v>
      </c>
      <c r="E28" s="50" t="str">
        <f t="shared" si="0"/>
        <v>SBM-SWRP-G01-B1</v>
      </c>
      <c r="F28" s="49">
        <v>4317164</v>
      </c>
      <c r="G28" s="49">
        <v>529321.4</v>
      </c>
      <c r="H28" s="51">
        <v>416.8</v>
      </c>
      <c r="I28" s="49" t="s">
        <v>107</v>
      </c>
      <c r="J28" s="49" t="s">
        <v>108</v>
      </c>
      <c r="K28" s="49">
        <v>0.01</v>
      </c>
      <c r="L28" s="49">
        <v>426</v>
      </c>
      <c r="M28" s="49">
        <v>435</v>
      </c>
      <c r="N28" s="49"/>
      <c r="O28" s="49"/>
      <c r="P28" s="50">
        <f t="shared" si="1"/>
        <v>10</v>
      </c>
      <c r="Q28" s="49">
        <v>0</v>
      </c>
      <c r="R28" s="49">
        <v>0</v>
      </c>
      <c r="S28" s="49" t="s">
        <v>125</v>
      </c>
      <c r="T28" s="49"/>
      <c r="U28" s="49"/>
      <c r="V28" s="49" t="s">
        <v>144</v>
      </c>
      <c r="W28" s="49">
        <v>0</v>
      </c>
      <c r="X28" s="49" t="s">
        <v>147</v>
      </c>
      <c r="Y28" s="49">
        <v>0</v>
      </c>
    </row>
    <row r="29" spans="1:25" ht="14.4" customHeight="1" x14ac:dyDescent="0.3">
      <c r="A29" s="45">
        <v>46121</v>
      </c>
      <c r="B29" s="46" t="s">
        <v>14</v>
      </c>
      <c r="C29" s="46">
        <v>1</v>
      </c>
      <c r="D29" s="46" t="s">
        <v>112</v>
      </c>
      <c r="E29" s="47" t="str">
        <f t="shared" si="0"/>
        <v>SBM-SWRP-G01-B2</v>
      </c>
      <c r="F29" s="46">
        <v>4317170</v>
      </c>
      <c r="G29" s="46">
        <v>529319.4</v>
      </c>
      <c r="H29" s="52">
        <v>416.3</v>
      </c>
      <c r="I29" s="46" t="s">
        <v>113</v>
      </c>
      <c r="J29" s="46" t="s">
        <v>108</v>
      </c>
      <c r="K29" s="46">
        <v>0.01</v>
      </c>
      <c r="L29" s="46">
        <v>436</v>
      </c>
      <c r="M29" s="46">
        <v>445</v>
      </c>
      <c r="N29" s="46"/>
      <c r="O29" s="46"/>
      <c r="P29" s="47">
        <f t="shared" si="1"/>
        <v>10</v>
      </c>
      <c r="Q29" s="46">
        <v>1.3</v>
      </c>
      <c r="R29" s="46">
        <v>0.2</v>
      </c>
      <c r="S29" s="46" t="s">
        <v>125</v>
      </c>
      <c r="T29" s="46"/>
      <c r="U29" s="46"/>
      <c r="V29" s="46" t="s">
        <v>144</v>
      </c>
      <c r="W29" s="46">
        <v>0</v>
      </c>
      <c r="X29" s="46" t="s">
        <v>146</v>
      </c>
      <c r="Y29" s="46">
        <v>0</v>
      </c>
    </row>
    <row r="30" spans="1:25" ht="14.4" customHeight="1" x14ac:dyDescent="0.3">
      <c r="A30" s="48">
        <v>46121</v>
      </c>
      <c r="B30" s="49" t="s">
        <v>14</v>
      </c>
      <c r="C30" s="49">
        <v>5</v>
      </c>
      <c r="D30" s="49" t="s">
        <v>106</v>
      </c>
      <c r="E30" s="50" t="str">
        <f t="shared" si="0"/>
        <v>SBM-SWRP-G05-B1</v>
      </c>
      <c r="F30" s="49">
        <v>4316908.5</v>
      </c>
      <c r="G30" s="49">
        <v>529188.69999999995</v>
      </c>
      <c r="H30" s="51">
        <v>439.8</v>
      </c>
      <c r="I30" s="49" t="s">
        <v>107</v>
      </c>
      <c r="J30" s="49" t="s">
        <v>108</v>
      </c>
      <c r="K30" s="49">
        <v>0.01</v>
      </c>
      <c r="L30" s="49">
        <v>446</v>
      </c>
      <c r="M30" s="49">
        <v>464</v>
      </c>
      <c r="N30" s="49"/>
      <c r="O30" s="49"/>
      <c r="P30" s="50">
        <f t="shared" si="1"/>
        <v>19</v>
      </c>
      <c r="Q30" s="49">
        <v>2.6</v>
      </c>
      <c r="R30" s="49">
        <v>14.9</v>
      </c>
      <c r="S30" s="49" t="s">
        <v>125</v>
      </c>
      <c r="T30" s="49"/>
      <c r="U30" s="49"/>
      <c r="V30" s="49" t="s">
        <v>144</v>
      </c>
      <c r="W30" s="49">
        <v>0</v>
      </c>
      <c r="X30" s="49" t="s">
        <v>148</v>
      </c>
      <c r="Y30" s="49">
        <v>0</v>
      </c>
    </row>
    <row r="31" spans="1:25" ht="14.4" customHeight="1" x14ac:dyDescent="0.3">
      <c r="A31" s="45">
        <v>46125</v>
      </c>
      <c r="B31" s="46" t="s">
        <v>14</v>
      </c>
      <c r="C31" s="46">
        <v>9</v>
      </c>
      <c r="D31" s="46" t="s">
        <v>106</v>
      </c>
      <c r="E31" s="47" t="str">
        <f t="shared" si="0"/>
        <v>SBM-SWRP-G09-B1</v>
      </c>
      <c r="F31" s="46">
        <v>4317099</v>
      </c>
      <c r="G31" s="46">
        <v>529373.9</v>
      </c>
      <c r="H31" s="46">
        <v>1334.6</v>
      </c>
      <c r="I31" s="46" t="s">
        <v>107</v>
      </c>
      <c r="J31" s="46" t="s">
        <v>108</v>
      </c>
      <c r="K31" s="46">
        <v>0.01</v>
      </c>
      <c r="L31" s="46">
        <v>498</v>
      </c>
      <c r="M31" s="46">
        <v>507</v>
      </c>
      <c r="N31" s="46"/>
      <c r="O31" s="46"/>
      <c r="P31" s="47">
        <f t="shared" si="1"/>
        <v>10</v>
      </c>
      <c r="Q31" s="46">
        <v>1.77</v>
      </c>
      <c r="R31" s="46">
        <v>0</v>
      </c>
      <c r="S31" s="46" t="s">
        <v>125</v>
      </c>
      <c r="T31" s="46"/>
      <c r="U31" s="46"/>
      <c r="V31" s="46" t="s">
        <v>149</v>
      </c>
      <c r="W31" s="46">
        <v>0</v>
      </c>
      <c r="X31" s="46" t="s">
        <v>150</v>
      </c>
      <c r="Y31" s="46">
        <v>0</v>
      </c>
    </row>
    <row r="32" spans="1:25" ht="14.4" customHeight="1" x14ac:dyDescent="0.3">
      <c r="A32" s="48">
        <v>46125</v>
      </c>
      <c r="B32" s="49" t="s">
        <v>14</v>
      </c>
      <c r="C32" s="49">
        <v>2</v>
      </c>
      <c r="D32" s="49" t="s">
        <v>106</v>
      </c>
      <c r="E32" s="50" t="str">
        <f t="shared" si="0"/>
        <v>SBM-SWRP-G02-B1</v>
      </c>
      <c r="F32" s="49">
        <v>4317201</v>
      </c>
      <c r="G32" s="49">
        <v>529379.4</v>
      </c>
      <c r="H32" s="49">
        <v>1303.8</v>
      </c>
      <c r="I32" s="49" t="s">
        <v>107</v>
      </c>
      <c r="J32" s="49" t="s">
        <v>108</v>
      </c>
      <c r="K32" s="49">
        <v>0.01</v>
      </c>
      <c r="L32" s="49">
        <v>508</v>
      </c>
      <c r="M32" s="49">
        <v>521</v>
      </c>
      <c r="N32" s="49"/>
      <c r="O32" s="49"/>
      <c r="P32" s="50">
        <f t="shared" si="1"/>
        <v>14</v>
      </c>
      <c r="Q32" s="49">
        <v>0.73</v>
      </c>
      <c r="R32" s="49">
        <v>31.05</v>
      </c>
      <c r="S32" s="49" t="s">
        <v>125</v>
      </c>
      <c r="T32" s="49"/>
      <c r="U32" s="49"/>
      <c r="V32" s="49" t="s">
        <v>149</v>
      </c>
      <c r="W32" s="49">
        <v>0</v>
      </c>
      <c r="X32" s="49" t="s">
        <v>151</v>
      </c>
      <c r="Y32" s="49">
        <v>0</v>
      </c>
    </row>
    <row r="33" spans="1:25" ht="14.4" customHeight="1" x14ac:dyDescent="0.3">
      <c r="A33" s="45">
        <v>46125</v>
      </c>
      <c r="B33" s="46" t="s">
        <v>14</v>
      </c>
      <c r="C33" s="46">
        <v>8</v>
      </c>
      <c r="D33" s="46" t="s">
        <v>112</v>
      </c>
      <c r="E33" s="47" t="str">
        <f t="shared" si="0"/>
        <v>SBM-SWRP-G08-B2</v>
      </c>
      <c r="F33" s="46">
        <v>4317105.5</v>
      </c>
      <c r="G33" s="46">
        <v>529279.30000000005</v>
      </c>
      <c r="H33" s="46">
        <v>1423.6</v>
      </c>
      <c r="I33" s="46" t="s">
        <v>113</v>
      </c>
      <c r="J33" s="46" t="s">
        <v>108</v>
      </c>
      <c r="K33" s="46">
        <v>0.01</v>
      </c>
      <c r="L33" s="46">
        <v>522</v>
      </c>
      <c r="M33" s="46">
        <v>534</v>
      </c>
      <c r="N33" s="46"/>
      <c r="O33" s="46"/>
      <c r="P33" s="47">
        <f t="shared" si="1"/>
        <v>13</v>
      </c>
      <c r="Q33" s="46">
        <v>122.93</v>
      </c>
      <c r="R33" s="46">
        <v>1.79</v>
      </c>
      <c r="S33" s="46" t="s">
        <v>125</v>
      </c>
      <c r="T33" s="46"/>
      <c r="U33" s="46"/>
      <c r="V33" s="46" t="s">
        <v>149</v>
      </c>
      <c r="W33" s="46">
        <v>0</v>
      </c>
      <c r="X33" s="46" t="s">
        <v>152</v>
      </c>
      <c r="Y33" s="46">
        <v>0</v>
      </c>
    </row>
    <row r="34" spans="1:25" ht="14.4" customHeight="1" x14ac:dyDescent="0.3">
      <c r="A34" s="48">
        <v>46125</v>
      </c>
      <c r="B34" s="49" t="s">
        <v>14</v>
      </c>
      <c r="C34" s="49">
        <v>8</v>
      </c>
      <c r="D34" s="49" t="s">
        <v>106</v>
      </c>
      <c r="E34" s="50" t="str">
        <f t="shared" si="0"/>
        <v>SBM-SWRP-G08-B1</v>
      </c>
      <c r="F34" s="49">
        <v>4317106.5</v>
      </c>
      <c r="G34" s="49">
        <v>529270.9</v>
      </c>
      <c r="H34" s="49">
        <v>1432.7</v>
      </c>
      <c r="I34" s="49" t="s">
        <v>107</v>
      </c>
      <c r="J34" s="49" t="s">
        <v>108</v>
      </c>
      <c r="K34" s="49">
        <v>0.01</v>
      </c>
      <c r="L34" s="49">
        <v>535</v>
      </c>
      <c r="M34" s="49">
        <v>545</v>
      </c>
      <c r="N34" s="49"/>
      <c r="O34" s="49"/>
      <c r="P34" s="50">
        <f t="shared" si="1"/>
        <v>11</v>
      </c>
      <c r="Q34" s="49">
        <v>5.28</v>
      </c>
      <c r="R34" s="49">
        <v>0</v>
      </c>
      <c r="S34" s="49" t="s">
        <v>125</v>
      </c>
      <c r="T34" s="49"/>
      <c r="U34" s="49"/>
      <c r="V34" s="49" t="s">
        <v>149</v>
      </c>
      <c r="W34" s="49">
        <v>0</v>
      </c>
      <c r="X34" s="49" t="s">
        <v>153</v>
      </c>
      <c r="Y34" s="49">
        <v>0</v>
      </c>
    </row>
    <row r="35" spans="1:25" ht="14.4" customHeight="1" x14ac:dyDescent="0.3">
      <c r="A35" s="45">
        <v>46125</v>
      </c>
      <c r="B35" s="46" t="s">
        <v>19</v>
      </c>
      <c r="C35" s="46">
        <v>3</v>
      </c>
      <c r="D35" s="46" t="s">
        <v>106</v>
      </c>
      <c r="E35" s="47" t="str">
        <f t="shared" si="0"/>
        <v>SBM-WWRP-G03-B1</v>
      </c>
      <c r="F35" s="46">
        <v>4317042</v>
      </c>
      <c r="G35" s="46">
        <v>528721.6</v>
      </c>
      <c r="H35" s="46">
        <v>1388.1</v>
      </c>
      <c r="I35" s="46" t="s">
        <v>107</v>
      </c>
      <c r="J35" s="46" t="s">
        <v>108</v>
      </c>
      <c r="K35" s="46">
        <v>0.01</v>
      </c>
      <c r="L35" s="46">
        <v>547</v>
      </c>
      <c r="M35" s="46">
        <v>558</v>
      </c>
      <c r="N35" s="46"/>
      <c r="O35" s="46"/>
      <c r="P35" s="47">
        <f t="shared" si="1"/>
        <v>12</v>
      </c>
      <c r="Q35" s="46">
        <v>46.5</v>
      </c>
      <c r="R35" s="46">
        <v>31.38</v>
      </c>
      <c r="S35" s="46" t="s">
        <v>125</v>
      </c>
      <c r="T35" s="46"/>
      <c r="U35" s="46"/>
      <c r="V35" s="46" t="s">
        <v>149</v>
      </c>
      <c r="W35" s="46">
        <v>0</v>
      </c>
      <c r="X35" s="46" t="s">
        <v>154</v>
      </c>
      <c r="Y35" s="46">
        <v>0</v>
      </c>
    </row>
    <row r="36" spans="1:25" ht="14.4" customHeight="1" x14ac:dyDescent="0.3">
      <c r="A36" s="48">
        <v>46125</v>
      </c>
      <c r="B36" s="49" t="s">
        <v>19</v>
      </c>
      <c r="C36" s="49">
        <v>3</v>
      </c>
      <c r="D36" s="49" t="s">
        <v>112</v>
      </c>
      <c r="E36" s="50" t="str">
        <f t="shared" si="0"/>
        <v>SBM-WWRP-G03-B2</v>
      </c>
      <c r="F36" s="49">
        <v>4317042</v>
      </c>
      <c r="G36" s="49">
        <v>528721.6</v>
      </c>
      <c r="H36" s="49">
        <v>1388.1</v>
      </c>
      <c r="I36" s="49" t="s">
        <v>113</v>
      </c>
      <c r="J36" s="49" t="s">
        <v>108</v>
      </c>
      <c r="K36" s="49">
        <v>0.01</v>
      </c>
      <c r="L36" s="49">
        <v>559</v>
      </c>
      <c r="M36" s="49">
        <v>568</v>
      </c>
      <c r="N36" s="49"/>
      <c r="O36" s="49"/>
      <c r="P36" s="50">
        <f t="shared" si="1"/>
        <v>10</v>
      </c>
      <c r="Q36" s="49">
        <v>3.75</v>
      </c>
      <c r="R36" s="49">
        <v>10.29</v>
      </c>
      <c r="S36" s="49" t="s">
        <v>125</v>
      </c>
      <c r="T36" s="49"/>
      <c r="U36" s="49"/>
      <c r="V36" s="49" t="s">
        <v>149</v>
      </c>
      <c r="W36" s="49">
        <v>0</v>
      </c>
      <c r="X36" s="49" t="s">
        <v>155</v>
      </c>
      <c r="Y36" s="49">
        <v>6.72</v>
      </c>
    </row>
    <row r="37" spans="1:25" ht="14.4" customHeight="1" x14ac:dyDescent="0.3">
      <c r="A37" s="45">
        <v>46125</v>
      </c>
      <c r="B37" s="46" t="s">
        <v>19</v>
      </c>
      <c r="C37" s="46">
        <v>6</v>
      </c>
      <c r="D37" s="46" t="s">
        <v>106</v>
      </c>
      <c r="E37" s="47" t="str">
        <f t="shared" ref="E37:E68" si="2">IF(B37="","","SBM-"&amp;B37&amp;"-G"&amp;TEXT(C37,"00")&amp;"-"&amp;D37)</f>
        <v>SBM-WWRP-G06-B1</v>
      </c>
      <c r="F37" s="46">
        <v>4317004.5</v>
      </c>
      <c r="G37" s="46">
        <v>528701.4</v>
      </c>
      <c r="H37" s="46">
        <v>1367.1</v>
      </c>
      <c r="I37" s="46" t="s">
        <v>107</v>
      </c>
      <c r="J37" s="46" t="s">
        <v>108</v>
      </c>
      <c r="K37" s="46">
        <v>0.01</v>
      </c>
      <c r="L37" s="46">
        <v>569</v>
      </c>
      <c r="M37" s="46">
        <v>578</v>
      </c>
      <c r="N37" s="46"/>
      <c r="O37" s="46"/>
      <c r="P37" s="47">
        <f t="shared" ref="P37:P68" si="3">IF(L37="","",(M37-L37+1)+IF(N37="",0,O37-N37+1))</f>
        <v>10</v>
      </c>
      <c r="Q37" s="46">
        <v>4.28</v>
      </c>
      <c r="R37" s="46">
        <v>0</v>
      </c>
      <c r="S37" s="46" t="s">
        <v>125</v>
      </c>
      <c r="T37" s="46"/>
      <c r="U37" s="46"/>
      <c r="V37" s="46" t="s">
        <v>149</v>
      </c>
      <c r="W37" s="46">
        <v>0</v>
      </c>
      <c r="X37" s="46" t="s">
        <v>156</v>
      </c>
      <c r="Y37" s="46">
        <v>3.12</v>
      </c>
    </row>
    <row r="38" spans="1:25" ht="14.4" customHeight="1" x14ac:dyDescent="0.3">
      <c r="A38" s="48">
        <v>46126</v>
      </c>
      <c r="B38" s="49" t="s">
        <v>19</v>
      </c>
      <c r="C38" s="49">
        <v>4</v>
      </c>
      <c r="D38" s="49" t="s">
        <v>106</v>
      </c>
      <c r="E38" s="50" t="str">
        <f t="shared" si="2"/>
        <v>SBM-WWRP-G04-B1</v>
      </c>
      <c r="F38" s="49">
        <v>4317046</v>
      </c>
      <c r="G38" s="49">
        <v>528764.19999999995</v>
      </c>
      <c r="H38" s="49">
        <v>1297.5999999999999</v>
      </c>
      <c r="I38" s="49" t="s">
        <v>107</v>
      </c>
      <c r="J38" s="49" t="s">
        <v>108</v>
      </c>
      <c r="K38" s="49">
        <v>0.01</v>
      </c>
      <c r="L38" s="49">
        <v>586</v>
      </c>
      <c r="M38" s="49">
        <v>595</v>
      </c>
      <c r="N38" s="49"/>
      <c r="O38" s="49"/>
      <c r="P38" s="50">
        <f t="shared" si="3"/>
        <v>10</v>
      </c>
      <c r="Q38" s="49">
        <v>1.7</v>
      </c>
      <c r="R38" s="49">
        <v>2.4300000000000002</v>
      </c>
      <c r="S38" s="49" t="s">
        <v>125</v>
      </c>
      <c r="T38" s="49"/>
      <c r="U38" s="49"/>
      <c r="V38" s="49" t="s">
        <v>157</v>
      </c>
      <c r="W38" s="49">
        <v>0</v>
      </c>
      <c r="X38" s="49" t="s">
        <v>158</v>
      </c>
      <c r="Y38" s="49">
        <v>0</v>
      </c>
    </row>
    <row r="39" spans="1:25" ht="14.4" customHeight="1" x14ac:dyDescent="0.3">
      <c r="A39" s="45">
        <v>46126</v>
      </c>
      <c r="B39" s="46" t="s">
        <v>19</v>
      </c>
      <c r="C39" s="46">
        <v>6</v>
      </c>
      <c r="D39" s="46" t="s">
        <v>112</v>
      </c>
      <c r="E39" s="47" t="str">
        <f t="shared" si="2"/>
        <v>SBM-WWRP-G06-B2</v>
      </c>
      <c r="F39" s="46">
        <v>4317028</v>
      </c>
      <c r="G39" s="46">
        <v>528667.5</v>
      </c>
      <c r="H39" s="46">
        <v>1370.7</v>
      </c>
      <c r="I39" s="46" t="s">
        <v>107</v>
      </c>
      <c r="J39" s="46" t="s">
        <v>108</v>
      </c>
      <c r="K39" s="46">
        <v>0.01</v>
      </c>
      <c r="L39" s="46">
        <v>596</v>
      </c>
      <c r="M39" s="46">
        <v>607</v>
      </c>
      <c r="N39" s="46"/>
      <c r="O39" s="46"/>
      <c r="P39" s="47">
        <f t="shared" si="3"/>
        <v>12</v>
      </c>
      <c r="Q39" s="46">
        <v>9.68</v>
      </c>
      <c r="R39" s="46">
        <v>76.37</v>
      </c>
      <c r="S39" s="46" t="s">
        <v>125</v>
      </c>
      <c r="T39" s="46"/>
      <c r="U39" s="46"/>
      <c r="V39" s="46" t="s">
        <v>157</v>
      </c>
      <c r="W39" s="46">
        <v>0</v>
      </c>
      <c r="X39" s="46" t="s">
        <v>159</v>
      </c>
      <c r="Y39" s="46">
        <v>0</v>
      </c>
    </row>
    <row r="40" spans="1:25" ht="14.4" customHeight="1" x14ac:dyDescent="0.3">
      <c r="A40" s="48">
        <v>46126</v>
      </c>
      <c r="B40" s="49" t="s">
        <v>19</v>
      </c>
      <c r="C40" s="49">
        <v>2</v>
      </c>
      <c r="D40" s="49" t="s">
        <v>112</v>
      </c>
      <c r="E40" s="50" t="str">
        <f t="shared" si="2"/>
        <v>SBM-WWRP-G02-B2</v>
      </c>
      <c r="F40" s="49">
        <v>4317040</v>
      </c>
      <c r="G40" s="49">
        <v>528626.6</v>
      </c>
      <c r="H40" s="49">
        <v>1382.5</v>
      </c>
      <c r="I40" s="49" t="s">
        <v>113</v>
      </c>
      <c r="J40" s="49" t="s">
        <v>108</v>
      </c>
      <c r="K40" s="49">
        <v>0.01</v>
      </c>
      <c r="L40" s="49">
        <v>608</v>
      </c>
      <c r="M40" s="49">
        <v>618</v>
      </c>
      <c r="N40" s="49"/>
      <c r="O40" s="49"/>
      <c r="P40" s="50">
        <f t="shared" si="3"/>
        <v>11</v>
      </c>
      <c r="Q40" s="49">
        <v>3702.09</v>
      </c>
      <c r="R40" s="49">
        <v>4.28</v>
      </c>
      <c r="S40" s="49" t="s">
        <v>125</v>
      </c>
      <c r="T40" s="49"/>
      <c r="U40" s="49"/>
      <c r="V40" s="49" t="s">
        <v>157</v>
      </c>
      <c r="W40" s="49">
        <v>0</v>
      </c>
      <c r="X40" s="49" t="s">
        <v>160</v>
      </c>
      <c r="Y40" s="49">
        <v>0</v>
      </c>
    </row>
    <row r="41" spans="1:25" ht="14.4" customHeight="1" x14ac:dyDescent="0.3">
      <c r="A41" s="45">
        <v>46126</v>
      </c>
      <c r="B41" s="46" t="s">
        <v>19</v>
      </c>
      <c r="C41" s="46">
        <v>5</v>
      </c>
      <c r="D41" s="46" t="s">
        <v>106</v>
      </c>
      <c r="E41" s="47" t="str">
        <f t="shared" si="2"/>
        <v>SBM-WWRP-G05-B1</v>
      </c>
      <c r="F41" s="46">
        <v>4317012</v>
      </c>
      <c r="G41" s="46">
        <v>528616.1</v>
      </c>
      <c r="H41" s="46">
        <v>1038.7</v>
      </c>
      <c r="I41" s="46" t="s">
        <v>107</v>
      </c>
      <c r="J41" s="46" t="s">
        <v>108</v>
      </c>
      <c r="K41" s="46">
        <v>0.01</v>
      </c>
      <c r="L41" s="46">
        <v>619</v>
      </c>
      <c r="M41" s="46">
        <v>629</v>
      </c>
      <c r="N41" s="46"/>
      <c r="O41" s="46"/>
      <c r="P41" s="47">
        <f t="shared" si="3"/>
        <v>11</v>
      </c>
      <c r="Q41" s="46">
        <v>6.4</v>
      </c>
      <c r="R41" s="46">
        <v>5.56</v>
      </c>
      <c r="S41" s="46" t="s">
        <v>125</v>
      </c>
      <c r="T41" s="46"/>
      <c r="U41" s="46"/>
      <c r="V41" s="46" t="s">
        <v>157</v>
      </c>
      <c r="W41" s="46">
        <v>0</v>
      </c>
      <c r="X41" s="46" t="s">
        <v>161</v>
      </c>
      <c r="Y41" s="46">
        <v>0</v>
      </c>
    </row>
    <row r="42" spans="1:25" ht="14.4" customHeight="1" x14ac:dyDescent="0.3">
      <c r="A42" s="48">
        <v>46126</v>
      </c>
      <c r="B42" s="49" t="s">
        <v>19</v>
      </c>
      <c r="C42" s="49">
        <v>6</v>
      </c>
      <c r="D42" s="49" t="s">
        <v>162</v>
      </c>
      <c r="E42" s="50" t="str">
        <f t="shared" si="2"/>
        <v>SBM-WWRP-G06-B3</v>
      </c>
      <c r="F42" s="49">
        <v>4316983.5</v>
      </c>
      <c r="G42" s="49">
        <v>528666.6</v>
      </c>
      <c r="H42" s="49">
        <v>1330.1</v>
      </c>
      <c r="I42" s="49" t="s">
        <v>107</v>
      </c>
      <c r="J42" s="49" t="s">
        <v>108</v>
      </c>
      <c r="K42" s="49">
        <v>0.01</v>
      </c>
      <c r="L42" s="49">
        <v>630</v>
      </c>
      <c r="M42" s="49">
        <v>641</v>
      </c>
      <c r="N42" s="49"/>
      <c r="O42" s="49"/>
      <c r="P42" s="50">
        <f t="shared" si="3"/>
        <v>12</v>
      </c>
      <c r="Q42" s="49">
        <v>3.01</v>
      </c>
      <c r="R42" s="49">
        <v>18.079999999999998</v>
      </c>
      <c r="S42" s="49" t="s">
        <v>125</v>
      </c>
      <c r="T42" s="49"/>
      <c r="U42" s="49"/>
      <c r="V42" s="49" t="s">
        <v>157</v>
      </c>
      <c r="W42" s="49">
        <v>0</v>
      </c>
      <c r="X42" s="49" t="s">
        <v>163</v>
      </c>
      <c r="Y42" s="49">
        <v>0</v>
      </c>
    </row>
    <row r="43" spans="1:25" ht="14.4" customHeight="1" x14ac:dyDescent="0.3">
      <c r="A43" s="45">
        <v>46126</v>
      </c>
      <c r="B43" s="46" t="s">
        <v>18</v>
      </c>
      <c r="C43" s="46">
        <v>15</v>
      </c>
      <c r="D43" s="46" t="s">
        <v>106</v>
      </c>
      <c r="E43" s="47" t="str">
        <f t="shared" si="2"/>
        <v>SBM-WRD-G15-B1</v>
      </c>
      <c r="F43" s="46">
        <v>4317099</v>
      </c>
      <c r="G43" s="46">
        <v>528796.6</v>
      </c>
      <c r="H43" s="46">
        <v>1328.1</v>
      </c>
      <c r="I43" s="46" t="s">
        <v>107</v>
      </c>
      <c r="J43" s="46" t="s">
        <v>108</v>
      </c>
      <c r="K43" s="46">
        <v>0.01</v>
      </c>
      <c r="L43" s="46">
        <v>642</v>
      </c>
      <c r="M43" s="46">
        <v>651</v>
      </c>
      <c r="N43" s="46"/>
      <c r="O43" s="46"/>
      <c r="P43" s="47">
        <f t="shared" si="3"/>
        <v>10</v>
      </c>
      <c r="Q43" s="46">
        <v>3.05</v>
      </c>
      <c r="R43" s="46">
        <v>0.22</v>
      </c>
      <c r="S43" s="46" t="s">
        <v>125</v>
      </c>
      <c r="T43" s="46"/>
      <c r="U43" s="46"/>
      <c r="V43" s="46" t="s">
        <v>157</v>
      </c>
      <c r="W43" s="46">
        <v>0</v>
      </c>
      <c r="X43" s="46" t="s">
        <v>164</v>
      </c>
      <c r="Y43" s="46">
        <v>0</v>
      </c>
    </row>
    <row r="44" spans="1:25" ht="14.4" customHeight="1" x14ac:dyDescent="0.3">
      <c r="A44" s="48">
        <v>46126</v>
      </c>
      <c r="B44" s="49" t="s">
        <v>18</v>
      </c>
      <c r="C44" s="49">
        <v>15</v>
      </c>
      <c r="D44" s="49" t="s">
        <v>112</v>
      </c>
      <c r="E44" s="50" t="str">
        <f t="shared" si="2"/>
        <v>SBM-WRD-G15-B2</v>
      </c>
      <c r="F44" s="49">
        <v>4317101.5</v>
      </c>
      <c r="G44" s="49">
        <v>528804.19999999995</v>
      </c>
      <c r="H44" s="49">
        <v>1344.8</v>
      </c>
      <c r="I44" s="49" t="s">
        <v>113</v>
      </c>
      <c r="J44" s="49" t="s">
        <v>108</v>
      </c>
      <c r="K44" s="49">
        <v>0.01</v>
      </c>
      <c r="L44" s="49">
        <v>652</v>
      </c>
      <c r="M44" s="49">
        <v>664</v>
      </c>
      <c r="N44" s="49"/>
      <c r="O44" s="49"/>
      <c r="P44" s="50">
        <f t="shared" si="3"/>
        <v>13</v>
      </c>
      <c r="Q44" s="49">
        <v>2.8</v>
      </c>
      <c r="R44" s="49">
        <v>10.66</v>
      </c>
      <c r="S44" s="49" t="s">
        <v>125</v>
      </c>
      <c r="T44" s="49"/>
      <c r="U44" s="49"/>
      <c r="V44" s="49" t="s">
        <v>157</v>
      </c>
      <c r="W44" s="49">
        <v>0</v>
      </c>
      <c r="X44" s="49" t="s">
        <v>165</v>
      </c>
      <c r="Y44" s="49">
        <v>2.2000000000000002</v>
      </c>
    </row>
    <row r="45" spans="1:25" ht="14.4" customHeight="1" x14ac:dyDescent="0.3">
      <c r="A45" s="45">
        <v>46127</v>
      </c>
      <c r="B45" s="46" t="s">
        <v>18</v>
      </c>
      <c r="C45" s="46">
        <v>14</v>
      </c>
      <c r="D45" s="46" t="s">
        <v>106</v>
      </c>
      <c r="E45" s="47" t="str">
        <f t="shared" si="2"/>
        <v>SBM-WRD-G14-B1</v>
      </c>
      <c r="F45" s="46">
        <v>4317208.5</v>
      </c>
      <c r="G45" s="46">
        <v>528727.93999999994</v>
      </c>
      <c r="H45" s="46">
        <v>1287.4000000000001</v>
      </c>
      <c r="I45" s="46" t="s">
        <v>107</v>
      </c>
      <c r="J45" s="46" t="s">
        <v>108</v>
      </c>
      <c r="K45" s="46">
        <v>0.01</v>
      </c>
      <c r="L45" s="46">
        <v>670</v>
      </c>
      <c r="M45" s="46">
        <v>679</v>
      </c>
      <c r="N45" s="46"/>
      <c r="O45" s="46"/>
      <c r="P45" s="47">
        <f t="shared" si="3"/>
        <v>10</v>
      </c>
      <c r="Q45" s="46">
        <v>73.08</v>
      </c>
      <c r="R45" s="46">
        <v>11.68</v>
      </c>
      <c r="S45" s="46" t="s">
        <v>125</v>
      </c>
      <c r="T45" s="46"/>
      <c r="U45" s="46"/>
      <c r="V45" s="46" t="s">
        <v>166</v>
      </c>
      <c r="W45" s="46">
        <v>0</v>
      </c>
      <c r="X45" s="46"/>
      <c r="Y45" s="46">
        <v>0</v>
      </c>
    </row>
    <row r="46" spans="1:25" ht="14.4" customHeight="1" x14ac:dyDescent="0.3">
      <c r="A46" s="48">
        <v>46127</v>
      </c>
      <c r="B46" s="49" t="s">
        <v>18</v>
      </c>
      <c r="C46" s="49">
        <v>14</v>
      </c>
      <c r="D46" s="49" t="s">
        <v>112</v>
      </c>
      <c r="E46" s="50" t="str">
        <f t="shared" si="2"/>
        <v>SBM-WRD-G14-B2</v>
      </c>
      <c r="F46" s="49">
        <v>4317210.5</v>
      </c>
      <c r="G46" s="49">
        <v>528743.62</v>
      </c>
      <c r="H46" s="49">
        <v>1355.3</v>
      </c>
      <c r="I46" s="49" t="s">
        <v>113</v>
      </c>
      <c r="J46" s="49" t="s">
        <v>108</v>
      </c>
      <c r="K46" s="49">
        <v>0.01</v>
      </c>
      <c r="L46" s="49">
        <v>680</v>
      </c>
      <c r="M46" s="49">
        <v>690</v>
      </c>
      <c r="N46" s="49"/>
      <c r="O46" s="49"/>
      <c r="P46" s="50">
        <f t="shared" si="3"/>
        <v>11</v>
      </c>
      <c r="Q46" s="49">
        <v>7.56</v>
      </c>
      <c r="R46" s="49">
        <v>0</v>
      </c>
      <c r="S46" s="49" t="s">
        <v>125</v>
      </c>
      <c r="T46" s="49"/>
      <c r="U46" s="49"/>
      <c r="V46" s="49" t="s">
        <v>166</v>
      </c>
      <c r="W46" s="49">
        <v>0</v>
      </c>
      <c r="X46" s="49"/>
      <c r="Y46" s="49">
        <v>0</v>
      </c>
    </row>
    <row r="47" spans="1:25" ht="14.4" customHeight="1" x14ac:dyDescent="0.3">
      <c r="A47" s="45">
        <v>46127</v>
      </c>
      <c r="B47" s="46" t="s">
        <v>18</v>
      </c>
      <c r="C47" s="46">
        <v>13</v>
      </c>
      <c r="D47" s="46" t="s">
        <v>106</v>
      </c>
      <c r="E47" s="47" t="str">
        <f t="shared" si="2"/>
        <v>SBM-WRD-G13-B1</v>
      </c>
      <c r="F47" s="46">
        <v>4317254</v>
      </c>
      <c r="G47" s="46">
        <v>528740.43999999994</v>
      </c>
      <c r="H47" s="46">
        <v>1358.9</v>
      </c>
      <c r="I47" s="46" t="s">
        <v>107</v>
      </c>
      <c r="J47" s="46" t="s">
        <v>108</v>
      </c>
      <c r="K47" s="46">
        <v>0.01</v>
      </c>
      <c r="L47" s="46">
        <v>691</v>
      </c>
      <c r="M47" s="46">
        <v>700</v>
      </c>
      <c r="N47" s="46"/>
      <c r="O47" s="46"/>
      <c r="P47" s="47">
        <f t="shared" si="3"/>
        <v>10</v>
      </c>
      <c r="Q47" s="46">
        <v>0.27</v>
      </c>
      <c r="R47" s="46">
        <v>0</v>
      </c>
      <c r="S47" s="46" t="s">
        <v>125</v>
      </c>
      <c r="T47" s="46"/>
      <c r="U47" s="46"/>
      <c r="V47" s="46" t="s">
        <v>166</v>
      </c>
      <c r="W47" s="46">
        <v>0</v>
      </c>
      <c r="X47" s="46"/>
      <c r="Y47" s="46">
        <v>0</v>
      </c>
    </row>
    <row r="48" spans="1:25" ht="14.4" customHeight="1" x14ac:dyDescent="0.3">
      <c r="A48" s="48">
        <v>46127</v>
      </c>
      <c r="B48" s="49" t="s">
        <v>18</v>
      </c>
      <c r="C48" s="49">
        <v>11</v>
      </c>
      <c r="D48" s="49" t="s">
        <v>106</v>
      </c>
      <c r="E48" s="50" t="str">
        <f t="shared" si="2"/>
        <v>SBM-WRD-G11-B1</v>
      </c>
      <c r="F48" s="49">
        <v>4317104</v>
      </c>
      <c r="G48" s="49">
        <v>528545</v>
      </c>
      <c r="H48" s="49">
        <v>1313.3</v>
      </c>
      <c r="I48" s="49" t="s">
        <v>107</v>
      </c>
      <c r="J48" s="49" t="s">
        <v>108</v>
      </c>
      <c r="K48" s="49">
        <v>0.01</v>
      </c>
      <c r="L48" s="49">
        <v>701</v>
      </c>
      <c r="M48" s="49">
        <v>710</v>
      </c>
      <c r="N48" s="49"/>
      <c r="O48" s="49"/>
      <c r="P48" s="50">
        <f t="shared" si="3"/>
        <v>10</v>
      </c>
      <c r="Q48" s="49">
        <v>1.1399999999999999</v>
      </c>
      <c r="R48" s="49">
        <v>0</v>
      </c>
      <c r="S48" s="49" t="s">
        <v>125</v>
      </c>
      <c r="T48" s="49"/>
      <c r="U48" s="49"/>
      <c r="V48" s="49" t="s">
        <v>166</v>
      </c>
      <c r="W48" s="49">
        <v>0</v>
      </c>
      <c r="X48" s="49"/>
      <c r="Y48" s="49">
        <v>0</v>
      </c>
    </row>
    <row r="49" spans="1:25" ht="14.4" customHeight="1" x14ac:dyDescent="0.3">
      <c r="A49" s="45">
        <v>46127</v>
      </c>
      <c r="B49" s="46" t="s">
        <v>18</v>
      </c>
      <c r="C49" s="46">
        <v>11</v>
      </c>
      <c r="D49" s="46" t="s">
        <v>112</v>
      </c>
      <c r="E49" s="47" t="str">
        <f t="shared" si="2"/>
        <v>SBM-WRD-G11-B2</v>
      </c>
      <c r="F49" s="46">
        <v>4317108</v>
      </c>
      <c r="G49" s="46">
        <v>528542.81000000006</v>
      </c>
      <c r="H49" s="46">
        <v>1304.5</v>
      </c>
      <c r="I49" s="46" t="s">
        <v>107</v>
      </c>
      <c r="J49" s="46" t="s">
        <v>108</v>
      </c>
      <c r="K49" s="46">
        <v>0.01</v>
      </c>
      <c r="L49" s="46">
        <v>711</v>
      </c>
      <c r="M49" s="46">
        <v>720</v>
      </c>
      <c r="N49" s="46"/>
      <c r="O49" s="46"/>
      <c r="P49" s="47">
        <f t="shared" si="3"/>
        <v>10</v>
      </c>
      <c r="Q49" s="46">
        <v>0.8</v>
      </c>
      <c r="R49" s="46">
        <v>0</v>
      </c>
      <c r="S49" s="46" t="s">
        <v>125</v>
      </c>
      <c r="T49" s="46"/>
      <c r="U49" s="46"/>
      <c r="V49" s="46" t="s">
        <v>166</v>
      </c>
      <c r="W49" s="46">
        <v>0</v>
      </c>
      <c r="X49" s="46"/>
      <c r="Y49" s="46">
        <v>0</v>
      </c>
    </row>
    <row r="50" spans="1:25" ht="14.4" customHeight="1" x14ac:dyDescent="0.3">
      <c r="A50" s="48">
        <v>46127</v>
      </c>
      <c r="B50" s="49" t="s">
        <v>18</v>
      </c>
      <c r="C50" s="49">
        <v>10</v>
      </c>
      <c r="D50" s="49" t="s">
        <v>106</v>
      </c>
      <c r="E50" s="50" t="str">
        <f t="shared" si="2"/>
        <v>SBM-WRD-G10-B1</v>
      </c>
      <c r="F50" s="49">
        <v>4317137.5</v>
      </c>
      <c r="G50" s="49">
        <v>528546.06000000006</v>
      </c>
      <c r="H50" s="49">
        <v>1326.1</v>
      </c>
      <c r="I50" s="49" t="s">
        <v>107</v>
      </c>
      <c r="J50" s="49" t="s">
        <v>108</v>
      </c>
      <c r="K50" s="49">
        <v>0.01</v>
      </c>
      <c r="L50" s="49">
        <v>721</v>
      </c>
      <c r="M50" s="49">
        <v>731</v>
      </c>
      <c r="N50" s="49"/>
      <c r="O50" s="49"/>
      <c r="P50" s="50">
        <f t="shared" si="3"/>
        <v>11</v>
      </c>
      <c r="Q50" s="49">
        <v>0.3</v>
      </c>
      <c r="R50" s="49">
        <v>0</v>
      </c>
      <c r="S50" s="49" t="s">
        <v>125</v>
      </c>
      <c r="T50" s="49"/>
      <c r="U50" s="49"/>
      <c r="V50" s="49" t="s">
        <v>166</v>
      </c>
      <c r="W50" s="49">
        <v>0</v>
      </c>
      <c r="X50" s="49" t="s">
        <v>167</v>
      </c>
      <c r="Y50" s="49">
        <v>0</v>
      </c>
    </row>
    <row r="51" spans="1:25" ht="14.4" customHeight="1" x14ac:dyDescent="0.3">
      <c r="A51" s="45">
        <v>46128</v>
      </c>
      <c r="B51" s="46" t="s">
        <v>18</v>
      </c>
      <c r="C51" s="46">
        <v>10</v>
      </c>
      <c r="D51" s="46" t="s">
        <v>112</v>
      </c>
      <c r="E51" s="47" t="str">
        <f t="shared" si="2"/>
        <v>SBM-WRD-G10-B2</v>
      </c>
      <c r="F51" s="46">
        <v>4317155.5</v>
      </c>
      <c r="G51" s="46">
        <v>528542.93999999994</v>
      </c>
      <c r="H51" s="46">
        <v>1293.3</v>
      </c>
      <c r="I51" s="46" t="s">
        <v>107</v>
      </c>
      <c r="J51" s="46" t="s">
        <v>108</v>
      </c>
      <c r="K51" s="46">
        <v>0.01</v>
      </c>
      <c r="L51" s="46">
        <v>740</v>
      </c>
      <c r="M51" s="46">
        <v>751</v>
      </c>
      <c r="N51" s="46"/>
      <c r="O51" s="46"/>
      <c r="P51" s="47">
        <f t="shared" si="3"/>
        <v>12</v>
      </c>
      <c r="Q51" s="46">
        <v>1.31</v>
      </c>
      <c r="R51" s="46">
        <v>0</v>
      </c>
      <c r="S51" s="46" t="s">
        <v>125</v>
      </c>
      <c r="T51" s="46"/>
      <c r="U51" s="46"/>
      <c r="V51" s="46" t="s">
        <v>168</v>
      </c>
      <c r="W51" s="46">
        <v>0</v>
      </c>
      <c r="X51" s="46" t="s">
        <v>169</v>
      </c>
      <c r="Y51" s="46">
        <v>0</v>
      </c>
    </row>
    <row r="52" spans="1:25" ht="14.4" customHeight="1" x14ac:dyDescent="0.3">
      <c r="A52" s="48">
        <v>46128</v>
      </c>
      <c r="B52" s="49" t="s">
        <v>18</v>
      </c>
      <c r="C52" s="49">
        <v>12</v>
      </c>
      <c r="D52" s="49" t="s">
        <v>106</v>
      </c>
      <c r="E52" s="50" t="str">
        <f t="shared" si="2"/>
        <v>SBM-WRD-G12-B1</v>
      </c>
      <c r="F52" s="49">
        <v>4317089</v>
      </c>
      <c r="G52" s="49">
        <v>528543.93999999994</v>
      </c>
      <c r="H52" s="49">
        <v>1289.4000000000001</v>
      </c>
      <c r="I52" s="49" t="s">
        <v>107</v>
      </c>
      <c r="J52" s="49" t="s">
        <v>108</v>
      </c>
      <c r="K52" s="49">
        <v>0.01</v>
      </c>
      <c r="L52" s="49">
        <v>752</v>
      </c>
      <c r="M52" s="49">
        <v>761</v>
      </c>
      <c r="N52" s="49"/>
      <c r="O52" s="49"/>
      <c r="P52" s="50">
        <f t="shared" si="3"/>
        <v>10</v>
      </c>
      <c r="Q52" s="49">
        <v>0</v>
      </c>
      <c r="R52" s="49">
        <v>0</v>
      </c>
      <c r="S52" s="49" t="s">
        <v>125</v>
      </c>
      <c r="T52" s="49"/>
      <c r="U52" s="49"/>
      <c r="V52" s="49" t="s">
        <v>168</v>
      </c>
      <c r="W52" s="49">
        <v>0</v>
      </c>
      <c r="X52" s="49"/>
      <c r="Y52" s="49">
        <v>5.84</v>
      </c>
    </row>
    <row r="53" spans="1:25" ht="14.4" customHeight="1" x14ac:dyDescent="0.3">
      <c r="A53" s="45">
        <v>46128</v>
      </c>
      <c r="B53" s="46" t="s">
        <v>18</v>
      </c>
      <c r="C53" s="46">
        <v>12</v>
      </c>
      <c r="D53" s="46" t="s">
        <v>112</v>
      </c>
      <c r="E53" s="47" t="str">
        <f t="shared" si="2"/>
        <v>SBM-WRD-G12-B2</v>
      </c>
      <c r="F53" s="46">
        <v>4317087</v>
      </c>
      <c r="G53" s="46">
        <v>528552</v>
      </c>
      <c r="H53" s="46">
        <v>1323.2</v>
      </c>
      <c r="I53" s="46" t="s">
        <v>107</v>
      </c>
      <c r="J53" s="46" t="s">
        <v>108</v>
      </c>
      <c r="K53" s="46">
        <v>0.01</v>
      </c>
      <c r="L53" s="46">
        <v>762</v>
      </c>
      <c r="M53" s="46">
        <v>771</v>
      </c>
      <c r="N53" s="46"/>
      <c r="O53" s="46"/>
      <c r="P53" s="47">
        <f t="shared" si="3"/>
        <v>10</v>
      </c>
      <c r="Q53" s="46">
        <v>0.32</v>
      </c>
      <c r="R53" s="46">
        <v>0</v>
      </c>
      <c r="S53" s="46" t="s">
        <v>125</v>
      </c>
      <c r="T53" s="46"/>
      <c r="U53" s="46"/>
      <c r="V53" s="46" t="s">
        <v>168</v>
      </c>
      <c r="W53" s="46">
        <v>0</v>
      </c>
      <c r="X53" s="46"/>
      <c r="Y53" s="46">
        <v>3.42</v>
      </c>
    </row>
    <row r="54" spans="1:25" ht="14.4" customHeight="1" x14ac:dyDescent="0.3">
      <c r="A54" s="48">
        <v>46128</v>
      </c>
      <c r="B54" s="49" t="s">
        <v>18</v>
      </c>
      <c r="C54" s="49">
        <v>9</v>
      </c>
      <c r="D54" s="49" t="s">
        <v>112</v>
      </c>
      <c r="E54" s="50" t="str">
        <f t="shared" si="2"/>
        <v>SBM-WRD-G09-B2</v>
      </c>
      <c r="F54" s="49">
        <v>4317165.5</v>
      </c>
      <c r="G54" s="49">
        <v>528519.12</v>
      </c>
      <c r="H54" s="49">
        <v>1327.1</v>
      </c>
      <c r="I54" s="49" t="s">
        <v>113</v>
      </c>
      <c r="J54" s="49" t="s">
        <v>108</v>
      </c>
      <c r="K54" s="49">
        <v>0.01</v>
      </c>
      <c r="L54" s="49">
        <v>772</v>
      </c>
      <c r="M54" s="49">
        <v>781</v>
      </c>
      <c r="N54" s="49"/>
      <c r="O54" s="49"/>
      <c r="P54" s="50">
        <f t="shared" si="3"/>
        <v>10</v>
      </c>
      <c r="Q54" s="49">
        <v>2.3199999999999998</v>
      </c>
      <c r="R54" s="49">
        <v>10.49</v>
      </c>
      <c r="S54" s="49" t="s">
        <v>125</v>
      </c>
      <c r="T54" s="49"/>
      <c r="U54" s="49"/>
      <c r="V54" s="49" t="s">
        <v>168</v>
      </c>
      <c r="W54" s="49">
        <v>0</v>
      </c>
      <c r="X54" s="49" t="s">
        <v>170</v>
      </c>
      <c r="Y54" s="49">
        <v>0</v>
      </c>
    </row>
    <row r="55" spans="1:25" ht="14.4" customHeight="1" x14ac:dyDescent="0.3">
      <c r="A55" s="45">
        <v>46128</v>
      </c>
      <c r="B55" s="46" t="s">
        <v>18</v>
      </c>
      <c r="C55" s="46">
        <v>9</v>
      </c>
      <c r="D55" s="46" t="s">
        <v>106</v>
      </c>
      <c r="E55" s="47" t="str">
        <f t="shared" si="2"/>
        <v>SBM-WRD-G09-B1</v>
      </c>
      <c r="F55" s="46">
        <v>4317165.5</v>
      </c>
      <c r="G55" s="46">
        <v>528515.5</v>
      </c>
      <c r="H55" s="46">
        <v>1331.7</v>
      </c>
      <c r="I55" s="46" t="s">
        <v>107</v>
      </c>
      <c r="J55" s="46" t="s">
        <v>108</v>
      </c>
      <c r="K55" s="46">
        <v>0.01</v>
      </c>
      <c r="L55" s="46">
        <v>782</v>
      </c>
      <c r="M55" s="46">
        <v>791</v>
      </c>
      <c r="N55" s="46"/>
      <c r="O55" s="46"/>
      <c r="P55" s="47">
        <f t="shared" si="3"/>
        <v>10</v>
      </c>
      <c r="Q55" s="46">
        <v>0</v>
      </c>
      <c r="R55" s="46">
        <v>0</v>
      </c>
      <c r="S55" s="46" t="s">
        <v>125</v>
      </c>
      <c r="T55" s="46"/>
      <c r="U55" s="46"/>
      <c r="V55" s="46" t="s">
        <v>168</v>
      </c>
      <c r="W55" s="46">
        <v>0</v>
      </c>
      <c r="X55" s="46"/>
      <c r="Y55" s="46">
        <v>0</v>
      </c>
    </row>
    <row r="56" spans="1:25" ht="14.4" customHeight="1" x14ac:dyDescent="0.3">
      <c r="A56" s="48">
        <v>46128</v>
      </c>
      <c r="B56" s="49" t="s">
        <v>18</v>
      </c>
      <c r="C56" s="49">
        <v>8</v>
      </c>
      <c r="D56" s="49" t="s">
        <v>112</v>
      </c>
      <c r="E56" s="50" t="str">
        <f t="shared" si="2"/>
        <v>SBM-WRD-G08-B2</v>
      </c>
      <c r="F56" s="49">
        <v>4317200.5</v>
      </c>
      <c r="G56" s="49">
        <v>528512.62</v>
      </c>
      <c r="H56" s="49">
        <v>1317.6</v>
      </c>
      <c r="I56" s="49" t="s">
        <v>113</v>
      </c>
      <c r="J56" s="49" t="s">
        <v>108</v>
      </c>
      <c r="K56" s="49">
        <v>0.01</v>
      </c>
      <c r="L56" s="49">
        <v>792</v>
      </c>
      <c r="M56" s="49">
        <v>803</v>
      </c>
      <c r="N56" s="49"/>
      <c r="O56" s="49"/>
      <c r="P56" s="50">
        <f t="shared" si="3"/>
        <v>12</v>
      </c>
      <c r="Q56" s="49">
        <v>42.79</v>
      </c>
      <c r="R56" s="49">
        <v>33.880000000000003</v>
      </c>
      <c r="S56" s="49" t="s">
        <v>125</v>
      </c>
      <c r="T56" s="49"/>
      <c r="U56" s="49"/>
      <c r="V56" s="49" t="s">
        <v>168</v>
      </c>
      <c r="W56" s="49">
        <v>0</v>
      </c>
      <c r="X56" s="49"/>
      <c r="Y56" s="49">
        <v>0</v>
      </c>
    </row>
    <row r="57" spans="1:25" ht="14.4" customHeight="1" x14ac:dyDescent="0.3">
      <c r="A57" s="45">
        <v>46128</v>
      </c>
      <c r="B57" s="46" t="s">
        <v>18</v>
      </c>
      <c r="C57" s="46">
        <v>8</v>
      </c>
      <c r="D57" s="46" t="s">
        <v>106</v>
      </c>
      <c r="E57" s="47" t="str">
        <f t="shared" si="2"/>
        <v>SBM-WRD-G08-B1</v>
      </c>
      <c r="F57" s="46">
        <v>4317212.5</v>
      </c>
      <c r="G57" s="46">
        <v>528518.93999999994</v>
      </c>
      <c r="H57" s="46">
        <v>1320.2</v>
      </c>
      <c r="I57" s="46" t="s">
        <v>107</v>
      </c>
      <c r="J57" s="46" t="s">
        <v>108</v>
      </c>
      <c r="K57" s="46">
        <v>0.01</v>
      </c>
      <c r="L57" s="46">
        <v>804</v>
      </c>
      <c r="M57" s="46">
        <v>814</v>
      </c>
      <c r="N57" s="46"/>
      <c r="O57" s="46"/>
      <c r="P57" s="47">
        <f t="shared" si="3"/>
        <v>11</v>
      </c>
      <c r="Q57" s="46">
        <v>1.1299999999999999</v>
      </c>
      <c r="R57" s="46">
        <v>2.33</v>
      </c>
      <c r="S57" s="46" t="s">
        <v>125</v>
      </c>
      <c r="T57" s="46"/>
      <c r="U57" s="46"/>
      <c r="V57" s="46" t="s">
        <v>168</v>
      </c>
      <c r="W57" s="46">
        <v>0</v>
      </c>
      <c r="X57" s="46" t="s">
        <v>171</v>
      </c>
      <c r="Y57" s="46">
        <v>0</v>
      </c>
    </row>
    <row r="58" spans="1:25" ht="14.4" customHeight="1" x14ac:dyDescent="0.3">
      <c r="A58" s="48">
        <v>46128</v>
      </c>
      <c r="B58" s="49" t="s">
        <v>18</v>
      </c>
      <c r="C58" s="49">
        <v>7</v>
      </c>
      <c r="D58" s="49" t="s">
        <v>112</v>
      </c>
      <c r="E58" s="50" t="str">
        <f t="shared" si="2"/>
        <v>SBM-WRD-G07-B2</v>
      </c>
      <c r="F58" s="49">
        <v>4317232</v>
      </c>
      <c r="G58" s="49">
        <v>528517.12</v>
      </c>
      <c r="H58" s="49">
        <v>1337.6</v>
      </c>
      <c r="I58" s="49" t="s">
        <v>113</v>
      </c>
      <c r="J58" s="49" t="s">
        <v>108</v>
      </c>
      <c r="K58" s="49">
        <v>0.01</v>
      </c>
      <c r="L58" s="49">
        <v>815</v>
      </c>
      <c r="M58" s="49">
        <v>825</v>
      </c>
      <c r="N58" s="49"/>
      <c r="O58" s="49"/>
      <c r="P58" s="50">
        <f t="shared" si="3"/>
        <v>11</v>
      </c>
      <c r="Q58" s="49">
        <v>89.5</v>
      </c>
      <c r="R58" s="49">
        <v>75.099999999999994</v>
      </c>
      <c r="S58" s="49" t="s">
        <v>125</v>
      </c>
      <c r="T58" s="49"/>
      <c r="U58" s="49"/>
      <c r="V58" s="49" t="s">
        <v>168</v>
      </c>
      <c r="W58" s="49">
        <v>0</v>
      </c>
      <c r="X58" s="49"/>
      <c r="Y58" s="49">
        <v>200.6</v>
      </c>
    </row>
    <row r="59" spans="1:25" ht="14.4" customHeight="1" x14ac:dyDescent="0.3">
      <c r="A59" s="45">
        <v>46128</v>
      </c>
      <c r="B59" s="46" t="s">
        <v>18</v>
      </c>
      <c r="C59" s="46">
        <v>7</v>
      </c>
      <c r="D59" s="46" t="s">
        <v>106</v>
      </c>
      <c r="E59" s="47" t="str">
        <f t="shared" si="2"/>
        <v>SBM-WRD-G07-B1</v>
      </c>
      <c r="F59" s="46">
        <v>4317238.5</v>
      </c>
      <c r="G59" s="46">
        <v>528517.38</v>
      </c>
      <c r="H59" s="46">
        <v>1322.8</v>
      </c>
      <c r="I59" s="46" t="s">
        <v>107</v>
      </c>
      <c r="J59" s="46" t="s">
        <v>108</v>
      </c>
      <c r="K59" s="46">
        <v>0.01</v>
      </c>
      <c r="L59" s="46">
        <v>826</v>
      </c>
      <c r="M59" s="46">
        <v>838</v>
      </c>
      <c r="N59" s="46"/>
      <c r="O59" s="46"/>
      <c r="P59" s="47">
        <f t="shared" si="3"/>
        <v>13</v>
      </c>
      <c r="Q59" s="46">
        <v>5.96</v>
      </c>
      <c r="R59" s="46">
        <v>8.09</v>
      </c>
      <c r="S59" s="46" t="s">
        <v>125</v>
      </c>
      <c r="T59" s="46"/>
      <c r="U59" s="46"/>
      <c r="V59" s="46" t="s">
        <v>168</v>
      </c>
      <c r="W59" s="46">
        <v>0</v>
      </c>
      <c r="X59" s="46" t="s">
        <v>172</v>
      </c>
      <c r="Y59" s="46">
        <v>1.66</v>
      </c>
    </row>
    <row r="60" spans="1:25" ht="14.4" customHeight="1" x14ac:dyDescent="0.3">
      <c r="A60" s="48">
        <v>46128</v>
      </c>
      <c r="B60" s="49" t="s">
        <v>18</v>
      </c>
      <c r="C60" s="49">
        <v>6</v>
      </c>
      <c r="D60" s="49" t="s">
        <v>106</v>
      </c>
      <c r="E60" s="50" t="str">
        <f t="shared" si="2"/>
        <v>SBM-WRD-G06-B1</v>
      </c>
      <c r="F60" s="49">
        <v>4317272.5</v>
      </c>
      <c r="G60" s="49">
        <v>528519.43999999994</v>
      </c>
      <c r="H60" s="49">
        <v>1334.6</v>
      </c>
      <c r="I60" s="49" t="s">
        <v>107</v>
      </c>
      <c r="J60" s="49" t="s">
        <v>108</v>
      </c>
      <c r="K60" s="49">
        <v>0.01</v>
      </c>
      <c r="L60" s="49">
        <v>839</v>
      </c>
      <c r="M60" s="49">
        <v>850</v>
      </c>
      <c r="N60" s="49"/>
      <c r="O60" s="49"/>
      <c r="P60" s="50">
        <f t="shared" si="3"/>
        <v>12</v>
      </c>
      <c r="Q60" s="49">
        <v>90.31</v>
      </c>
      <c r="R60" s="49">
        <v>15.49</v>
      </c>
      <c r="S60" s="49" t="s">
        <v>125</v>
      </c>
      <c r="T60" s="49"/>
      <c r="U60" s="49"/>
      <c r="V60" s="49" t="s">
        <v>168</v>
      </c>
      <c r="W60" s="49">
        <v>0</v>
      </c>
      <c r="X60" s="49" t="s">
        <v>173</v>
      </c>
      <c r="Y60" s="49">
        <v>4.3600000000000003</v>
      </c>
    </row>
    <row r="61" spans="1:25" ht="14.4" customHeight="1" x14ac:dyDescent="0.3">
      <c r="A61" s="45">
        <v>46129</v>
      </c>
      <c r="B61" s="46" t="s">
        <v>18</v>
      </c>
      <c r="C61" s="46">
        <v>6</v>
      </c>
      <c r="D61" s="46" t="s">
        <v>112</v>
      </c>
      <c r="E61" s="47" t="str">
        <f t="shared" si="2"/>
        <v>SBM-WRD-G06-B2</v>
      </c>
      <c r="F61" s="46">
        <v>4317278</v>
      </c>
      <c r="G61" s="46">
        <v>528521.875</v>
      </c>
      <c r="H61" s="46">
        <v>1312.7</v>
      </c>
      <c r="I61" s="46" t="s">
        <v>107</v>
      </c>
      <c r="J61" s="46" t="s">
        <v>108</v>
      </c>
      <c r="K61" s="46">
        <v>0.01</v>
      </c>
      <c r="L61" s="46">
        <v>857</v>
      </c>
      <c r="M61" s="46">
        <v>866</v>
      </c>
      <c r="N61" s="46"/>
      <c r="O61" s="46"/>
      <c r="P61" s="47">
        <f t="shared" si="3"/>
        <v>10</v>
      </c>
      <c r="Q61" s="46">
        <v>1.69</v>
      </c>
      <c r="R61" s="46">
        <v>0.15</v>
      </c>
      <c r="S61" s="46" t="s">
        <v>125</v>
      </c>
      <c r="T61" s="46"/>
      <c r="U61" s="46"/>
      <c r="V61" s="46" t="s">
        <v>174</v>
      </c>
      <c r="W61" s="46">
        <v>0</v>
      </c>
      <c r="X61" s="46"/>
      <c r="Y61" s="46">
        <v>0</v>
      </c>
    </row>
    <row r="62" spans="1:25" ht="14.4" customHeight="1" x14ac:dyDescent="0.3">
      <c r="A62" s="48">
        <v>46129</v>
      </c>
      <c r="B62" s="49" t="s">
        <v>18</v>
      </c>
      <c r="C62" s="49">
        <v>5</v>
      </c>
      <c r="D62" s="49" t="s">
        <v>112</v>
      </c>
      <c r="E62" s="50" t="str">
        <f t="shared" si="2"/>
        <v>SBM-WRD-G05-B2</v>
      </c>
      <c r="F62" s="49">
        <v>4317307.5</v>
      </c>
      <c r="G62" s="49">
        <v>528512.375</v>
      </c>
      <c r="H62" s="49">
        <v>1297.2</v>
      </c>
      <c r="I62" s="49" t="s">
        <v>113</v>
      </c>
      <c r="J62" s="49" t="s">
        <v>108</v>
      </c>
      <c r="K62" s="49">
        <v>0.01</v>
      </c>
      <c r="L62" s="49">
        <v>867</v>
      </c>
      <c r="M62" s="49">
        <v>877</v>
      </c>
      <c r="N62" s="49"/>
      <c r="O62" s="49"/>
      <c r="P62" s="50">
        <f t="shared" si="3"/>
        <v>11</v>
      </c>
      <c r="Q62" s="49">
        <v>76.37</v>
      </c>
      <c r="R62" s="49">
        <v>114.15</v>
      </c>
      <c r="S62" s="49" t="s">
        <v>125</v>
      </c>
      <c r="T62" s="49"/>
      <c r="U62" s="49"/>
      <c r="V62" s="49" t="s">
        <v>174</v>
      </c>
      <c r="W62" s="49">
        <v>0</v>
      </c>
      <c r="X62" s="49"/>
      <c r="Y62" s="49">
        <v>194.84</v>
      </c>
    </row>
    <row r="63" spans="1:25" ht="14.4" customHeight="1" x14ac:dyDescent="0.3">
      <c r="A63" s="45">
        <v>46129</v>
      </c>
      <c r="B63" s="46" t="s">
        <v>18</v>
      </c>
      <c r="C63" s="46">
        <v>5</v>
      </c>
      <c r="D63" s="46" t="s">
        <v>106</v>
      </c>
      <c r="E63" s="47" t="str">
        <f t="shared" si="2"/>
        <v>SBM-WRD-G05-B1</v>
      </c>
      <c r="F63" s="46">
        <v>4317310</v>
      </c>
      <c r="G63" s="46">
        <v>528511.625</v>
      </c>
      <c r="H63" s="46">
        <v>1301.5</v>
      </c>
      <c r="I63" s="46" t="s">
        <v>107</v>
      </c>
      <c r="J63" s="46" t="s">
        <v>108</v>
      </c>
      <c r="K63" s="46">
        <v>0.01</v>
      </c>
      <c r="L63" s="46">
        <v>878</v>
      </c>
      <c r="M63" s="46">
        <v>888</v>
      </c>
      <c r="N63" s="46"/>
      <c r="O63" s="46"/>
      <c r="P63" s="47">
        <f t="shared" si="3"/>
        <v>11</v>
      </c>
      <c r="Q63" s="46">
        <v>5.09</v>
      </c>
      <c r="R63" s="46">
        <v>9.3000000000000007</v>
      </c>
      <c r="S63" s="46" t="s">
        <v>125</v>
      </c>
      <c r="T63" s="46"/>
      <c r="U63" s="46"/>
      <c r="V63" s="46" t="s">
        <v>174</v>
      </c>
      <c r="W63" s="46">
        <v>0</v>
      </c>
      <c r="X63" s="46" t="s">
        <v>175</v>
      </c>
      <c r="Y63" s="46">
        <v>1.1499999999999999</v>
      </c>
    </row>
    <row r="64" spans="1:25" ht="14.4" customHeight="1" x14ac:dyDescent="0.3">
      <c r="A64" s="48">
        <v>46129</v>
      </c>
      <c r="B64" s="49" t="s">
        <v>18</v>
      </c>
      <c r="C64" s="49">
        <v>4</v>
      </c>
      <c r="D64" s="49" t="s">
        <v>106</v>
      </c>
      <c r="E64" s="50" t="str">
        <f t="shared" si="2"/>
        <v>SBM-WRD-G04-B1</v>
      </c>
      <c r="F64" s="49">
        <v>4317331.5</v>
      </c>
      <c r="G64" s="49">
        <v>528482</v>
      </c>
      <c r="H64" s="49">
        <v>1340.9</v>
      </c>
      <c r="I64" s="49" t="s">
        <v>107</v>
      </c>
      <c r="J64" s="49" t="s">
        <v>108</v>
      </c>
      <c r="K64" s="49">
        <v>0.01</v>
      </c>
      <c r="L64" s="49">
        <v>889</v>
      </c>
      <c r="M64" s="49">
        <v>899</v>
      </c>
      <c r="N64" s="49"/>
      <c r="O64" s="49"/>
      <c r="P64" s="50">
        <f t="shared" si="3"/>
        <v>11</v>
      </c>
      <c r="Q64" s="49">
        <v>7.94</v>
      </c>
      <c r="R64" s="49">
        <v>0</v>
      </c>
      <c r="S64" s="49" t="s">
        <v>125</v>
      </c>
      <c r="T64" s="49"/>
      <c r="U64" s="49"/>
      <c r="V64" s="49" t="s">
        <v>174</v>
      </c>
      <c r="W64" s="49">
        <v>0</v>
      </c>
      <c r="X64" s="49"/>
      <c r="Y64" s="49">
        <v>0</v>
      </c>
    </row>
    <row r="65" spans="1:25" ht="14.4" customHeight="1" x14ac:dyDescent="0.3">
      <c r="A65" s="45">
        <v>46129</v>
      </c>
      <c r="B65" s="46" t="s">
        <v>18</v>
      </c>
      <c r="C65" s="46">
        <v>4</v>
      </c>
      <c r="D65" s="46" t="s">
        <v>112</v>
      </c>
      <c r="E65" s="47" t="str">
        <f t="shared" si="2"/>
        <v>SBM-WRD-G04-B2</v>
      </c>
      <c r="F65" s="46">
        <v>4317335</v>
      </c>
      <c r="G65" s="46">
        <v>528481</v>
      </c>
      <c r="H65" s="46">
        <v>1331</v>
      </c>
      <c r="I65" s="46" t="s">
        <v>113</v>
      </c>
      <c r="J65" s="46" t="s">
        <v>108</v>
      </c>
      <c r="K65" s="46">
        <v>0.01</v>
      </c>
      <c r="L65" s="46">
        <v>900</v>
      </c>
      <c r="M65" s="46">
        <v>911</v>
      </c>
      <c r="N65" s="46"/>
      <c r="O65" s="46"/>
      <c r="P65" s="47">
        <f t="shared" si="3"/>
        <v>12</v>
      </c>
      <c r="Q65" s="46">
        <v>0</v>
      </c>
      <c r="R65" s="46">
        <v>5.15</v>
      </c>
      <c r="S65" s="46" t="s">
        <v>125</v>
      </c>
      <c r="T65" s="46"/>
      <c r="U65" s="46"/>
      <c r="V65" s="46" t="s">
        <v>174</v>
      </c>
      <c r="W65" s="46">
        <v>0</v>
      </c>
      <c r="X65" s="46" t="s">
        <v>176</v>
      </c>
      <c r="Y65" s="46">
        <v>0</v>
      </c>
    </row>
    <row r="66" spans="1:25" ht="14.4" customHeight="1" x14ac:dyDescent="0.3">
      <c r="A66" s="48">
        <v>46129</v>
      </c>
      <c r="B66" s="49" t="s">
        <v>18</v>
      </c>
      <c r="C66" s="49">
        <v>3</v>
      </c>
      <c r="D66" s="49" t="s">
        <v>106</v>
      </c>
      <c r="E66" s="50" t="str">
        <f t="shared" si="2"/>
        <v>SBM-WRD-G03-B1</v>
      </c>
      <c r="F66" s="49">
        <v>4317363</v>
      </c>
      <c r="G66" s="49">
        <v>528471.5</v>
      </c>
      <c r="H66" s="49">
        <v>1323.5</v>
      </c>
      <c r="I66" s="49" t="s">
        <v>107</v>
      </c>
      <c r="J66" s="49" t="s">
        <v>108</v>
      </c>
      <c r="K66" s="49">
        <v>0.01</v>
      </c>
      <c r="L66" s="49">
        <v>912</v>
      </c>
      <c r="M66" s="49">
        <v>922</v>
      </c>
      <c r="N66" s="49"/>
      <c r="O66" s="49"/>
      <c r="P66" s="50">
        <f t="shared" si="3"/>
        <v>11</v>
      </c>
      <c r="Q66" s="49">
        <v>3.32</v>
      </c>
      <c r="R66" s="49">
        <v>0</v>
      </c>
      <c r="S66" s="49" t="s">
        <v>125</v>
      </c>
      <c r="T66" s="49"/>
      <c r="U66" s="49"/>
      <c r="V66" s="49" t="s">
        <v>174</v>
      </c>
      <c r="W66" s="49">
        <v>0</v>
      </c>
      <c r="X66" s="49"/>
      <c r="Y66" s="49">
        <v>0</v>
      </c>
    </row>
    <row r="67" spans="1:25" ht="14.4" customHeight="1" x14ac:dyDescent="0.3">
      <c r="A67" s="45">
        <v>46129</v>
      </c>
      <c r="B67" s="46" t="s">
        <v>18</v>
      </c>
      <c r="C67" s="46">
        <v>3</v>
      </c>
      <c r="D67" s="46" t="s">
        <v>112</v>
      </c>
      <c r="E67" s="47" t="str">
        <f t="shared" si="2"/>
        <v>SBM-WRD-G03-B2</v>
      </c>
      <c r="F67" s="46">
        <v>4317368</v>
      </c>
      <c r="G67" s="46">
        <v>528467.75</v>
      </c>
      <c r="H67" s="46">
        <v>1310.4000000000001</v>
      </c>
      <c r="I67" s="46" t="s">
        <v>107</v>
      </c>
      <c r="J67" s="46" t="s">
        <v>108</v>
      </c>
      <c r="K67" s="46">
        <v>0.01</v>
      </c>
      <c r="L67" s="46">
        <v>923</v>
      </c>
      <c r="M67" s="46">
        <v>932</v>
      </c>
      <c r="N67" s="46"/>
      <c r="O67" s="46"/>
      <c r="P67" s="47">
        <f t="shared" si="3"/>
        <v>10</v>
      </c>
      <c r="Q67" s="46">
        <v>23.33</v>
      </c>
      <c r="R67" s="46">
        <v>0</v>
      </c>
      <c r="S67" s="46" t="s">
        <v>125</v>
      </c>
      <c r="T67" s="46"/>
      <c r="U67" s="46"/>
      <c r="V67" s="46" t="s">
        <v>174</v>
      </c>
      <c r="W67" s="46">
        <v>0</v>
      </c>
      <c r="X67" s="46"/>
      <c r="Y67" s="46">
        <v>0</v>
      </c>
    </row>
    <row r="68" spans="1:25" ht="14.4" customHeight="1" x14ac:dyDescent="0.3">
      <c r="A68" s="48">
        <v>46129</v>
      </c>
      <c r="B68" s="49" t="s">
        <v>18</v>
      </c>
      <c r="C68" s="49">
        <v>2</v>
      </c>
      <c r="D68" s="49" t="s">
        <v>112</v>
      </c>
      <c r="E68" s="50" t="str">
        <f t="shared" si="2"/>
        <v>SBM-WRD-G02-B2</v>
      </c>
      <c r="F68" s="49">
        <v>4317402</v>
      </c>
      <c r="G68" s="49">
        <v>528469.5</v>
      </c>
      <c r="H68" s="49">
        <v>1305.0999999999999</v>
      </c>
      <c r="I68" s="49" t="s">
        <v>107</v>
      </c>
      <c r="J68" s="49" t="s">
        <v>108</v>
      </c>
      <c r="K68" s="49">
        <v>0.01</v>
      </c>
      <c r="L68" s="49">
        <v>933</v>
      </c>
      <c r="M68" s="49">
        <v>944</v>
      </c>
      <c r="N68" s="49"/>
      <c r="O68" s="49"/>
      <c r="P68" s="50">
        <f t="shared" si="3"/>
        <v>12</v>
      </c>
      <c r="Q68" s="49">
        <v>3.79</v>
      </c>
      <c r="R68" s="49">
        <v>0.71</v>
      </c>
      <c r="S68" s="49" t="s">
        <v>125</v>
      </c>
      <c r="T68" s="49"/>
      <c r="U68" s="49"/>
      <c r="V68" s="49" t="s">
        <v>174</v>
      </c>
      <c r="W68" s="49">
        <v>0</v>
      </c>
      <c r="X68" s="49" t="s">
        <v>177</v>
      </c>
      <c r="Y68" s="49">
        <v>0</v>
      </c>
    </row>
    <row r="69" spans="1:25" ht="14.4" customHeight="1" x14ac:dyDescent="0.3">
      <c r="A69" s="45">
        <v>46129</v>
      </c>
      <c r="B69" s="46" t="s">
        <v>18</v>
      </c>
      <c r="C69" s="46">
        <v>2</v>
      </c>
      <c r="D69" s="46" t="s">
        <v>106</v>
      </c>
      <c r="E69" s="47" t="str">
        <f t="shared" ref="E69:E100" si="4">IF(B69="","","SBM-"&amp;B69&amp;"-G"&amp;TEXT(C69,"00")&amp;"-"&amp;D69)</f>
        <v>SBM-WRD-G02-B1</v>
      </c>
      <c r="F69" s="46">
        <v>4317419.5</v>
      </c>
      <c r="G69" s="46">
        <v>528469.25</v>
      </c>
      <c r="H69" s="46">
        <v>1330.7</v>
      </c>
      <c r="I69" s="46" t="s">
        <v>107</v>
      </c>
      <c r="J69" s="46" t="s">
        <v>108</v>
      </c>
      <c r="K69" s="46">
        <v>0.01</v>
      </c>
      <c r="L69" s="46">
        <v>945</v>
      </c>
      <c r="M69" s="46">
        <v>955</v>
      </c>
      <c r="N69" s="46"/>
      <c r="O69" s="46"/>
      <c r="P69" s="47">
        <f t="shared" ref="P69:P100" si="5">IF(L69="","",(M69-L69+1)+IF(N69="",0,O69-N69+1))</f>
        <v>11</v>
      </c>
      <c r="Q69" s="46">
        <v>0.79</v>
      </c>
      <c r="R69" s="46">
        <v>0</v>
      </c>
      <c r="S69" s="46" t="s">
        <v>125</v>
      </c>
      <c r="T69" s="46"/>
      <c r="U69" s="46"/>
      <c r="V69" s="46" t="s">
        <v>174</v>
      </c>
      <c r="W69" s="46">
        <v>0</v>
      </c>
      <c r="X69" s="46" t="s">
        <v>178</v>
      </c>
      <c r="Y69" s="46">
        <v>0</v>
      </c>
    </row>
    <row r="70" spans="1:25" ht="14.4" customHeight="1" x14ac:dyDescent="0.3">
      <c r="A70" s="48">
        <v>46130</v>
      </c>
      <c r="B70" s="49" t="s">
        <v>18</v>
      </c>
      <c r="C70" s="49">
        <v>1</v>
      </c>
      <c r="D70" s="49" t="s">
        <v>106</v>
      </c>
      <c r="E70" s="50" t="str">
        <f t="shared" si="4"/>
        <v>SBM-WRD-G01-B1</v>
      </c>
      <c r="F70" s="49">
        <v>4317421.5</v>
      </c>
      <c r="G70" s="49">
        <v>528475.3125</v>
      </c>
      <c r="H70" s="49">
        <v>1240.2</v>
      </c>
      <c r="I70" s="49" t="s">
        <v>107</v>
      </c>
      <c r="J70" s="49" t="s">
        <v>108</v>
      </c>
      <c r="K70" s="49">
        <v>3</v>
      </c>
      <c r="L70" s="49">
        <v>958</v>
      </c>
      <c r="M70" s="49">
        <v>967</v>
      </c>
      <c r="N70" s="49"/>
      <c r="O70" s="49"/>
      <c r="P70" s="50">
        <f t="shared" si="5"/>
        <v>10</v>
      </c>
      <c r="Q70" s="49">
        <v>13.8</v>
      </c>
      <c r="R70" s="49">
        <v>0</v>
      </c>
      <c r="S70" s="49" t="s">
        <v>125</v>
      </c>
      <c r="T70" s="49"/>
      <c r="U70" s="49"/>
      <c r="V70" s="49" t="s">
        <v>179</v>
      </c>
      <c r="W70" s="49">
        <v>0</v>
      </c>
      <c r="X70" s="49"/>
      <c r="Y70" s="49">
        <v>0</v>
      </c>
    </row>
    <row r="71" spans="1:25" ht="14.4" customHeight="1" x14ac:dyDescent="0.3">
      <c r="A71" s="45">
        <v>46130</v>
      </c>
      <c r="B71" s="46" t="s">
        <v>18</v>
      </c>
      <c r="C71" s="46">
        <v>1</v>
      </c>
      <c r="D71" s="46" t="s">
        <v>112</v>
      </c>
      <c r="E71" s="47" t="str">
        <f t="shared" si="4"/>
        <v>SBM-WRD-G01-B2</v>
      </c>
      <c r="F71" s="46">
        <v>4317421</v>
      </c>
      <c r="G71" s="46">
        <v>528472.125</v>
      </c>
      <c r="H71" s="46">
        <v>1234.3</v>
      </c>
      <c r="I71" s="46" t="s">
        <v>107</v>
      </c>
      <c r="J71" s="46" t="s">
        <v>108</v>
      </c>
      <c r="K71" s="46">
        <v>2.5</v>
      </c>
      <c r="L71" s="46">
        <v>968</v>
      </c>
      <c r="M71" s="46">
        <v>978</v>
      </c>
      <c r="N71" s="46"/>
      <c r="O71" s="46"/>
      <c r="P71" s="47">
        <f t="shared" si="5"/>
        <v>11</v>
      </c>
      <c r="Q71" s="46">
        <v>34.270000000000003</v>
      </c>
      <c r="R71" s="46">
        <v>89.47</v>
      </c>
      <c r="S71" s="46" t="s">
        <v>125</v>
      </c>
      <c r="T71" s="46"/>
      <c r="U71" s="46"/>
      <c r="V71" s="46" t="s">
        <v>179</v>
      </c>
      <c r="W71" s="46">
        <v>0</v>
      </c>
      <c r="X71" s="46"/>
      <c r="Y71" s="46">
        <v>20.3</v>
      </c>
    </row>
    <row r="72" spans="1:25" ht="14.4" customHeight="1" x14ac:dyDescent="0.3">
      <c r="A72" s="48">
        <v>46130</v>
      </c>
      <c r="B72" s="49" t="s">
        <v>20</v>
      </c>
      <c r="C72" s="49">
        <v>1</v>
      </c>
      <c r="D72" s="49" t="s">
        <v>112</v>
      </c>
      <c r="E72" s="50" t="str">
        <f t="shared" si="4"/>
        <v>SBM-DRA-G01-B2</v>
      </c>
      <c r="F72" s="49">
        <v>4317379</v>
      </c>
      <c r="G72" s="49">
        <v>528840.3125</v>
      </c>
      <c r="H72" s="49">
        <v>1376</v>
      </c>
      <c r="I72" s="49" t="s">
        <v>113</v>
      </c>
      <c r="J72" s="49" t="s">
        <v>108</v>
      </c>
      <c r="K72" s="49">
        <v>2</v>
      </c>
      <c r="L72" s="49">
        <v>979</v>
      </c>
      <c r="M72" s="49">
        <v>989</v>
      </c>
      <c r="N72" s="49"/>
      <c r="O72" s="49"/>
      <c r="P72" s="50">
        <f t="shared" si="5"/>
        <v>11</v>
      </c>
      <c r="Q72" s="49">
        <v>47.17</v>
      </c>
      <c r="R72" s="49">
        <v>0</v>
      </c>
      <c r="S72" s="49" t="s">
        <v>125</v>
      </c>
      <c r="T72" s="49"/>
      <c r="U72" s="49"/>
      <c r="V72" s="49" t="s">
        <v>179</v>
      </c>
      <c r="W72" s="49">
        <v>0</v>
      </c>
      <c r="X72" s="49" t="s">
        <v>180</v>
      </c>
      <c r="Y72" s="49">
        <v>0</v>
      </c>
    </row>
    <row r="73" spans="1:25" ht="14.4" customHeight="1" x14ac:dyDescent="0.3">
      <c r="A73" s="45">
        <v>46130</v>
      </c>
      <c r="B73" s="46" t="s">
        <v>20</v>
      </c>
      <c r="C73" s="46">
        <v>1</v>
      </c>
      <c r="D73" s="46" t="s">
        <v>106</v>
      </c>
      <c r="E73" s="47" t="str">
        <f t="shared" si="4"/>
        <v>SBM-DRA-G01-B1</v>
      </c>
      <c r="F73" s="46">
        <v>4317373</v>
      </c>
      <c r="G73" s="46">
        <v>528873.375</v>
      </c>
      <c r="H73" s="46">
        <v>1360.9</v>
      </c>
      <c r="I73" s="46" t="s">
        <v>107</v>
      </c>
      <c r="J73" s="46" t="s">
        <v>108</v>
      </c>
      <c r="K73" s="46">
        <v>2</v>
      </c>
      <c r="L73" s="46">
        <v>990</v>
      </c>
      <c r="M73" s="46">
        <v>1000</v>
      </c>
      <c r="N73" s="46"/>
      <c r="O73" s="46"/>
      <c r="P73" s="47">
        <f t="shared" si="5"/>
        <v>11</v>
      </c>
      <c r="Q73" s="46">
        <v>111.04</v>
      </c>
      <c r="R73" s="46">
        <v>0.14000000000000001</v>
      </c>
      <c r="S73" s="46" t="s">
        <v>125</v>
      </c>
      <c r="T73" s="46"/>
      <c r="U73" s="46"/>
      <c r="V73" s="46" t="s">
        <v>179</v>
      </c>
      <c r="W73" s="46">
        <v>0</v>
      </c>
      <c r="X73" s="46" t="s">
        <v>181</v>
      </c>
      <c r="Y73" s="46">
        <v>0</v>
      </c>
    </row>
    <row r="74" spans="1:25" ht="14.4" customHeight="1" x14ac:dyDescent="0.3">
      <c r="A74" s="48">
        <v>46130</v>
      </c>
      <c r="B74" s="49" t="s">
        <v>20</v>
      </c>
      <c r="C74" s="49">
        <v>2</v>
      </c>
      <c r="D74" s="49" t="s">
        <v>112</v>
      </c>
      <c r="E74" s="50" t="str">
        <f t="shared" si="4"/>
        <v>SBM-DRA-G02-B2</v>
      </c>
      <c r="F74" s="49">
        <v>4317368.5</v>
      </c>
      <c r="G74" s="49">
        <v>528890.4375</v>
      </c>
      <c r="H74" s="49">
        <v>1402.9</v>
      </c>
      <c r="I74" s="49" t="s">
        <v>113</v>
      </c>
      <c r="J74" s="49" t="s">
        <v>108</v>
      </c>
      <c r="K74" s="49">
        <v>2</v>
      </c>
      <c r="L74" s="49">
        <v>1001</v>
      </c>
      <c r="M74" s="49">
        <v>1010</v>
      </c>
      <c r="N74" s="49"/>
      <c r="O74" s="49"/>
      <c r="P74" s="50">
        <f t="shared" si="5"/>
        <v>10</v>
      </c>
      <c r="Q74" s="49">
        <v>0</v>
      </c>
      <c r="R74" s="49">
        <v>0</v>
      </c>
      <c r="S74" s="49" t="s">
        <v>125</v>
      </c>
      <c r="T74" s="49"/>
      <c r="U74" s="49"/>
      <c r="V74" s="49" t="s">
        <v>179</v>
      </c>
      <c r="W74" s="49">
        <v>0</v>
      </c>
      <c r="X74" s="49"/>
      <c r="Y74" s="49">
        <v>0</v>
      </c>
    </row>
    <row r="75" spans="1:25" ht="14.4" customHeight="1" x14ac:dyDescent="0.3">
      <c r="A75" s="45">
        <v>46130</v>
      </c>
      <c r="B75" s="46" t="s">
        <v>20</v>
      </c>
      <c r="C75" s="46">
        <v>2</v>
      </c>
      <c r="D75" s="46" t="s">
        <v>106</v>
      </c>
      <c r="E75" s="47" t="str">
        <f t="shared" si="4"/>
        <v>SBM-DRA-G02-B1</v>
      </c>
      <c r="F75" s="46">
        <v>4317380</v>
      </c>
      <c r="G75" s="46">
        <v>528889.9375</v>
      </c>
      <c r="H75" s="46">
        <v>1384.8</v>
      </c>
      <c r="I75" s="46" t="s">
        <v>107</v>
      </c>
      <c r="J75" s="46" t="s">
        <v>108</v>
      </c>
      <c r="K75" s="46">
        <v>2</v>
      </c>
      <c r="L75" s="46">
        <v>1011</v>
      </c>
      <c r="M75" s="46">
        <v>1020</v>
      </c>
      <c r="N75" s="46"/>
      <c r="O75" s="46"/>
      <c r="P75" s="47">
        <f t="shared" si="5"/>
        <v>10</v>
      </c>
      <c r="Q75" s="46">
        <v>5.78</v>
      </c>
      <c r="R75" s="46">
        <v>0</v>
      </c>
      <c r="S75" s="46" t="s">
        <v>125</v>
      </c>
      <c r="T75" s="46"/>
      <c r="U75" s="46"/>
      <c r="V75" s="46" t="s">
        <v>179</v>
      </c>
      <c r="W75" s="46">
        <v>0</v>
      </c>
      <c r="X75" s="46"/>
      <c r="Y75" s="46">
        <v>0</v>
      </c>
    </row>
    <row r="76" spans="1:25" ht="14.4" customHeight="1" x14ac:dyDescent="0.3">
      <c r="A76" s="48">
        <v>46130</v>
      </c>
      <c r="B76" s="49" t="s">
        <v>20</v>
      </c>
      <c r="C76" s="49">
        <v>5</v>
      </c>
      <c r="D76" s="49" t="s">
        <v>106</v>
      </c>
      <c r="E76" s="50" t="str">
        <f t="shared" si="4"/>
        <v>SBM-DRA-G05-B1</v>
      </c>
      <c r="F76" s="49">
        <v>4317344</v>
      </c>
      <c r="G76" s="49">
        <v>528836.375</v>
      </c>
      <c r="H76" s="49">
        <v>1345.8</v>
      </c>
      <c r="I76" s="49" t="s">
        <v>107</v>
      </c>
      <c r="J76" s="49" t="s">
        <v>108</v>
      </c>
      <c r="K76" s="49">
        <v>2.5</v>
      </c>
      <c r="L76" s="49">
        <v>1021</v>
      </c>
      <c r="M76" s="49">
        <v>1032</v>
      </c>
      <c r="N76" s="49"/>
      <c r="O76" s="49"/>
      <c r="P76" s="50">
        <f t="shared" si="5"/>
        <v>12</v>
      </c>
      <c r="Q76" s="49">
        <v>32.340000000000003</v>
      </c>
      <c r="R76" s="49">
        <v>0</v>
      </c>
      <c r="S76" s="49" t="s">
        <v>125</v>
      </c>
      <c r="T76" s="49"/>
      <c r="U76" s="49"/>
      <c r="V76" s="49" t="s">
        <v>179</v>
      </c>
      <c r="W76" s="49">
        <v>0</v>
      </c>
      <c r="X76" s="49" t="s">
        <v>182</v>
      </c>
      <c r="Y76" s="49">
        <v>0</v>
      </c>
    </row>
    <row r="77" spans="1:25" ht="14.4" customHeight="1" x14ac:dyDescent="0.3">
      <c r="A77" s="45">
        <v>46131</v>
      </c>
      <c r="B77" s="46" t="s">
        <v>20</v>
      </c>
      <c r="C77" s="46">
        <v>5</v>
      </c>
      <c r="D77" s="46" t="s">
        <v>112</v>
      </c>
      <c r="E77" s="47" t="str">
        <f t="shared" si="4"/>
        <v>SBM-DRA-G05-B2</v>
      </c>
      <c r="F77" s="46">
        <v>4317334.3635999998</v>
      </c>
      <c r="G77" s="46">
        <v>528838.48860000004</v>
      </c>
      <c r="H77" s="46">
        <v>1331.2</v>
      </c>
      <c r="I77" s="46" t="s">
        <v>113</v>
      </c>
      <c r="J77" s="46" t="s">
        <v>108</v>
      </c>
      <c r="K77" s="46">
        <v>0.01</v>
      </c>
      <c r="L77" s="46">
        <v>1039</v>
      </c>
      <c r="M77" s="46">
        <v>1049</v>
      </c>
      <c r="N77" s="46"/>
      <c r="O77" s="46"/>
      <c r="P77" s="47">
        <f t="shared" si="5"/>
        <v>11</v>
      </c>
      <c r="Q77" s="46">
        <v>112.42</v>
      </c>
      <c r="R77" s="46">
        <v>0.33</v>
      </c>
      <c r="S77" s="46" t="s">
        <v>125</v>
      </c>
      <c r="T77" s="46"/>
      <c r="U77" s="46"/>
      <c r="V77" s="46" t="s">
        <v>183</v>
      </c>
      <c r="W77" s="46">
        <v>0</v>
      </c>
      <c r="X77" s="46" t="s">
        <v>184</v>
      </c>
      <c r="Y77" s="46">
        <v>0</v>
      </c>
    </row>
    <row r="78" spans="1:25" ht="14.4" customHeight="1" x14ac:dyDescent="0.3">
      <c r="A78" s="48">
        <v>46131</v>
      </c>
      <c r="B78" s="49" t="s">
        <v>20</v>
      </c>
      <c r="C78" s="49">
        <v>10</v>
      </c>
      <c r="D78" s="49" t="s">
        <v>106</v>
      </c>
      <c r="E78" s="50" t="str">
        <f t="shared" si="4"/>
        <v>SBM-DRA-G10-B1</v>
      </c>
      <c r="F78" s="49">
        <v>4317284.5833000001</v>
      </c>
      <c r="G78" s="49">
        <v>528836.35939999996</v>
      </c>
      <c r="H78" s="49">
        <v>1343</v>
      </c>
      <c r="I78" s="49" t="s">
        <v>107</v>
      </c>
      <c r="J78" s="49" t="s">
        <v>108</v>
      </c>
      <c r="K78" s="49">
        <v>0.01</v>
      </c>
      <c r="L78" s="49">
        <v>1051</v>
      </c>
      <c r="M78" s="49">
        <v>1063</v>
      </c>
      <c r="N78" s="49"/>
      <c r="O78" s="49"/>
      <c r="P78" s="50">
        <f t="shared" si="5"/>
        <v>13</v>
      </c>
      <c r="Q78" s="49">
        <v>118.61</v>
      </c>
      <c r="R78" s="49">
        <v>7.0000000000000007E-2</v>
      </c>
      <c r="S78" s="49" t="s">
        <v>125</v>
      </c>
      <c r="T78" s="49"/>
      <c r="U78" s="49"/>
      <c r="V78" s="49" t="s">
        <v>183</v>
      </c>
      <c r="W78" s="49">
        <v>0</v>
      </c>
      <c r="X78" s="49" t="s">
        <v>185</v>
      </c>
      <c r="Y78" s="49">
        <v>0</v>
      </c>
    </row>
    <row r="79" spans="1:25" ht="14.4" customHeight="1" x14ac:dyDescent="0.3">
      <c r="A79" s="45">
        <v>46131</v>
      </c>
      <c r="B79" s="46" t="s">
        <v>20</v>
      </c>
      <c r="C79" s="46">
        <v>10</v>
      </c>
      <c r="D79" s="46" t="s">
        <v>112</v>
      </c>
      <c r="E79" s="47" t="str">
        <f t="shared" si="4"/>
        <v>SBM-DRA-G10-B2</v>
      </c>
      <c r="F79" s="46">
        <v>4317281.3635999998</v>
      </c>
      <c r="G79" s="46">
        <v>528832.64769999997</v>
      </c>
      <c r="H79" s="46">
        <v>1353.5</v>
      </c>
      <c r="I79" s="46" t="s">
        <v>113</v>
      </c>
      <c r="J79" s="46" t="s">
        <v>108</v>
      </c>
      <c r="K79" s="46">
        <v>0.01</v>
      </c>
      <c r="L79" s="46">
        <v>1064</v>
      </c>
      <c r="M79" s="46">
        <v>1074</v>
      </c>
      <c r="N79" s="46"/>
      <c r="O79" s="46"/>
      <c r="P79" s="47">
        <f t="shared" si="5"/>
        <v>11</v>
      </c>
      <c r="Q79" s="46">
        <v>16.87</v>
      </c>
      <c r="R79" s="46">
        <v>5.72</v>
      </c>
      <c r="S79" s="46" t="s">
        <v>125</v>
      </c>
      <c r="T79" s="46"/>
      <c r="U79" s="46"/>
      <c r="V79" s="46" t="s">
        <v>183</v>
      </c>
      <c r="W79" s="46">
        <v>0</v>
      </c>
      <c r="X79" s="46" t="s">
        <v>186</v>
      </c>
      <c r="Y79" s="46">
        <v>0</v>
      </c>
    </row>
    <row r="80" spans="1:25" ht="14.4" customHeight="1" x14ac:dyDescent="0.3">
      <c r="A80" s="48">
        <v>46131</v>
      </c>
      <c r="B80" s="49" t="s">
        <v>15</v>
      </c>
      <c r="C80" s="49">
        <v>10</v>
      </c>
      <c r="D80" s="49" t="s">
        <v>106</v>
      </c>
      <c r="E80" s="50" t="str">
        <f t="shared" si="4"/>
        <v>SBM-NWRP-G10-B1</v>
      </c>
      <c r="F80" s="49">
        <v>4317520.6111000003</v>
      </c>
      <c r="G80" s="49">
        <v>529076.0625</v>
      </c>
      <c r="H80" s="49">
        <v>1409.3</v>
      </c>
      <c r="I80" s="49" t="s">
        <v>107</v>
      </c>
      <c r="J80" s="49" t="s">
        <v>108</v>
      </c>
      <c r="K80" s="49">
        <v>0.01</v>
      </c>
      <c r="L80" s="49">
        <v>1075</v>
      </c>
      <c r="M80" s="49">
        <v>1084</v>
      </c>
      <c r="N80" s="49"/>
      <c r="O80" s="49"/>
      <c r="P80" s="50">
        <f t="shared" si="5"/>
        <v>10</v>
      </c>
      <c r="Q80" s="49">
        <v>3.58</v>
      </c>
      <c r="R80" s="49">
        <v>0.44</v>
      </c>
      <c r="S80" s="49" t="s">
        <v>125</v>
      </c>
      <c r="T80" s="49"/>
      <c r="U80" s="49"/>
      <c r="V80" s="49" t="s">
        <v>183</v>
      </c>
      <c r="W80" s="49">
        <v>0</v>
      </c>
      <c r="X80" s="49"/>
      <c r="Y80" s="49">
        <v>0</v>
      </c>
    </row>
    <row r="81" spans="1:25" ht="14.4" customHeight="1" x14ac:dyDescent="0.3">
      <c r="A81" s="45">
        <v>46131</v>
      </c>
      <c r="B81" s="46" t="s">
        <v>15</v>
      </c>
      <c r="C81" s="46">
        <v>10</v>
      </c>
      <c r="D81" s="46" t="s">
        <v>112</v>
      </c>
      <c r="E81" s="47" t="str">
        <f t="shared" si="4"/>
        <v>SBM-NWRP-G10-B2</v>
      </c>
      <c r="F81" s="46">
        <v>4317529.3499999996</v>
      </c>
      <c r="G81" s="46">
        <v>529078.89379999996</v>
      </c>
      <c r="H81" s="46">
        <v>1323.2</v>
      </c>
      <c r="I81" s="46" t="s">
        <v>113</v>
      </c>
      <c r="J81" s="46" t="s">
        <v>108</v>
      </c>
      <c r="K81" s="46">
        <v>0.01</v>
      </c>
      <c r="L81" s="46">
        <v>1085</v>
      </c>
      <c r="M81" s="46">
        <v>1094</v>
      </c>
      <c r="N81" s="46"/>
      <c r="O81" s="46"/>
      <c r="P81" s="47">
        <f t="shared" si="5"/>
        <v>10</v>
      </c>
      <c r="Q81" s="46">
        <v>6.7</v>
      </c>
      <c r="R81" s="46">
        <v>1.7</v>
      </c>
      <c r="S81" s="46" t="s">
        <v>125</v>
      </c>
      <c r="T81" s="46"/>
      <c r="U81" s="46"/>
      <c r="V81" s="46" t="s">
        <v>183</v>
      </c>
      <c r="W81" s="46">
        <v>0</v>
      </c>
      <c r="X81" s="46"/>
      <c r="Y81" s="46">
        <v>0</v>
      </c>
    </row>
    <row r="82" spans="1:25" ht="14.4" customHeight="1" x14ac:dyDescent="0.3">
      <c r="A82" s="48">
        <v>46131</v>
      </c>
      <c r="B82" s="49" t="s">
        <v>15</v>
      </c>
      <c r="C82" s="49">
        <v>14</v>
      </c>
      <c r="D82" s="49" t="s">
        <v>112</v>
      </c>
      <c r="E82" s="50" t="str">
        <f t="shared" si="4"/>
        <v>SBM-NWRP-G14-B2</v>
      </c>
      <c r="F82" s="49">
        <v>4317453.6500000004</v>
      </c>
      <c r="G82" s="49">
        <v>529327.25</v>
      </c>
      <c r="H82" s="49">
        <v>1386.5</v>
      </c>
      <c r="I82" s="49" t="s">
        <v>113</v>
      </c>
      <c r="J82" s="49" t="s">
        <v>108</v>
      </c>
      <c r="K82" s="49">
        <v>0.01</v>
      </c>
      <c r="L82" s="49">
        <v>1095</v>
      </c>
      <c r="M82" s="49">
        <v>1104</v>
      </c>
      <c r="N82" s="49"/>
      <c r="O82" s="49"/>
      <c r="P82" s="50">
        <f t="shared" si="5"/>
        <v>10</v>
      </c>
      <c r="Q82" s="49">
        <v>24.98</v>
      </c>
      <c r="R82" s="49">
        <v>2.5</v>
      </c>
      <c r="S82" s="49" t="s">
        <v>125</v>
      </c>
      <c r="T82" s="49"/>
      <c r="U82" s="49"/>
      <c r="V82" s="49" t="s">
        <v>183</v>
      </c>
      <c r="W82" s="49">
        <v>0</v>
      </c>
      <c r="X82" s="49"/>
      <c r="Y82" s="49">
        <v>0</v>
      </c>
    </row>
    <row r="83" spans="1:25" ht="14.4" customHeight="1" x14ac:dyDescent="0.3">
      <c r="A83" s="53">
        <v>46139</v>
      </c>
      <c r="B83" s="46" t="s">
        <v>15</v>
      </c>
      <c r="C83" s="46">
        <v>14</v>
      </c>
      <c r="D83" s="46" t="s">
        <v>106</v>
      </c>
      <c r="E83" s="47" t="str">
        <f t="shared" si="4"/>
        <v>SBM-NWRP-G14-B1</v>
      </c>
      <c r="F83" s="46">
        <v>4317461.8</v>
      </c>
      <c r="G83" s="46">
        <v>529320.9</v>
      </c>
      <c r="H83" s="46">
        <v>1393</v>
      </c>
      <c r="I83" s="46" t="s">
        <v>107</v>
      </c>
      <c r="J83" s="46" t="s">
        <v>108</v>
      </c>
      <c r="K83" s="46">
        <v>0.01</v>
      </c>
      <c r="L83" s="46">
        <v>1115</v>
      </c>
      <c r="M83" s="46">
        <v>1124</v>
      </c>
      <c r="N83" s="46"/>
      <c r="O83" s="46"/>
      <c r="P83" s="47">
        <f t="shared" si="5"/>
        <v>10</v>
      </c>
      <c r="Q83" s="46">
        <v>0.89</v>
      </c>
      <c r="R83" s="46">
        <v>0</v>
      </c>
      <c r="S83" s="46" t="s">
        <v>125</v>
      </c>
      <c r="T83" s="46"/>
      <c r="U83" s="46"/>
      <c r="V83" s="46" t="s">
        <v>187</v>
      </c>
      <c r="W83" s="46">
        <v>0</v>
      </c>
      <c r="X83" s="46"/>
      <c r="Y83" s="46">
        <v>0</v>
      </c>
    </row>
    <row r="84" spans="1:25" ht="14.4" customHeight="1" x14ac:dyDescent="0.3">
      <c r="A84" s="54">
        <v>46139</v>
      </c>
      <c r="B84" s="49" t="s">
        <v>15</v>
      </c>
      <c r="C84" s="49">
        <v>12</v>
      </c>
      <c r="D84" s="49" t="s">
        <v>106</v>
      </c>
      <c r="E84" s="50" t="str">
        <f t="shared" si="4"/>
        <v>SBM-NWRP-G12-B1</v>
      </c>
      <c r="F84" s="49">
        <v>4317508.4000000004</v>
      </c>
      <c r="G84" s="49">
        <v>529347.30000000005</v>
      </c>
      <c r="H84" s="49">
        <v>1423.7</v>
      </c>
      <c r="I84" s="49" t="s">
        <v>107</v>
      </c>
      <c r="J84" s="49" t="s">
        <v>108</v>
      </c>
      <c r="K84" s="49">
        <v>0.01</v>
      </c>
      <c r="L84" s="49">
        <v>1125</v>
      </c>
      <c r="M84" s="49">
        <v>1135</v>
      </c>
      <c r="N84" s="49"/>
      <c r="O84" s="49"/>
      <c r="P84" s="50">
        <f t="shared" si="5"/>
        <v>11</v>
      </c>
      <c r="Q84" s="49">
        <v>4.54</v>
      </c>
      <c r="R84" s="49">
        <v>2.84</v>
      </c>
      <c r="S84" s="49" t="s">
        <v>125</v>
      </c>
      <c r="T84" s="49"/>
      <c r="U84" s="49"/>
      <c r="V84" s="49" t="s">
        <v>187</v>
      </c>
      <c r="W84" s="49">
        <v>0</v>
      </c>
      <c r="X84" s="49" t="s">
        <v>188</v>
      </c>
      <c r="Y84" s="49">
        <v>0</v>
      </c>
    </row>
    <row r="85" spans="1:25" ht="14.4" customHeight="1" x14ac:dyDescent="0.3">
      <c r="A85" s="53">
        <v>46139</v>
      </c>
      <c r="B85" s="46" t="s">
        <v>15</v>
      </c>
      <c r="C85" s="46">
        <v>12</v>
      </c>
      <c r="D85" s="46" t="s">
        <v>112</v>
      </c>
      <c r="E85" s="47" t="str">
        <f t="shared" si="4"/>
        <v>SBM-NWRP-G12-B2</v>
      </c>
      <c r="F85" s="46">
        <v>4317500.3</v>
      </c>
      <c r="G85" s="46">
        <v>529349.5</v>
      </c>
      <c r="H85" s="46">
        <v>1426.6</v>
      </c>
      <c r="I85" s="46" t="s">
        <v>113</v>
      </c>
      <c r="J85" s="46" t="s">
        <v>108</v>
      </c>
      <c r="K85" s="46">
        <v>0.01</v>
      </c>
      <c r="L85" s="46">
        <v>1136</v>
      </c>
      <c r="M85" s="46">
        <v>1145</v>
      </c>
      <c r="N85" s="46"/>
      <c r="O85" s="46"/>
      <c r="P85" s="47">
        <f t="shared" si="5"/>
        <v>10</v>
      </c>
      <c r="Q85" s="46">
        <v>10.4</v>
      </c>
      <c r="R85" s="46">
        <v>45.23</v>
      </c>
      <c r="S85" s="46" t="s">
        <v>125</v>
      </c>
      <c r="T85" s="46"/>
      <c r="U85" s="46"/>
      <c r="V85" s="46" t="s">
        <v>187</v>
      </c>
      <c r="W85" s="46">
        <v>0</v>
      </c>
      <c r="X85" s="46"/>
      <c r="Y85" s="46">
        <v>88.43</v>
      </c>
    </row>
    <row r="86" spans="1:25" ht="14.4" customHeight="1" x14ac:dyDescent="0.3">
      <c r="A86" s="54">
        <v>46139</v>
      </c>
      <c r="B86" s="49" t="s">
        <v>15</v>
      </c>
      <c r="C86" s="49">
        <v>9</v>
      </c>
      <c r="D86" s="49" t="s">
        <v>106</v>
      </c>
      <c r="E86" s="50" t="str">
        <f t="shared" si="4"/>
        <v>SBM-NWRP-G09-B1</v>
      </c>
      <c r="F86" s="49">
        <v>4317567</v>
      </c>
      <c r="G86" s="49">
        <v>529352.4</v>
      </c>
      <c r="H86" s="49">
        <v>1470.1</v>
      </c>
      <c r="I86" s="49" t="s">
        <v>107</v>
      </c>
      <c r="J86" s="49" t="s">
        <v>108</v>
      </c>
      <c r="K86" s="49">
        <v>0.01</v>
      </c>
      <c r="L86" s="49">
        <v>1147</v>
      </c>
      <c r="M86" s="49">
        <v>1156</v>
      </c>
      <c r="N86" s="49"/>
      <c r="O86" s="49"/>
      <c r="P86" s="50">
        <f t="shared" si="5"/>
        <v>10</v>
      </c>
      <c r="Q86" s="49">
        <v>0.3</v>
      </c>
      <c r="R86" s="49">
        <v>12.56</v>
      </c>
      <c r="S86" s="49" t="s">
        <v>125</v>
      </c>
      <c r="T86" s="49"/>
      <c r="U86" s="49"/>
      <c r="V86" s="49" t="s">
        <v>187</v>
      </c>
      <c r="W86" s="49">
        <v>0</v>
      </c>
      <c r="X86" s="49" t="s">
        <v>189</v>
      </c>
      <c r="Y86" s="49">
        <v>0</v>
      </c>
    </row>
    <row r="87" spans="1:25" ht="14.4" customHeight="1" x14ac:dyDescent="0.3">
      <c r="A87" s="53">
        <v>46139</v>
      </c>
      <c r="B87" s="46" t="s">
        <v>15</v>
      </c>
      <c r="C87" s="46">
        <v>9</v>
      </c>
      <c r="D87" s="46" t="s">
        <v>112</v>
      </c>
      <c r="E87" s="47" t="str">
        <f t="shared" si="4"/>
        <v>SBM-NWRP-G09-B2</v>
      </c>
      <c r="F87" s="46">
        <v>4317563.5</v>
      </c>
      <c r="G87" s="46">
        <v>529351.69999999995</v>
      </c>
      <c r="H87" s="46">
        <v>1414.7</v>
      </c>
      <c r="I87" s="46" t="s">
        <v>113</v>
      </c>
      <c r="J87" s="46" t="s">
        <v>108</v>
      </c>
      <c r="K87" s="46">
        <v>0.01</v>
      </c>
      <c r="L87" s="46">
        <v>1157</v>
      </c>
      <c r="M87" s="46">
        <v>1167</v>
      </c>
      <c r="N87" s="46"/>
      <c r="O87" s="46"/>
      <c r="P87" s="47">
        <f t="shared" si="5"/>
        <v>11</v>
      </c>
      <c r="Q87" s="46">
        <v>1.21</v>
      </c>
      <c r="R87" s="46">
        <v>27.27</v>
      </c>
      <c r="S87" s="46" t="s">
        <v>125</v>
      </c>
      <c r="T87" s="46"/>
      <c r="U87" s="46"/>
      <c r="V87" s="46" t="s">
        <v>187</v>
      </c>
      <c r="W87" s="46">
        <v>0</v>
      </c>
      <c r="X87" s="46" t="s">
        <v>190</v>
      </c>
      <c r="Y87" s="46">
        <v>0</v>
      </c>
    </row>
    <row r="88" spans="1:25" ht="14.4" customHeight="1" x14ac:dyDescent="0.3">
      <c r="A88" s="54">
        <v>46139</v>
      </c>
      <c r="B88" s="49" t="s">
        <v>15</v>
      </c>
      <c r="C88" s="49">
        <v>4</v>
      </c>
      <c r="D88" s="49" t="s">
        <v>106</v>
      </c>
      <c r="E88" s="50" t="str">
        <f t="shared" si="4"/>
        <v>SBM-NWRP-G04-B1</v>
      </c>
      <c r="F88" s="49">
        <v>4317563.3</v>
      </c>
      <c r="G88" s="49">
        <v>529383.19999999995</v>
      </c>
      <c r="H88" s="49">
        <v>1440.3</v>
      </c>
      <c r="I88" s="49" t="s">
        <v>107</v>
      </c>
      <c r="J88" s="49" t="s">
        <v>108</v>
      </c>
      <c r="K88" s="49">
        <v>0.01</v>
      </c>
      <c r="L88" s="49">
        <v>1168</v>
      </c>
      <c r="M88" s="49">
        <v>1178</v>
      </c>
      <c r="N88" s="49"/>
      <c r="O88" s="49"/>
      <c r="P88" s="50">
        <f t="shared" si="5"/>
        <v>11</v>
      </c>
      <c r="Q88" s="49">
        <v>22.56</v>
      </c>
      <c r="R88" s="49">
        <v>9.34</v>
      </c>
      <c r="S88" s="49" t="s">
        <v>125</v>
      </c>
      <c r="T88" s="49"/>
      <c r="U88" s="49"/>
      <c r="V88" s="49" t="s">
        <v>187</v>
      </c>
      <c r="W88" s="49">
        <v>0</v>
      </c>
      <c r="X88" s="49" t="s">
        <v>191</v>
      </c>
      <c r="Y88" s="49">
        <v>6.39</v>
      </c>
    </row>
    <row r="89" spans="1:25" ht="14.4" customHeight="1" x14ac:dyDescent="0.3">
      <c r="A89" s="53">
        <v>46139</v>
      </c>
      <c r="B89" s="46" t="s">
        <v>15</v>
      </c>
      <c r="C89" s="46">
        <v>4</v>
      </c>
      <c r="D89" s="46" t="s">
        <v>112</v>
      </c>
      <c r="E89" s="47" t="str">
        <f t="shared" si="4"/>
        <v>SBM-NWRP-G04-B2</v>
      </c>
      <c r="F89" s="46">
        <v>4317566.5</v>
      </c>
      <c r="G89" s="46">
        <v>529378.5</v>
      </c>
      <c r="H89" s="46">
        <v>1421</v>
      </c>
      <c r="I89" s="46" t="s">
        <v>113</v>
      </c>
      <c r="J89" s="46" t="s">
        <v>108</v>
      </c>
      <c r="K89" s="46">
        <v>0.01</v>
      </c>
      <c r="L89" s="46">
        <v>1179</v>
      </c>
      <c r="M89" s="46">
        <v>1189</v>
      </c>
      <c r="N89" s="46"/>
      <c r="O89" s="46"/>
      <c r="P89" s="47">
        <f t="shared" si="5"/>
        <v>11</v>
      </c>
      <c r="Q89" s="46">
        <v>0</v>
      </c>
      <c r="R89" s="46">
        <v>6.39</v>
      </c>
      <c r="S89" s="46" t="s">
        <v>125</v>
      </c>
      <c r="T89" s="46"/>
      <c r="U89" s="46"/>
      <c r="V89" s="46" t="s">
        <v>187</v>
      </c>
      <c r="W89" s="46">
        <v>0</v>
      </c>
      <c r="X89" s="46" t="s">
        <v>192</v>
      </c>
      <c r="Y89" s="46">
        <v>0</v>
      </c>
    </row>
    <row r="90" spans="1:25" ht="14.4" customHeight="1" x14ac:dyDescent="0.3">
      <c r="A90" s="54">
        <v>46139</v>
      </c>
      <c r="B90" s="49" t="s">
        <v>15</v>
      </c>
      <c r="C90" s="49">
        <v>13</v>
      </c>
      <c r="D90" s="49" t="s">
        <v>106</v>
      </c>
      <c r="E90" s="50" t="str">
        <f t="shared" si="4"/>
        <v>SBM-NWRP-G13-B1</v>
      </c>
      <c r="F90" s="49">
        <v>4317526.7</v>
      </c>
      <c r="G90" s="49">
        <v>529387.1</v>
      </c>
      <c r="H90" s="49">
        <v>1437.9</v>
      </c>
      <c r="I90" s="49" t="s">
        <v>107</v>
      </c>
      <c r="J90" s="49" t="s">
        <v>108</v>
      </c>
      <c r="K90" s="49">
        <v>0.01</v>
      </c>
      <c r="L90" s="49">
        <v>1190</v>
      </c>
      <c r="M90" s="49">
        <v>1199</v>
      </c>
      <c r="N90" s="49"/>
      <c r="O90" s="49"/>
      <c r="P90" s="50">
        <f t="shared" si="5"/>
        <v>10</v>
      </c>
      <c r="Q90" s="49">
        <v>1.27</v>
      </c>
      <c r="R90" s="49">
        <v>0.5</v>
      </c>
      <c r="S90" s="49" t="s">
        <v>125</v>
      </c>
      <c r="T90" s="49"/>
      <c r="U90" s="49"/>
      <c r="V90" s="49" t="s">
        <v>187</v>
      </c>
      <c r="W90" s="49">
        <v>0</v>
      </c>
      <c r="X90" s="49" t="s">
        <v>193</v>
      </c>
      <c r="Y90" s="49">
        <v>0</v>
      </c>
    </row>
    <row r="91" spans="1:25" ht="14.4" customHeight="1" x14ac:dyDescent="0.3">
      <c r="A91" s="53">
        <v>46139</v>
      </c>
      <c r="B91" s="46" t="s">
        <v>15</v>
      </c>
      <c r="C91" s="46">
        <v>13</v>
      </c>
      <c r="D91" s="46" t="s">
        <v>112</v>
      </c>
      <c r="E91" s="47" t="str">
        <f t="shared" si="4"/>
        <v>SBM-NWRP-G13-B2</v>
      </c>
      <c r="F91" s="46">
        <v>4317527.4000000004</v>
      </c>
      <c r="G91" s="46">
        <v>529384.19999999995</v>
      </c>
      <c r="H91" s="46">
        <v>1444.1</v>
      </c>
      <c r="I91" s="46" t="s">
        <v>113</v>
      </c>
      <c r="J91" s="46" t="s">
        <v>108</v>
      </c>
      <c r="K91" s="46">
        <v>0.01</v>
      </c>
      <c r="L91" s="46">
        <v>1201</v>
      </c>
      <c r="M91" s="46">
        <v>1210</v>
      </c>
      <c r="N91" s="46"/>
      <c r="O91" s="46"/>
      <c r="P91" s="47">
        <f t="shared" si="5"/>
        <v>10</v>
      </c>
      <c r="Q91" s="46">
        <v>3.66</v>
      </c>
      <c r="R91" s="46">
        <v>8.14</v>
      </c>
      <c r="S91" s="46" t="s">
        <v>125</v>
      </c>
      <c r="T91" s="46"/>
      <c r="U91" s="46"/>
      <c r="V91" s="46" t="s">
        <v>187</v>
      </c>
      <c r="W91" s="46">
        <v>0</v>
      </c>
      <c r="X91" s="46" t="s">
        <v>194</v>
      </c>
      <c r="Y91" s="46">
        <v>1.6</v>
      </c>
    </row>
    <row r="92" spans="1:25" ht="14.4" customHeight="1" x14ac:dyDescent="0.3">
      <c r="A92" s="54">
        <v>46139</v>
      </c>
      <c r="B92" s="49" t="s">
        <v>15</v>
      </c>
      <c r="C92" s="49">
        <v>3</v>
      </c>
      <c r="D92" s="49" t="s">
        <v>112</v>
      </c>
      <c r="E92" s="50" t="str">
        <f t="shared" si="4"/>
        <v>SBM-NWRP-G03-B2</v>
      </c>
      <c r="F92" s="49">
        <v>4317627.2</v>
      </c>
      <c r="G92" s="49">
        <v>529308.6</v>
      </c>
      <c r="H92" s="49">
        <v>1445.5</v>
      </c>
      <c r="I92" s="49" t="s">
        <v>113</v>
      </c>
      <c r="J92" s="49" t="s">
        <v>108</v>
      </c>
      <c r="K92" s="49">
        <v>0.01</v>
      </c>
      <c r="L92" s="49">
        <v>1211</v>
      </c>
      <c r="M92" s="49">
        <v>1220</v>
      </c>
      <c r="N92" s="49"/>
      <c r="O92" s="49"/>
      <c r="P92" s="50">
        <f t="shared" si="5"/>
        <v>10</v>
      </c>
      <c r="Q92" s="49">
        <v>1.01</v>
      </c>
      <c r="R92" s="49">
        <v>1.92</v>
      </c>
      <c r="S92" s="49" t="s">
        <v>125</v>
      </c>
      <c r="T92" s="49"/>
      <c r="U92" s="49"/>
      <c r="V92" s="49" t="s">
        <v>187</v>
      </c>
      <c r="W92" s="49">
        <v>0</v>
      </c>
      <c r="X92" s="49" t="s">
        <v>195</v>
      </c>
      <c r="Y92" s="49">
        <v>0</v>
      </c>
    </row>
    <row r="93" spans="1:25" ht="14.4" customHeight="1" x14ac:dyDescent="0.3">
      <c r="A93" s="53">
        <v>46139</v>
      </c>
      <c r="B93" s="46" t="s">
        <v>20</v>
      </c>
      <c r="C93" s="46">
        <v>7</v>
      </c>
      <c r="D93" s="46" t="s">
        <v>106</v>
      </c>
      <c r="E93" s="47" t="str">
        <f t="shared" si="4"/>
        <v>SBM-DRA-G07-B1</v>
      </c>
      <c r="F93" s="46">
        <v>4317319.2</v>
      </c>
      <c r="G93" s="46">
        <v>529274</v>
      </c>
      <c r="H93" s="46">
        <v>1340</v>
      </c>
      <c r="I93" s="46" t="s">
        <v>107</v>
      </c>
      <c r="J93" s="46" t="s">
        <v>108</v>
      </c>
      <c r="K93" s="46">
        <v>0.01</v>
      </c>
      <c r="L93" s="46">
        <v>12</v>
      </c>
      <c r="M93" s="46">
        <v>22</v>
      </c>
      <c r="N93" s="46"/>
      <c r="O93" s="46"/>
      <c r="P93" s="47">
        <f t="shared" si="5"/>
        <v>11</v>
      </c>
      <c r="Q93" s="46">
        <v>5.5</v>
      </c>
      <c r="R93" s="46">
        <v>0.13</v>
      </c>
      <c r="S93" s="46" t="s">
        <v>125</v>
      </c>
      <c r="T93" s="46"/>
      <c r="U93" s="46"/>
      <c r="V93" s="46" t="s">
        <v>196</v>
      </c>
      <c r="W93" s="46">
        <v>0</v>
      </c>
      <c r="X93" s="46" t="s">
        <v>197</v>
      </c>
      <c r="Y93" s="46">
        <v>0</v>
      </c>
    </row>
    <row r="94" spans="1:25" ht="14.4" customHeight="1" x14ac:dyDescent="0.3">
      <c r="A94" s="54">
        <v>46139</v>
      </c>
      <c r="B94" s="49" t="s">
        <v>20</v>
      </c>
      <c r="C94" s="49">
        <v>7</v>
      </c>
      <c r="D94" s="49" t="s">
        <v>112</v>
      </c>
      <c r="E94" s="50" t="str">
        <f t="shared" si="4"/>
        <v>SBM-DRA-G07-B2</v>
      </c>
      <c r="F94" s="49">
        <v>4317401.5999999996</v>
      </c>
      <c r="G94" s="49">
        <v>529349.9</v>
      </c>
      <c r="H94" s="49">
        <v>1340</v>
      </c>
      <c r="I94" s="49" t="s">
        <v>113</v>
      </c>
      <c r="J94" s="49" t="s">
        <v>108</v>
      </c>
      <c r="K94" s="49">
        <v>0.01</v>
      </c>
      <c r="L94" s="49">
        <v>23</v>
      </c>
      <c r="M94" s="49">
        <v>33</v>
      </c>
      <c r="N94" s="49"/>
      <c r="O94" s="49"/>
      <c r="P94" s="50">
        <f t="shared" si="5"/>
        <v>11</v>
      </c>
      <c r="Q94" s="49">
        <v>1.55</v>
      </c>
      <c r="R94" s="49">
        <v>0.81</v>
      </c>
      <c r="S94" s="49" t="s">
        <v>125</v>
      </c>
      <c r="T94" s="49"/>
      <c r="U94" s="49"/>
      <c r="V94" s="49" t="s">
        <v>196</v>
      </c>
      <c r="W94" s="49">
        <v>0</v>
      </c>
      <c r="X94" s="49" t="s">
        <v>198</v>
      </c>
      <c r="Y94" s="49">
        <v>0</v>
      </c>
    </row>
    <row r="95" spans="1:25" ht="14.4" customHeight="1" x14ac:dyDescent="0.3">
      <c r="A95" s="53">
        <v>46139</v>
      </c>
      <c r="B95" s="46" t="s">
        <v>20</v>
      </c>
      <c r="C95" s="46">
        <v>3</v>
      </c>
      <c r="D95" s="46" t="s">
        <v>106</v>
      </c>
      <c r="E95" s="47" t="str">
        <f t="shared" si="4"/>
        <v>SBM-DRA-G03-B1</v>
      </c>
      <c r="F95" s="46">
        <v>4317419.5999999996</v>
      </c>
      <c r="G95" s="46">
        <v>529270.30000000005</v>
      </c>
      <c r="H95" s="46">
        <v>1330</v>
      </c>
      <c r="I95" s="46" t="s">
        <v>107</v>
      </c>
      <c r="J95" s="46" t="s">
        <v>108</v>
      </c>
      <c r="K95" s="46">
        <v>0.01</v>
      </c>
      <c r="L95" s="46">
        <v>34</v>
      </c>
      <c r="M95" s="46">
        <v>45</v>
      </c>
      <c r="N95" s="46"/>
      <c r="O95" s="46"/>
      <c r="P95" s="47">
        <f t="shared" si="5"/>
        <v>12</v>
      </c>
      <c r="Q95" s="46">
        <v>6.43</v>
      </c>
      <c r="R95" s="46">
        <v>3.06</v>
      </c>
      <c r="S95" s="46" t="s">
        <v>125</v>
      </c>
      <c r="T95" s="46"/>
      <c r="U95" s="46"/>
      <c r="V95" s="46" t="s">
        <v>196</v>
      </c>
      <c r="W95" s="46">
        <v>0</v>
      </c>
      <c r="X95" s="46" t="s">
        <v>199</v>
      </c>
      <c r="Y95" s="46">
        <v>0</v>
      </c>
    </row>
    <row r="96" spans="1:25" ht="14.4" customHeight="1" x14ac:dyDescent="0.3">
      <c r="A96" s="54">
        <v>46139</v>
      </c>
      <c r="B96" s="49" t="s">
        <v>20</v>
      </c>
      <c r="C96" s="49">
        <v>3</v>
      </c>
      <c r="D96" s="49" t="s">
        <v>112</v>
      </c>
      <c r="E96" s="50" t="str">
        <f t="shared" si="4"/>
        <v>SBM-DRA-G03-B2</v>
      </c>
      <c r="F96" s="49">
        <v>4317406.9000000004</v>
      </c>
      <c r="G96" s="49">
        <v>529298.80000000005</v>
      </c>
      <c r="H96" s="49">
        <v>1330</v>
      </c>
      <c r="I96" s="49" t="s">
        <v>113</v>
      </c>
      <c r="J96" s="49" t="s">
        <v>108</v>
      </c>
      <c r="K96" s="49">
        <v>0.01</v>
      </c>
      <c r="L96" s="49">
        <v>46</v>
      </c>
      <c r="M96" s="49">
        <v>57</v>
      </c>
      <c r="N96" s="49"/>
      <c r="O96" s="49"/>
      <c r="P96" s="50">
        <f t="shared" si="5"/>
        <v>12</v>
      </c>
      <c r="Q96" s="49">
        <v>10.6</v>
      </c>
      <c r="R96" s="49">
        <v>0.27</v>
      </c>
      <c r="S96" s="49" t="s">
        <v>125</v>
      </c>
      <c r="T96" s="49"/>
      <c r="U96" s="49"/>
      <c r="V96" s="49" t="s">
        <v>196</v>
      </c>
      <c r="W96" s="49">
        <v>0</v>
      </c>
      <c r="X96" s="49" t="s">
        <v>200</v>
      </c>
      <c r="Y96" s="49">
        <v>0</v>
      </c>
    </row>
    <row r="97" spans="1:25" ht="14.4" customHeight="1" x14ac:dyDescent="0.3">
      <c r="A97" s="53">
        <v>46140</v>
      </c>
      <c r="B97" s="46" t="s">
        <v>20</v>
      </c>
      <c r="C97" s="46">
        <v>6</v>
      </c>
      <c r="D97" s="46" t="s">
        <v>106</v>
      </c>
      <c r="E97" s="47" t="str">
        <f t="shared" si="4"/>
        <v>SBM-DRA-G06-B1</v>
      </c>
      <c r="F97" s="46">
        <v>4317300</v>
      </c>
      <c r="G97" s="46">
        <v>528994.80000000005</v>
      </c>
      <c r="H97" s="46">
        <v>1385.1</v>
      </c>
      <c r="I97" s="46" t="s">
        <v>107</v>
      </c>
      <c r="J97" s="46" t="s">
        <v>108</v>
      </c>
      <c r="K97" s="46">
        <v>0.01</v>
      </c>
      <c r="L97" s="46">
        <v>1225</v>
      </c>
      <c r="M97" s="46">
        <v>1238</v>
      </c>
      <c r="N97" s="46"/>
      <c r="O97" s="46"/>
      <c r="P97" s="47">
        <f t="shared" si="5"/>
        <v>14</v>
      </c>
      <c r="Q97" s="46">
        <v>0.28000000000000003</v>
      </c>
      <c r="R97" s="46">
        <v>0</v>
      </c>
      <c r="S97" s="46" t="s">
        <v>125</v>
      </c>
      <c r="T97" s="46"/>
      <c r="U97" s="46"/>
      <c r="V97" s="46" t="s">
        <v>201</v>
      </c>
      <c r="W97" s="46">
        <v>0</v>
      </c>
      <c r="X97" s="46" t="s">
        <v>202</v>
      </c>
      <c r="Y97" s="46">
        <v>0</v>
      </c>
    </row>
    <row r="98" spans="1:25" ht="14.4" customHeight="1" x14ac:dyDescent="0.3">
      <c r="A98" s="54">
        <v>46140</v>
      </c>
      <c r="B98" s="49" t="s">
        <v>20</v>
      </c>
      <c r="C98" s="49">
        <v>6</v>
      </c>
      <c r="D98" s="49" t="s">
        <v>112</v>
      </c>
      <c r="E98" s="50" t="str">
        <f t="shared" si="4"/>
        <v>SBM-DRA-G06-B2</v>
      </c>
      <c r="F98" s="49">
        <v>4317307.4000000004</v>
      </c>
      <c r="G98" s="49">
        <v>528994.4</v>
      </c>
      <c r="H98" s="49">
        <v>1359.3</v>
      </c>
      <c r="I98" s="49" t="s">
        <v>113</v>
      </c>
      <c r="J98" s="49" t="s">
        <v>108</v>
      </c>
      <c r="K98" s="49">
        <v>0.01</v>
      </c>
      <c r="L98" s="49">
        <v>1239</v>
      </c>
      <c r="M98" s="49">
        <v>1250</v>
      </c>
      <c r="N98" s="49"/>
      <c r="O98" s="49"/>
      <c r="P98" s="50">
        <f t="shared" si="5"/>
        <v>12</v>
      </c>
      <c r="Q98" s="49">
        <v>0</v>
      </c>
      <c r="R98" s="49">
        <v>0</v>
      </c>
      <c r="S98" s="49" t="s">
        <v>125</v>
      </c>
      <c r="T98" s="49"/>
      <c r="U98" s="49"/>
      <c r="V98" s="49" t="s">
        <v>201</v>
      </c>
      <c r="W98" s="49">
        <v>0</v>
      </c>
      <c r="X98" s="49" t="s">
        <v>203</v>
      </c>
      <c r="Y98" s="49">
        <v>0</v>
      </c>
    </row>
    <row r="99" spans="1:25" ht="14.4" customHeight="1" x14ac:dyDescent="0.3">
      <c r="A99" s="53">
        <v>46140</v>
      </c>
      <c r="B99" s="46" t="s">
        <v>20</v>
      </c>
      <c r="C99" s="46">
        <v>8</v>
      </c>
      <c r="D99" s="46" t="s">
        <v>106</v>
      </c>
      <c r="E99" s="47" t="str">
        <f t="shared" si="4"/>
        <v>SBM-DRA-G08-B1</v>
      </c>
      <c r="F99" s="46">
        <v>4317342.3</v>
      </c>
      <c r="G99" s="46">
        <v>529199.4</v>
      </c>
      <c r="H99" s="46">
        <v>1355.8</v>
      </c>
      <c r="I99" s="46" t="s">
        <v>107</v>
      </c>
      <c r="J99" s="46" t="s">
        <v>108</v>
      </c>
      <c r="K99" s="46">
        <v>0.01</v>
      </c>
      <c r="L99" s="46">
        <v>1251</v>
      </c>
      <c r="M99" s="46">
        <v>1261</v>
      </c>
      <c r="N99" s="46"/>
      <c r="O99" s="46"/>
      <c r="P99" s="47">
        <f t="shared" si="5"/>
        <v>11</v>
      </c>
      <c r="Q99" s="46">
        <v>2.2400000000000002</v>
      </c>
      <c r="R99" s="46">
        <v>0.16</v>
      </c>
      <c r="S99" s="46" t="s">
        <v>125</v>
      </c>
      <c r="T99" s="46"/>
      <c r="U99" s="46"/>
      <c r="V99" s="46" t="s">
        <v>201</v>
      </c>
      <c r="W99" s="46">
        <v>0</v>
      </c>
      <c r="X99" s="46" t="s">
        <v>204</v>
      </c>
      <c r="Y99" s="46">
        <v>0</v>
      </c>
    </row>
    <row r="100" spans="1:25" ht="14.4" customHeight="1" x14ac:dyDescent="0.3">
      <c r="A100" s="54">
        <v>46140</v>
      </c>
      <c r="B100" s="49" t="s">
        <v>20</v>
      </c>
      <c r="C100" s="49">
        <v>8</v>
      </c>
      <c r="D100" s="49" t="s">
        <v>112</v>
      </c>
      <c r="E100" s="50" t="str">
        <f t="shared" si="4"/>
        <v>SBM-DRA-G08-B2</v>
      </c>
      <c r="F100" s="49">
        <v>4317343.5</v>
      </c>
      <c r="G100" s="49">
        <v>529194.4</v>
      </c>
      <c r="H100" s="49">
        <v>1369.8</v>
      </c>
      <c r="I100" s="49" t="s">
        <v>113</v>
      </c>
      <c r="J100" s="49" t="s">
        <v>108</v>
      </c>
      <c r="K100" s="49">
        <v>0.01</v>
      </c>
      <c r="L100" s="49">
        <v>1262</v>
      </c>
      <c r="M100" s="49">
        <v>1275</v>
      </c>
      <c r="N100" s="49"/>
      <c r="O100" s="49"/>
      <c r="P100" s="50">
        <f t="shared" si="5"/>
        <v>14</v>
      </c>
      <c r="Q100" s="49">
        <v>22.21</v>
      </c>
      <c r="R100" s="49">
        <v>0</v>
      </c>
      <c r="S100" s="49" t="s">
        <v>125</v>
      </c>
      <c r="T100" s="49"/>
      <c r="U100" s="49"/>
      <c r="V100" s="49" t="s">
        <v>201</v>
      </c>
      <c r="W100" s="49">
        <v>0</v>
      </c>
      <c r="X100" s="49" t="s">
        <v>205</v>
      </c>
      <c r="Y100" s="49">
        <v>0</v>
      </c>
    </row>
    <row r="101" spans="1:25" ht="14.4" customHeight="1" x14ac:dyDescent="0.3">
      <c r="A101" s="53">
        <v>46140</v>
      </c>
      <c r="B101" s="46" t="s">
        <v>20</v>
      </c>
      <c r="C101" s="46">
        <v>14</v>
      </c>
      <c r="D101" s="46" t="s">
        <v>106</v>
      </c>
      <c r="E101" s="47" t="str">
        <f t="shared" ref="E101:E132" si="6">IF(B101="","","SBM-"&amp;B101&amp;"-G"&amp;TEXT(C101,"00")&amp;"-"&amp;D101)</f>
        <v>SBM-DRA-G14-B1</v>
      </c>
      <c r="F101" s="46">
        <v>4317248.2</v>
      </c>
      <c r="G101" s="46">
        <v>528982.19999999995</v>
      </c>
      <c r="H101" s="46">
        <v>1340</v>
      </c>
      <c r="I101" s="46" t="s">
        <v>107</v>
      </c>
      <c r="J101" s="46" t="s">
        <v>108</v>
      </c>
      <c r="K101" s="46">
        <v>0.01</v>
      </c>
      <c r="L101" s="46">
        <v>63</v>
      </c>
      <c r="M101" s="46">
        <v>74</v>
      </c>
      <c r="N101" s="46"/>
      <c r="O101" s="46"/>
      <c r="P101" s="47">
        <f t="shared" ref="P101:P132" si="7">IF(L101="","",(M101-L101+1)+IF(N101="",0,O101-N101+1))</f>
        <v>12</v>
      </c>
      <c r="Q101" s="46">
        <v>1.05</v>
      </c>
      <c r="R101" s="46">
        <v>10.210000000000001</v>
      </c>
      <c r="S101" s="46" t="s">
        <v>125</v>
      </c>
      <c r="T101" s="46"/>
      <c r="U101" s="46"/>
      <c r="V101" s="46" t="s">
        <v>206</v>
      </c>
      <c r="W101" s="46">
        <v>0</v>
      </c>
      <c r="X101" s="46" t="s">
        <v>207</v>
      </c>
      <c r="Y101" s="46">
        <v>0</v>
      </c>
    </row>
    <row r="102" spans="1:25" ht="14.4" customHeight="1" x14ac:dyDescent="0.3">
      <c r="A102" s="54">
        <v>46140</v>
      </c>
      <c r="B102" s="49" t="s">
        <v>20</v>
      </c>
      <c r="C102" s="49">
        <v>14</v>
      </c>
      <c r="D102" s="49" t="s">
        <v>112</v>
      </c>
      <c r="E102" s="50" t="str">
        <f t="shared" si="6"/>
        <v>SBM-DRA-G14-B2</v>
      </c>
      <c r="F102" s="49">
        <v>4317243.7</v>
      </c>
      <c r="G102" s="49">
        <v>528980.69999999995</v>
      </c>
      <c r="H102" s="49">
        <v>1340</v>
      </c>
      <c r="I102" s="49" t="s">
        <v>113</v>
      </c>
      <c r="J102" s="49" t="s">
        <v>108</v>
      </c>
      <c r="K102" s="49">
        <v>0.01</v>
      </c>
      <c r="L102" s="49">
        <v>75</v>
      </c>
      <c r="M102" s="49">
        <v>84</v>
      </c>
      <c r="N102" s="49"/>
      <c r="O102" s="49"/>
      <c r="P102" s="50">
        <f t="shared" si="7"/>
        <v>10</v>
      </c>
      <c r="Q102" s="49">
        <v>15.19</v>
      </c>
      <c r="R102" s="49">
        <v>1.76</v>
      </c>
      <c r="S102" s="49" t="s">
        <v>125</v>
      </c>
      <c r="T102" s="49"/>
      <c r="U102" s="49"/>
      <c r="V102" s="49" t="s">
        <v>206</v>
      </c>
      <c r="W102" s="49">
        <v>0</v>
      </c>
      <c r="X102" s="49"/>
      <c r="Y102" s="49">
        <v>0</v>
      </c>
    </row>
    <row r="103" spans="1:25" ht="14.4" customHeight="1" x14ac:dyDescent="0.3">
      <c r="A103" s="53">
        <v>46140</v>
      </c>
      <c r="B103" s="46" t="s">
        <v>20</v>
      </c>
      <c r="C103" s="46">
        <v>13</v>
      </c>
      <c r="D103" s="46" t="s">
        <v>106</v>
      </c>
      <c r="E103" s="47" t="str">
        <f t="shared" si="6"/>
        <v>SBM-DRA-G13-B1</v>
      </c>
      <c r="F103" s="46">
        <v>4317304.3</v>
      </c>
      <c r="G103" s="46">
        <v>528937.19999999995</v>
      </c>
      <c r="H103" s="46">
        <v>1340</v>
      </c>
      <c r="I103" s="46" t="s">
        <v>107</v>
      </c>
      <c r="J103" s="46" t="s">
        <v>108</v>
      </c>
      <c r="K103" s="46">
        <v>0.01</v>
      </c>
      <c r="L103" s="46">
        <v>85</v>
      </c>
      <c r="M103" s="46">
        <v>96</v>
      </c>
      <c r="N103" s="46"/>
      <c r="O103" s="46"/>
      <c r="P103" s="47">
        <f t="shared" si="7"/>
        <v>12</v>
      </c>
      <c r="Q103" s="46">
        <v>7.15</v>
      </c>
      <c r="R103" s="46">
        <v>32.159999999999997</v>
      </c>
      <c r="S103" s="46" t="s">
        <v>125</v>
      </c>
      <c r="T103" s="46"/>
      <c r="U103" s="46"/>
      <c r="V103" s="46" t="s">
        <v>206</v>
      </c>
      <c r="W103" s="46">
        <v>0</v>
      </c>
      <c r="X103" s="46" t="s">
        <v>208</v>
      </c>
      <c r="Y103" s="46">
        <v>4.87</v>
      </c>
    </row>
    <row r="104" spans="1:25" ht="14.4" customHeight="1" x14ac:dyDescent="0.3">
      <c r="A104" s="54">
        <v>46140</v>
      </c>
      <c r="B104" s="49" t="s">
        <v>20</v>
      </c>
      <c r="C104" s="49">
        <v>13</v>
      </c>
      <c r="D104" s="49" t="s">
        <v>112</v>
      </c>
      <c r="E104" s="50" t="str">
        <f t="shared" si="6"/>
        <v>SBM-DRA-G13-B2</v>
      </c>
      <c r="F104" s="49">
        <v>4317375.8</v>
      </c>
      <c r="G104" s="49">
        <v>529326.5</v>
      </c>
      <c r="H104" s="49">
        <v>1340</v>
      </c>
      <c r="I104" s="49" t="s">
        <v>113</v>
      </c>
      <c r="J104" s="49" t="s">
        <v>108</v>
      </c>
      <c r="K104" s="49">
        <v>0.01</v>
      </c>
      <c r="L104" s="49">
        <v>97</v>
      </c>
      <c r="M104" s="49">
        <v>107</v>
      </c>
      <c r="N104" s="49"/>
      <c r="O104" s="49"/>
      <c r="P104" s="50">
        <f t="shared" si="7"/>
        <v>11</v>
      </c>
      <c r="Q104" s="49">
        <v>73.849999999999994</v>
      </c>
      <c r="R104" s="49">
        <v>222.85</v>
      </c>
      <c r="S104" s="49" t="s">
        <v>125</v>
      </c>
      <c r="T104" s="49"/>
      <c r="U104" s="49"/>
      <c r="V104" s="49" t="s">
        <v>206</v>
      </c>
      <c r="W104" s="49">
        <v>0</v>
      </c>
      <c r="X104" s="49" t="s">
        <v>209</v>
      </c>
      <c r="Y104" s="49">
        <v>141.84</v>
      </c>
    </row>
    <row r="105" spans="1:25" ht="14.4" customHeight="1" x14ac:dyDescent="0.3">
      <c r="A105" s="53">
        <v>46140</v>
      </c>
      <c r="B105" s="46" t="s">
        <v>20</v>
      </c>
      <c r="C105" s="46">
        <v>12</v>
      </c>
      <c r="D105" s="46" t="s">
        <v>106</v>
      </c>
      <c r="E105" s="47" t="str">
        <f t="shared" si="6"/>
        <v>SBM-DRA-G12-B1</v>
      </c>
      <c r="F105" s="46">
        <v>4317360.9000000004</v>
      </c>
      <c r="G105" s="46">
        <v>529265.19999999995</v>
      </c>
      <c r="H105" s="46">
        <v>1340</v>
      </c>
      <c r="I105" s="46" t="s">
        <v>107</v>
      </c>
      <c r="J105" s="46" t="s">
        <v>108</v>
      </c>
      <c r="K105" s="46">
        <v>0.01</v>
      </c>
      <c r="L105" s="46">
        <v>108</v>
      </c>
      <c r="M105" s="46">
        <v>118</v>
      </c>
      <c r="N105" s="46"/>
      <c r="O105" s="46"/>
      <c r="P105" s="47">
        <f t="shared" si="7"/>
        <v>11</v>
      </c>
      <c r="Q105" s="46">
        <v>2.2400000000000002</v>
      </c>
      <c r="R105" s="46">
        <v>0.21</v>
      </c>
      <c r="S105" s="46" t="s">
        <v>125</v>
      </c>
      <c r="T105" s="46"/>
      <c r="U105" s="46"/>
      <c r="V105" s="46" t="s">
        <v>206</v>
      </c>
      <c r="W105" s="46">
        <v>0</v>
      </c>
      <c r="X105" s="46" t="s">
        <v>210</v>
      </c>
      <c r="Y105" s="46">
        <v>0</v>
      </c>
    </row>
    <row r="106" spans="1:25" ht="14.4" customHeight="1" x14ac:dyDescent="0.3">
      <c r="A106" s="54">
        <v>46140</v>
      </c>
      <c r="B106" s="49" t="s">
        <v>20</v>
      </c>
      <c r="C106" s="49">
        <v>12</v>
      </c>
      <c r="D106" s="49" t="s">
        <v>112</v>
      </c>
      <c r="E106" s="50" t="str">
        <f t="shared" si="6"/>
        <v>SBM-DRA-G12-B2</v>
      </c>
      <c r="F106" s="49">
        <v>4317375.7</v>
      </c>
      <c r="G106" s="49">
        <v>529298.6</v>
      </c>
      <c r="H106" s="49">
        <v>1340</v>
      </c>
      <c r="I106" s="49" t="s">
        <v>113</v>
      </c>
      <c r="J106" s="49" t="s">
        <v>108</v>
      </c>
      <c r="K106" s="49">
        <v>0.01</v>
      </c>
      <c r="L106" s="49">
        <v>120</v>
      </c>
      <c r="M106" s="49">
        <v>129</v>
      </c>
      <c r="N106" s="49"/>
      <c r="O106" s="49"/>
      <c r="P106" s="50">
        <f t="shared" si="7"/>
        <v>10</v>
      </c>
      <c r="Q106" s="49">
        <v>0</v>
      </c>
      <c r="R106" s="49">
        <v>0.48</v>
      </c>
      <c r="S106" s="49" t="s">
        <v>125</v>
      </c>
      <c r="T106" s="49"/>
      <c r="U106" s="49"/>
      <c r="V106" s="49" t="s">
        <v>206</v>
      </c>
      <c r="W106" s="49">
        <v>0</v>
      </c>
      <c r="X106" s="49" t="s">
        <v>211</v>
      </c>
      <c r="Y106" s="49">
        <v>0</v>
      </c>
    </row>
    <row r="107" spans="1:25" ht="14.4" customHeight="1" x14ac:dyDescent="0.3">
      <c r="A107" s="53">
        <v>46140</v>
      </c>
      <c r="B107" s="46" t="s">
        <v>20</v>
      </c>
      <c r="C107" s="46">
        <v>9</v>
      </c>
      <c r="D107" s="46" t="s">
        <v>106</v>
      </c>
      <c r="E107" s="47" t="str">
        <f t="shared" si="6"/>
        <v>SBM-DRA-G09-B1</v>
      </c>
      <c r="F107" s="46">
        <v>4317336.8</v>
      </c>
      <c r="G107" s="46">
        <v>529282.1</v>
      </c>
      <c r="H107" s="46">
        <v>1340</v>
      </c>
      <c r="I107" s="46" t="s">
        <v>107</v>
      </c>
      <c r="J107" s="46" t="s">
        <v>108</v>
      </c>
      <c r="K107" s="46">
        <v>0.01</v>
      </c>
      <c r="L107" s="46">
        <v>130</v>
      </c>
      <c r="M107" s="46">
        <v>139</v>
      </c>
      <c r="N107" s="46"/>
      <c r="O107" s="46"/>
      <c r="P107" s="47">
        <f t="shared" si="7"/>
        <v>10</v>
      </c>
      <c r="Q107" s="46">
        <v>0</v>
      </c>
      <c r="R107" s="46">
        <v>0.16</v>
      </c>
      <c r="S107" s="46" t="s">
        <v>125</v>
      </c>
      <c r="T107" s="46"/>
      <c r="U107" s="46"/>
      <c r="V107" s="46" t="s">
        <v>206</v>
      </c>
      <c r="W107" s="46">
        <v>0</v>
      </c>
      <c r="X107" s="46" t="s">
        <v>212</v>
      </c>
      <c r="Y107" s="46">
        <v>0</v>
      </c>
    </row>
    <row r="108" spans="1:25" ht="14.4" customHeight="1" x14ac:dyDescent="0.3">
      <c r="A108" s="54">
        <v>46141</v>
      </c>
      <c r="B108" s="49" t="s">
        <v>17</v>
      </c>
      <c r="C108" s="49">
        <v>1</v>
      </c>
      <c r="D108" s="49" t="s">
        <v>106</v>
      </c>
      <c r="E108" s="50" t="str">
        <f t="shared" si="6"/>
        <v>SBM-NWP-G01-B1</v>
      </c>
      <c r="F108" s="49">
        <v>4317568.8</v>
      </c>
      <c r="G108" s="49">
        <v>528781.1</v>
      </c>
      <c r="H108" s="49">
        <v>1439</v>
      </c>
      <c r="I108" s="49" t="s">
        <v>107</v>
      </c>
      <c r="J108" s="49" t="s">
        <v>108</v>
      </c>
      <c r="K108" s="49">
        <v>0.01</v>
      </c>
      <c r="L108" s="49">
        <v>1288</v>
      </c>
      <c r="M108" s="49">
        <v>1302</v>
      </c>
      <c r="N108" s="49"/>
      <c r="O108" s="49"/>
      <c r="P108" s="50">
        <f t="shared" si="7"/>
        <v>15</v>
      </c>
      <c r="Q108" s="49">
        <v>9.01</v>
      </c>
      <c r="R108" s="49">
        <v>2.97</v>
      </c>
      <c r="S108" s="49" t="s">
        <v>125</v>
      </c>
      <c r="T108" s="49"/>
      <c r="U108" s="49"/>
      <c r="V108" s="49" t="s">
        <v>213</v>
      </c>
      <c r="W108" s="49">
        <v>0</v>
      </c>
      <c r="X108" s="49"/>
      <c r="Y108" s="49">
        <v>0</v>
      </c>
    </row>
    <row r="109" spans="1:25" ht="14.4" customHeight="1" x14ac:dyDescent="0.3">
      <c r="A109" s="53">
        <v>46141</v>
      </c>
      <c r="B109" s="46" t="s">
        <v>17</v>
      </c>
      <c r="C109" s="46">
        <v>1</v>
      </c>
      <c r="D109" s="46" t="s">
        <v>112</v>
      </c>
      <c r="E109" s="47" t="str">
        <f t="shared" si="6"/>
        <v>SBM-NWP-G01-B2</v>
      </c>
      <c r="F109" s="46">
        <v>4317557.5</v>
      </c>
      <c r="G109" s="46">
        <v>528789.6</v>
      </c>
      <c r="H109" s="46">
        <v>1381</v>
      </c>
      <c r="I109" s="46" t="s">
        <v>113</v>
      </c>
      <c r="J109" s="46" t="s">
        <v>108</v>
      </c>
      <c r="K109" s="46">
        <v>0.01</v>
      </c>
      <c r="L109" s="46">
        <v>1303</v>
      </c>
      <c r="M109" s="46">
        <v>1315</v>
      </c>
      <c r="N109" s="46"/>
      <c r="O109" s="46"/>
      <c r="P109" s="47">
        <f t="shared" si="7"/>
        <v>13</v>
      </c>
      <c r="Q109" s="46">
        <v>1.42</v>
      </c>
      <c r="R109" s="46">
        <v>0</v>
      </c>
      <c r="S109" s="46" t="s">
        <v>125</v>
      </c>
      <c r="T109" s="46"/>
      <c r="U109" s="46"/>
      <c r="V109" s="46" t="s">
        <v>213</v>
      </c>
      <c r="W109" s="46">
        <v>0</v>
      </c>
      <c r="X109" s="46"/>
      <c r="Y109" s="46">
        <v>0</v>
      </c>
    </row>
    <row r="110" spans="1:25" ht="14.4" customHeight="1" x14ac:dyDescent="0.3">
      <c r="A110" s="54">
        <v>46141</v>
      </c>
      <c r="B110" s="49" t="s">
        <v>17</v>
      </c>
      <c r="C110" s="49">
        <v>2</v>
      </c>
      <c r="D110" s="49" t="s">
        <v>106</v>
      </c>
      <c r="E110" s="50" t="str">
        <f t="shared" si="6"/>
        <v>SBM-NWP-G02-B1</v>
      </c>
      <c r="F110" s="49">
        <v>4317546</v>
      </c>
      <c r="G110" s="49">
        <v>528777.9</v>
      </c>
      <c r="H110" s="49">
        <v>1380</v>
      </c>
      <c r="I110" s="49" t="s">
        <v>107</v>
      </c>
      <c r="J110" s="49" t="s">
        <v>108</v>
      </c>
      <c r="K110" s="49">
        <v>0.01</v>
      </c>
      <c r="L110" s="49">
        <v>1316</v>
      </c>
      <c r="M110" s="49">
        <v>1328</v>
      </c>
      <c r="N110" s="49"/>
      <c r="O110" s="49"/>
      <c r="P110" s="50">
        <f t="shared" si="7"/>
        <v>13</v>
      </c>
      <c r="Q110" s="49">
        <v>10.02</v>
      </c>
      <c r="R110" s="49">
        <v>4.0599999999999996</v>
      </c>
      <c r="S110" s="49" t="s">
        <v>125</v>
      </c>
      <c r="T110" s="49"/>
      <c r="U110" s="49"/>
      <c r="V110" s="49" t="s">
        <v>213</v>
      </c>
      <c r="W110" s="49">
        <v>0</v>
      </c>
      <c r="X110" s="49" t="s">
        <v>214</v>
      </c>
      <c r="Y110" s="49">
        <v>0</v>
      </c>
    </row>
    <row r="111" spans="1:25" ht="14.4" customHeight="1" x14ac:dyDescent="0.3">
      <c r="A111" s="53">
        <v>46141</v>
      </c>
      <c r="B111" s="46" t="s">
        <v>17</v>
      </c>
      <c r="C111" s="46">
        <v>2</v>
      </c>
      <c r="D111" s="46" t="s">
        <v>112</v>
      </c>
      <c r="E111" s="47" t="str">
        <f t="shared" si="6"/>
        <v>SBM-NWP-G02-B2</v>
      </c>
      <c r="F111" s="46">
        <v>4317546</v>
      </c>
      <c r="G111" s="46">
        <v>528774.9</v>
      </c>
      <c r="H111" s="46">
        <v>1396</v>
      </c>
      <c r="I111" s="46" t="s">
        <v>113</v>
      </c>
      <c r="J111" s="46" t="s">
        <v>108</v>
      </c>
      <c r="K111" s="46">
        <v>0.01</v>
      </c>
      <c r="L111" s="46">
        <v>1329</v>
      </c>
      <c r="M111" s="46">
        <v>1341</v>
      </c>
      <c r="N111" s="46"/>
      <c r="O111" s="46"/>
      <c r="P111" s="47">
        <f t="shared" si="7"/>
        <v>13</v>
      </c>
      <c r="Q111" s="46">
        <v>20.21</v>
      </c>
      <c r="R111" s="46">
        <v>0.08</v>
      </c>
      <c r="S111" s="46" t="s">
        <v>125</v>
      </c>
      <c r="T111" s="46"/>
      <c r="U111" s="46"/>
      <c r="V111" s="46" t="s">
        <v>213</v>
      </c>
      <c r="W111" s="46">
        <v>0</v>
      </c>
      <c r="X111" s="46"/>
      <c r="Y111" s="46">
        <v>0</v>
      </c>
    </row>
    <row r="112" spans="1:25" ht="14.4" customHeight="1" x14ac:dyDescent="0.3">
      <c r="A112" s="54">
        <v>46141</v>
      </c>
      <c r="B112" s="49" t="s">
        <v>17</v>
      </c>
      <c r="C112" s="49">
        <v>5</v>
      </c>
      <c r="D112" s="49" t="s">
        <v>106</v>
      </c>
      <c r="E112" s="50" t="str">
        <f t="shared" si="6"/>
        <v>SBM-NWP-G05-B1</v>
      </c>
      <c r="F112" s="49">
        <v>4317529.8</v>
      </c>
      <c r="G112" s="49">
        <v>528795.1</v>
      </c>
      <c r="H112" s="49">
        <v>1382</v>
      </c>
      <c r="I112" s="49" t="s">
        <v>107</v>
      </c>
      <c r="J112" s="49" t="s">
        <v>108</v>
      </c>
      <c r="K112" s="49">
        <v>0.01</v>
      </c>
      <c r="L112" s="49">
        <v>1342</v>
      </c>
      <c r="M112" s="49">
        <v>1351</v>
      </c>
      <c r="N112" s="49"/>
      <c r="O112" s="49"/>
      <c r="P112" s="50">
        <f t="shared" si="7"/>
        <v>10</v>
      </c>
      <c r="Q112" s="49">
        <v>2.9</v>
      </c>
      <c r="R112" s="49">
        <v>0</v>
      </c>
      <c r="S112" s="49" t="s">
        <v>125</v>
      </c>
      <c r="T112" s="49"/>
      <c r="U112" s="49"/>
      <c r="V112" s="49" t="s">
        <v>213</v>
      </c>
      <c r="W112" s="49">
        <v>0</v>
      </c>
      <c r="X112" s="49"/>
      <c r="Y112" s="49">
        <v>0</v>
      </c>
    </row>
    <row r="113" spans="1:25" ht="14.4" customHeight="1" x14ac:dyDescent="0.3">
      <c r="A113" s="53">
        <v>46141</v>
      </c>
      <c r="B113" s="46" t="s">
        <v>17</v>
      </c>
      <c r="C113" s="46">
        <v>5</v>
      </c>
      <c r="D113" s="46" t="s">
        <v>112</v>
      </c>
      <c r="E113" s="47" t="str">
        <f t="shared" si="6"/>
        <v>SBM-NWP-G05-B2</v>
      </c>
      <c r="F113" s="46">
        <v>4317528.5</v>
      </c>
      <c r="G113" s="46">
        <v>528801.19999999995</v>
      </c>
      <c r="H113" s="46">
        <v>1376</v>
      </c>
      <c r="I113" s="46" t="s">
        <v>113</v>
      </c>
      <c r="J113" s="46" t="s">
        <v>108</v>
      </c>
      <c r="K113" s="46">
        <v>0.01</v>
      </c>
      <c r="L113" s="46">
        <v>1352</v>
      </c>
      <c r="M113" s="46">
        <v>1362</v>
      </c>
      <c r="N113" s="46"/>
      <c r="O113" s="46"/>
      <c r="P113" s="47">
        <f t="shared" si="7"/>
        <v>11</v>
      </c>
      <c r="Q113" s="46">
        <v>22.08</v>
      </c>
      <c r="R113" s="46">
        <v>0</v>
      </c>
      <c r="S113" s="46" t="s">
        <v>125</v>
      </c>
      <c r="T113" s="46"/>
      <c r="U113" s="46"/>
      <c r="V113" s="46" t="s">
        <v>213</v>
      </c>
      <c r="W113" s="46">
        <v>0</v>
      </c>
      <c r="X113" s="46"/>
      <c r="Y113" s="46">
        <v>0</v>
      </c>
    </row>
    <row r="114" spans="1:25" ht="14.4" customHeight="1" x14ac:dyDescent="0.3">
      <c r="A114" s="54">
        <v>46141</v>
      </c>
      <c r="B114" s="49" t="s">
        <v>15</v>
      </c>
      <c r="C114" s="49">
        <v>11</v>
      </c>
      <c r="D114" s="49" t="s">
        <v>106</v>
      </c>
      <c r="E114" s="50" t="str">
        <f t="shared" si="6"/>
        <v>SBM-NWRP-G11-B1</v>
      </c>
      <c r="F114" s="49">
        <v>4317546.8</v>
      </c>
      <c r="G114" s="49">
        <v>529237.5</v>
      </c>
      <c r="H114" s="49">
        <v>1457</v>
      </c>
      <c r="I114" s="49" t="s">
        <v>107</v>
      </c>
      <c r="J114" s="49" t="s">
        <v>108</v>
      </c>
      <c r="K114" s="49">
        <v>0.01</v>
      </c>
      <c r="L114" s="49">
        <v>144</v>
      </c>
      <c r="M114" s="49">
        <v>153</v>
      </c>
      <c r="N114" s="49"/>
      <c r="O114" s="49"/>
      <c r="P114" s="50">
        <f t="shared" si="7"/>
        <v>10</v>
      </c>
      <c r="Q114" s="49">
        <v>1.07</v>
      </c>
      <c r="R114" s="49">
        <v>1.17</v>
      </c>
      <c r="S114" s="49" t="s">
        <v>125</v>
      </c>
      <c r="T114" s="49"/>
      <c r="U114" s="49"/>
      <c r="V114" s="49" t="s">
        <v>215</v>
      </c>
      <c r="W114" s="49">
        <v>0</v>
      </c>
      <c r="X114" s="49"/>
      <c r="Y114" s="49">
        <v>0</v>
      </c>
    </row>
    <row r="115" spans="1:25" ht="14.4" customHeight="1" x14ac:dyDescent="0.3">
      <c r="A115" s="53">
        <v>46141</v>
      </c>
      <c r="B115" s="46" t="s">
        <v>15</v>
      </c>
      <c r="C115" s="46">
        <v>11</v>
      </c>
      <c r="D115" s="46" t="s">
        <v>112</v>
      </c>
      <c r="E115" s="47" t="str">
        <f t="shared" si="6"/>
        <v>SBM-NWRP-G11-B2</v>
      </c>
      <c r="F115" s="46">
        <v>4317535.5</v>
      </c>
      <c r="G115" s="46">
        <v>529233.19999999995</v>
      </c>
      <c r="H115" s="46">
        <v>1409</v>
      </c>
      <c r="I115" s="46" t="s">
        <v>113</v>
      </c>
      <c r="J115" s="46" t="s">
        <v>108</v>
      </c>
      <c r="K115" s="46">
        <v>0.01</v>
      </c>
      <c r="L115" s="46">
        <v>154</v>
      </c>
      <c r="M115" s="46">
        <v>166</v>
      </c>
      <c r="N115" s="46"/>
      <c r="O115" s="46"/>
      <c r="P115" s="47">
        <f t="shared" si="7"/>
        <v>13</v>
      </c>
      <c r="Q115" s="46">
        <v>7.54</v>
      </c>
      <c r="R115" s="46">
        <v>4.42</v>
      </c>
      <c r="S115" s="46" t="s">
        <v>125</v>
      </c>
      <c r="T115" s="46"/>
      <c r="U115" s="46"/>
      <c r="V115" s="46" t="s">
        <v>215</v>
      </c>
      <c r="W115" s="46">
        <v>0</v>
      </c>
      <c r="X115" s="46" t="s">
        <v>216</v>
      </c>
      <c r="Y115" s="46">
        <v>0</v>
      </c>
    </row>
    <row r="116" spans="1:25" ht="14.4" customHeight="1" x14ac:dyDescent="0.3">
      <c r="A116" s="54">
        <v>46141</v>
      </c>
      <c r="B116" s="49" t="s">
        <v>15</v>
      </c>
      <c r="C116" s="49">
        <v>8</v>
      </c>
      <c r="D116" s="49" t="s">
        <v>106</v>
      </c>
      <c r="E116" s="50" t="str">
        <f t="shared" si="6"/>
        <v>SBM-NWRP-G08-B1</v>
      </c>
      <c r="F116" s="49">
        <v>4317551.5</v>
      </c>
      <c r="G116" s="49">
        <v>529120</v>
      </c>
      <c r="H116" s="49">
        <v>1385</v>
      </c>
      <c r="I116" s="49" t="s">
        <v>107</v>
      </c>
      <c r="J116" s="49" t="s">
        <v>108</v>
      </c>
      <c r="K116" s="49">
        <v>0.01</v>
      </c>
      <c r="L116" s="49">
        <v>167</v>
      </c>
      <c r="M116" s="49">
        <v>180</v>
      </c>
      <c r="N116" s="49"/>
      <c r="O116" s="49"/>
      <c r="P116" s="50">
        <f t="shared" si="7"/>
        <v>14</v>
      </c>
      <c r="Q116" s="49">
        <v>19.45</v>
      </c>
      <c r="R116" s="49">
        <v>25.15</v>
      </c>
      <c r="S116" s="49" t="s">
        <v>125</v>
      </c>
      <c r="T116" s="49"/>
      <c r="U116" s="49"/>
      <c r="V116" s="49" t="s">
        <v>215</v>
      </c>
      <c r="W116" s="49">
        <v>0</v>
      </c>
      <c r="X116" s="49"/>
      <c r="Y116" s="49">
        <v>0</v>
      </c>
    </row>
    <row r="117" spans="1:25" ht="14.4" customHeight="1" x14ac:dyDescent="0.3">
      <c r="A117" s="53">
        <v>46141</v>
      </c>
      <c r="B117" s="46" t="s">
        <v>15</v>
      </c>
      <c r="C117" s="46">
        <v>8</v>
      </c>
      <c r="D117" s="46" t="s">
        <v>112</v>
      </c>
      <c r="E117" s="47" t="str">
        <f t="shared" si="6"/>
        <v>SBM-NWRP-G08-B2</v>
      </c>
      <c r="F117" s="46">
        <v>4317559</v>
      </c>
      <c r="G117" s="46">
        <v>529124.9</v>
      </c>
      <c r="H117" s="46">
        <v>1350</v>
      </c>
      <c r="I117" s="46" t="s">
        <v>113</v>
      </c>
      <c r="J117" s="46" t="s">
        <v>108</v>
      </c>
      <c r="K117" s="46">
        <v>0.01</v>
      </c>
      <c r="L117" s="46">
        <v>181</v>
      </c>
      <c r="M117" s="46">
        <v>191</v>
      </c>
      <c r="N117" s="46"/>
      <c r="O117" s="46"/>
      <c r="P117" s="47">
        <f t="shared" si="7"/>
        <v>11</v>
      </c>
      <c r="Q117" s="46">
        <v>5.59</v>
      </c>
      <c r="R117" s="46">
        <v>23.8</v>
      </c>
      <c r="S117" s="46" t="s">
        <v>125</v>
      </c>
      <c r="T117" s="46"/>
      <c r="U117" s="46"/>
      <c r="V117" s="46" t="s">
        <v>215</v>
      </c>
      <c r="W117" s="46">
        <v>0</v>
      </c>
      <c r="X117" s="46" t="s">
        <v>217</v>
      </c>
      <c r="Y117" s="46">
        <v>1.71</v>
      </c>
    </row>
    <row r="118" spans="1:25" ht="14.4" customHeight="1" x14ac:dyDescent="0.3">
      <c r="A118" s="54">
        <v>46141</v>
      </c>
      <c r="B118" s="49" t="s">
        <v>15</v>
      </c>
      <c r="C118" s="49">
        <v>7</v>
      </c>
      <c r="D118" s="49" t="s">
        <v>106</v>
      </c>
      <c r="E118" s="50" t="str">
        <f t="shared" si="6"/>
        <v>SBM-NWRP-G07-B1</v>
      </c>
      <c r="F118" s="49">
        <v>4317578.8</v>
      </c>
      <c r="G118" s="49">
        <v>529096.80000000005</v>
      </c>
      <c r="H118" s="49">
        <v>1390</v>
      </c>
      <c r="I118" s="49" t="s">
        <v>107</v>
      </c>
      <c r="J118" s="49" t="s">
        <v>108</v>
      </c>
      <c r="K118" s="49">
        <v>0.01</v>
      </c>
      <c r="L118" s="49">
        <v>192</v>
      </c>
      <c r="M118" s="49">
        <v>203</v>
      </c>
      <c r="N118" s="49"/>
      <c r="O118" s="49"/>
      <c r="P118" s="50">
        <f t="shared" si="7"/>
        <v>12</v>
      </c>
      <c r="Q118" s="49">
        <v>66.150000000000006</v>
      </c>
      <c r="R118" s="49">
        <v>6.86</v>
      </c>
      <c r="S118" s="49" t="s">
        <v>125</v>
      </c>
      <c r="T118" s="49"/>
      <c r="U118" s="49"/>
      <c r="V118" s="49" t="s">
        <v>215</v>
      </c>
      <c r="W118" s="49">
        <v>0</v>
      </c>
      <c r="X118" s="49"/>
      <c r="Y118" s="49">
        <v>0</v>
      </c>
    </row>
    <row r="119" spans="1:25" ht="14.4" customHeight="1" x14ac:dyDescent="0.3">
      <c r="A119" s="53">
        <v>46141</v>
      </c>
      <c r="B119" s="46" t="s">
        <v>15</v>
      </c>
      <c r="C119" s="46">
        <v>7</v>
      </c>
      <c r="D119" s="46" t="s">
        <v>112</v>
      </c>
      <c r="E119" s="47" t="str">
        <f t="shared" si="6"/>
        <v>SBM-NWRP-G07-B2</v>
      </c>
      <c r="F119" s="46">
        <v>4317578</v>
      </c>
      <c r="G119" s="46">
        <v>529096</v>
      </c>
      <c r="H119" s="46">
        <v>1403</v>
      </c>
      <c r="I119" s="46" t="s">
        <v>113</v>
      </c>
      <c r="J119" s="46" t="s">
        <v>108</v>
      </c>
      <c r="K119" s="46">
        <v>0.01</v>
      </c>
      <c r="L119" s="46">
        <v>204</v>
      </c>
      <c r="M119" s="46">
        <v>213</v>
      </c>
      <c r="N119" s="46"/>
      <c r="O119" s="46"/>
      <c r="P119" s="47">
        <f t="shared" si="7"/>
        <v>10</v>
      </c>
      <c r="Q119" s="46">
        <v>14.38</v>
      </c>
      <c r="R119" s="46">
        <v>7.94</v>
      </c>
      <c r="S119" s="46" t="s">
        <v>125</v>
      </c>
      <c r="T119" s="46"/>
      <c r="U119" s="46"/>
      <c r="V119" s="46" t="s">
        <v>215</v>
      </c>
      <c r="W119" s="46">
        <v>0</v>
      </c>
      <c r="X119" s="46"/>
      <c r="Y119" s="46">
        <v>1.49</v>
      </c>
    </row>
    <row r="120" spans="1:25" ht="14.4" customHeight="1" x14ac:dyDescent="0.3">
      <c r="A120" s="54">
        <v>46141</v>
      </c>
      <c r="B120" s="49" t="s">
        <v>15</v>
      </c>
      <c r="C120" s="49">
        <v>5</v>
      </c>
      <c r="D120" s="49" t="s">
        <v>106</v>
      </c>
      <c r="E120" s="50" t="str">
        <f t="shared" si="6"/>
        <v>SBM-NWRP-G05-B1</v>
      </c>
      <c r="F120" s="49">
        <v>4317613</v>
      </c>
      <c r="G120" s="49">
        <v>529098</v>
      </c>
      <c r="H120" s="49">
        <v>1408</v>
      </c>
      <c r="I120" s="49" t="s">
        <v>107</v>
      </c>
      <c r="J120" s="49" t="s">
        <v>108</v>
      </c>
      <c r="K120" s="49">
        <v>0.01</v>
      </c>
      <c r="L120" s="49">
        <v>214</v>
      </c>
      <c r="M120" s="49">
        <v>223</v>
      </c>
      <c r="N120" s="49"/>
      <c r="O120" s="49"/>
      <c r="P120" s="50">
        <f t="shared" si="7"/>
        <v>10</v>
      </c>
      <c r="Q120" s="49">
        <v>15.68</v>
      </c>
      <c r="R120" s="49">
        <v>7.07</v>
      </c>
      <c r="S120" s="49" t="s">
        <v>125</v>
      </c>
      <c r="T120" s="49"/>
      <c r="U120" s="49"/>
      <c r="V120" s="49" t="s">
        <v>215</v>
      </c>
      <c r="W120" s="49">
        <v>0</v>
      </c>
      <c r="X120" s="49"/>
      <c r="Y120" s="49">
        <v>0</v>
      </c>
    </row>
    <row r="121" spans="1:25" ht="14.4" customHeight="1" x14ac:dyDescent="0.3">
      <c r="A121" s="53">
        <v>46141</v>
      </c>
      <c r="B121" s="46" t="s">
        <v>15</v>
      </c>
      <c r="C121" s="46">
        <v>5</v>
      </c>
      <c r="D121" s="46" t="s">
        <v>112</v>
      </c>
      <c r="E121" s="47" t="str">
        <f t="shared" si="6"/>
        <v>SBM-NWRP-G05-B2</v>
      </c>
      <c r="F121" s="46">
        <v>4317610.2</v>
      </c>
      <c r="G121" s="46">
        <v>529101.80000000005</v>
      </c>
      <c r="H121" s="46">
        <v>1387</v>
      </c>
      <c r="I121" s="46" t="s">
        <v>113</v>
      </c>
      <c r="J121" s="46" t="s">
        <v>108</v>
      </c>
      <c r="K121" s="46">
        <v>0.01</v>
      </c>
      <c r="L121" s="46">
        <v>224</v>
      </c>
      <c r="M121" s="46">
        <v>234</v>
      </c>
      <c r="N121" s="46"/>
      <c r="O121" s="46"/>
      <c r="P121" s="47">
        <f t="shared" si="7"/>
        <v>11</v>
      </c>
      <c r="Q121" s="46">
        <v>54.45</v>
      </c>
      <c r="R121" s="46">
        <v>0.56000000000000005</v>
      </c>
      <c r="S121" s="46" t="s">
        <v>125</v>
      </c>
      <c r="T121" s="46"/>
      <c r="U121" s="46"/>
      <c r="V121" s="46" t="s">
        <v>215</v>
      </c>
      <c r="W121" s="46">
        <v>0</v>
      </c>
      <c r="X121" s="46" t="s">
        <v>218</v>
      </c>
      <c r="Y121" s="46">
        <v>6.15</v>
      </c>
    </row>
    <row r="122" spans="1:25" ht="14.4" customHeight="1" x14ac:dyDescent="0.3">
      <c r="A122" s="54">
        <v>46141</v>
      </c>
      <c r="B122" s="49" t="s">
        <v>15</v>
      </c>
      <c r="C122" s="49">
        <v>6</v>
      </c>
      <c r="D122" s="49" t="s">
        <v>106</v>
      </c>
      <c r="E122" s="50" t="str">
        <f t="shared" si="6"/>
        <v>SBM-NWRP-G06-B1</v>
      </c>
      <c r="F122" s="49">
        <v>4317625</v>
      </c>
      <c r="G122" s="49">
        <v>529147.19999999995</v>
      </c>
      <c r="H122" s="49">
        <v>1392</v>
      </c>
      <c r="I122" s="49" t="s">
        <v>107</v>
      </c>
      <c r="J122" s="49" t="s">
        <v>108</v>
      </c>
      <c r="K122" s="49">
        <v>0.01</v>
      </c>
      <c r="L122" s="49">
        <v>235</v>
      </c>
      <c r="M122" s="49">
        <v>244</v>
      </c>
      <c r="N122" s="49"/>
      <c r="O122" s="49"/>
      <c r="P122" s="50">
        <f t="shared" si="7"/>
        <v>10</v>
      </c>
      <c r="Q122" s="49">
        <v>28.8</v>
      </c>
      <c r="R122" s="49">
        <v>14.87</v>
      </c>
      <c r="S122" s="49" t="s">
        <v>125</v>
      </c>
      <c r="T122" s="49"/>
      <c r="U122" s="49"/>
      <c r="V122" s="49" t="s">
        <v>215</v>
      </c>
      <c r="W122" s="49">
        <v>0</v>
      </c>
      <c r="X122" s="49"/>
      <c r="Y122" s="49">
        <v>2.76</v>
      </c>
    </row>
    <row r="123" spans="1:25" ht="14.4" customHeight="1" x14ac:dyDescent="0.3">
      <c r="A123" s="53">
        <v>46141</v>
      </c>
      <c r="B123" s="46" t="s">
        <v>15</v>
      </c>
      <c r="C123" s="46">
        <v>6</v>
      </c>
      <c r="D123" s="46" t="s">
        <v>112</v>
      </c>
      <c r="E123" s="47" t="str">
        <f t="shared" si="6"/>
        <v>SBM-NWRP-G06-B2</v>
      </c>
      <c r="F123" s="46">
        <v>4317627.5</v>
      </c>
      <c r="G123" s="46">
        <v>529148.80000000005</v>
      </c>
      <c r="H123" s="46">
        <v>1382</v>
      </c>
      <c r="I123" s="46" t="s">
        <v>113</v>
      </c>
      <c r="J123" s="46" t="s">
        <v>108</v>
      </c>
      <c r="K123" s="46">
        <v>0.01</v>
      </c>
      <c r="L123" s="46">
        <v>245</v>
      </c>
      <c r="M123" s="46">
        <v>257</v>
      </c>
      <c r="N123" s="46"/>
      <c r="O123" s="46"/>
      <c r="P123" s="47">
        <f t="shared" si="7"/>
        <v>13</v>
      </c>
      <c r="Q123" s="46">
        <v>10.96</v>
      </c>
      <c r="R123" s="46">
        <v>20.86</v>
      </c>
      <c r="S123" s="46" t="s">
        <v>125</v>
      </c>
      <c r="T123" s="46"/>
      <c r="U123" s="46"/>
      <c r="V123" s="46" t="s">
        <v>215</v>
      </c>
      <c r="W123" s="46">
        <v>0</v>
      </c>
      <c r="X123" s="46" t="s">
        <v>219</v>
      </c>
      <c r="Y123" s="46">
        <v>0</v>
      </c>
    </row>
    <row r="124" spans="1:25" ht="14.4" customHeight="1" x14ac:dyDescent="0.3">
      <c r="A124" s="54">
        <v>46142</v>
      </c>
      <c r="B124" s="49" t="s">
        <v>17</v>
      </c>
      <c r="C124" s="49">
        <v>9</v>
      </c>
      <c r="D124" s="49" t="s">
        <v>106</v>
      </c>
      <c r="E124" s="50" t="str">
        <f t="shared" si="6"/>
        <v>SBM-NWP-G09-B1</v>
      </c>
      <c r="F124" s="49">
        <v>4317499</v>
      </c>
      <c r="G124" s="49">
        <v>528800.1</v>
      </c>
      <c r="H124" s="49">
        <v>1292</v>
      </c>
      <c r="I124" s="49" t="s">
        <v>107</v>
      </c>
      <c r="J124" s="49" t="s">
        <v>108</v>
      </c>
      <c r="K124" s="49">
        <v>0.01</v>
      </c>
      <c r="L124" s="49">
        <v>1367</v>
      </c>
      <c r="M124" s="49">
        <v>1378</v>
      </c>
      <c r="N124" s="49"/>
      <c r="O124" s="49"/>
      <c r="P124" s="50">
        <f t="shared" si="7"/>
        <v>12</v>
      </c>
      <c r="Q124" s="49">
        <v>3.68</v>
      </c>
      <c r="R124" s="49">
        <v>1.66</v>
      </c>
      <c r="S124" s="49" t="s">
        <v>125</v>
      </c>
      <c r="T124" s="49"/>
      <c r="U124" s="49"/>
      <c r="V124" s="49" t="s">
        <v>220</v>
      </c>
      <c r="W124" s="49">
        <v>0</v>
      </c>
      <c r="X124" s="49"/>
      <c r="Y124" s="49">
        <v>1.1599999999999999</v>
      </c>
    </row>
    <row r="125" spans="1:25" ht="14.4" customHeight="1" x14ac:dyDescent="0.3">
      <c r="A125" s="53">
        <v>46142</v>
      </c>
      <c r="B125" s="46" t="s">
        <v>17</v>
      </c>
      <c r="C125" s="46">
        <v>12</v>
      </c>
      <c r="D125" s="46" t="s">
        <v>106</v>
      </c>
      <c r="E125" s="47" t="str">
        <f t="shared" si="6"/>
        <v>SBM-NWP-G12-B1</v>
      </c>
      <c r="F125" s="46">
        <v>4317475.5</v>
      </c>
      <c r="G125" s="46">
        <v>528821.19999999995</v>
      </c>
      <c r="H125" s="46">
        <v>1377</v>
      </c>
      <c r="I125" s="46" t="s">
        <v>107</v>
      </c>
      <c r="J125" s="46" t="s">
        <v>108</v>
      </c>
      <c r="K125" s="46">
        <v>0.01</v>
      </c>
      <c r="L125" s="46">
        <v>1379</v>
      </c>
      <c r="M125" s="46">
        <v>1391</v>
      </c>
      <c r="N125" s="46"/>
      <c r="O125" s="46"/>
      <c r="P125" s="47">
        <f t="shared" si="7"/>
        <v>13</v>
      </c>
      <c r="Q125" s="46">
        <v>144.93</v>
      </c>
      <c r="R125" s="46">
        <v>2.0299999999999998</v>
      </c>
      <c r="S125" s="46" t="s">
        <v>125</v>
      </c>
      <c r="T125" s="46"/>
      <c r="U125" s="46"/>
      <c r="V125" s="46" t="s">
        <v>220</v>
      </c>
      <c r="W125" s="46">
        <v>0</v>
      </c>
      <c r="X125" s="46" t="s">
        <v>221</v>
      </c>
      <c r="Y125" s="46">
        <v>0</v>
      </c>
    </row>
    <row r="126" spans="1:25" ht="14.4" customHeight="1" x14ac:dyDescent="0.3">
      <c r="A126" s="54">
        <v>46142</v>
      </c>
      <c r="B126" s="49" t="s">
        <v>16</v>
      </c>
      <c r="C126" s="49">
        <v>15</v>
      </c>
      <c r="D126" s="49" t="s">
        <v>106</v>
      </c>
      <c r="E126" s="50" t="str">
        <f t="shared" si="6"/>
        <v>SBM-NWWRP-G15-B1</v>
      </c>
      <c r="F126" s="49">
        <v>4317682.2</v>
      </c>
      <c r="G126" s="49">
        <v>528850.30000000005</v>
      </c>
      <c r="H126" s="49">
        <v>1347</v>
      </c>
      <c r="I126" s="49" t="s">
        <v>107</v>
      </c>
      <c r="J126" s="49" t="s">
        <v>108</v>
      </c>
      <c r="K126" s="49">
        <v>0.01</v>
      </c>
      <c r="L126" s="49">
        <v>1392</v>
      </c>
      <c r="M126" s="49">
        <v>1401</v>
      </c>
      <c r="N126" s="49"/>
      <c r="O126" s="49"/>
      <c r="P126" s="50">
        <f t="shared" si="7"/>
        <v>10</v>
      </c>
      <c r="Q126" s="49">
        <v>1.24</v>
      </c>
      <c r="R126" s="49">
        <v>0.31</v>
      </c>
      <c r="S126" s="49" t="s">
        <v>125</v>
      </c>
      <c r="T126" s="49"/>
      <c r="U126" s="49"/>
      <c r="V126" s="49" t="s">
        <v>220</v>
      </c>
      <c r="W126" s="49">
        <v>0</v>
      </c>
      <c r="X126" s="49"/>
      <c r="Y126" s="49">
        <v>0</v>
      </c>
    </row>
    <row r="127" spans="1:25" ht="14.4" customHeight="1" x14ac:dyDescent="0.3">
      <c r="A127" s="53">
        <v>46142</v>
      </c>
      <c r="B127" s="46" t="s">
        <v>15</v>
      </c>
      <c r="C127" s="46">
        <v>2</v>
      </c>
      <c r="D127" s="46" t="s">
        <v>106</v>
      </c>
      <c r="E127" s="47" t="str">
        <f t="shared" si="6"/>
        <v>SBM-NWRP-G02-B1</v>
      </c>
      <c r="F127" s="46">
        <v>4317653.5</v>
      </c>
      <c r="G127" s="46">
        <v>529171.1</v>
      </c>
      <c r="H127" s="46">
        <v>1365</v>
      </c>
      <c r="I127" s="46" t="s">
        <v>107</v>
      </c>
      <c r="J127" s="46" t="s">
        <v>108</v>
      </c>
      <c r="K127" s="46">
        <v>0.01</v>
      </c>
      <c r="L127" s="46">
        <v>264</v>
      </c>
      <c r="M127" s="46">
        <v>273</v>
      </c>
      <c r="N127" s="46"/>
      <c r="O127" s="46"/>
      <c r="P127" s="47">
        <f t="shared" si="7"/>
        <v>10</v>
      </c>
      <c r="Q127" s="46">
        <v>19.47</v>
      </c>
      <c r="R127" s="46">
        <v>4.33</v>
      </c>
      <c r="S127" s="46" t="s">
        <v>125</v>
      </c>
      <c r="T127" s="46"/>
      <c r="U127" s="46"/>
      <c r="V127" s="46" t="s">
        <v>222</v>
      </c>
      <c r="W127" s="46">
        <v>0</v>
      </c>
      <c r="X127" s="46"/>
      <c r="Y127" s="46">
        <v>0</v>
      </c>
    </row>
    <row r="128" spans="1:25" ht="14.4" customHeight="1" x14ac:dyDescent="0.3">
      <c r="A128" s="54">
        <v>46142</v>
      </c>
      <c r="B128" s="49" t="s">
        <v>17</v>
      </c>
      <c r="C128" s="49">
        <v>6</v>
      </c>
      <c r="D128" s="49" t="s">
        <v>106</v>
      </c>
      <c r="E128" s="50" t="str">
        <f t="shared" si="6"/>
        <v>SBM-NWP-G06-B1</v>
      </c>
      <c r="F128" s="49">
        <v>4317516.5</v>
      </c>
      <c r="G128" s="49">
        <v>528802.1</v>
      </c>
      <c r="H128" s="49">
        <v>1396</v>
      </c>
      <c r="I128" s="49" t="s">
        <v>107</v>
      </c>
      <c r="J128" s="49" t="s">
        <v>108</v>
      </c>
      <c r="K128" s="49">
        <v>0.01</v>
      </c>
      <c r="L128" s="49">
        <v>274</v>
      </c>
      <c r="M128" s="49">
        <v>284</v>
      </c>
      <c r="N128" s="49"/>
      <c r="O128" s="49"/>
      <c r="P128" s="50">
        <f t="shared" si="7"/>
        <v>11</v>
      </c>
      <c r="Q128" s="49">
        <v>5.75</v>
      </c>
      <c r="R128" s="49">
        <v>0.5</v>
      </c>
      <c r="S128" s="49" t="s">
        <v>125</v>
      </c>
      <c r="T128" s="49"/>
      <c r="U128" s="49"/>
      <c r="V128" s="49" t="s">
        <v>222</v>
      </c>
      <c r="W128" s="49">
        <v>0</v>
      </c>
      <c r="X128" s="49"/>
      <c r="Y128" s="49">
        <v>0</v>
      </c>
    </row>
    <row r="129" spans="1:25" ht="14.4" customHeight="1" x14ac:dyDescent="0.3">
      <c r="A129" s="53">
        <v>46142</v>
      </c>
      <c r="B129" s="46" t="s">
        <v>17</v>
      </c>
      <c r="C129" s="46">
        <v>6</v>
      </c>
      <c r="D129" s="46" t="s">
        <v>112</v>
      </c>
      <c r="E129" s="47" t="str">
        <f t="shared" si="6"/>
        <v>SBM-NWP-G06-B2</v>
      </c>
      <c r="F129" s="46">
        <v>4317515.2</v>
      </c>
      <c r="G129" s="46">
        <v>528802.19999999995</v>
      </c>
      <c r="H129" s="46">
        <v>1387</v>
      </c>
      <c r="I129" s="46" t="s">
        <v>113</v>
      </c>
      <c r="J129" s="46" t="s">
        <v>108</v>
      </c>
      <c r="K129" s="46">
        <v>0.01</v>
      </c>
      <c r="L129" s="46">
        <v>285</v>
      </c>
      <c r="M129" s="46">
        <v>296</v>
      </c>
      <c r="N129" s="46"/>
      <c r="O129" s="46"/>
      <c r="P129" s="47">
        <f t="shared" si="7"/>
        <v>12</v>
      </c>
      <c r="Q129" s="46">
        <v>11.48</v>
      </c>
      <c r="R129" s="46">
        <v>8.3000000000000007</v>
      </c>
      <c r="S129" s="46" t="s">
        <v>125</v>
      </c>
      <c r="T129" s="46"/>
      <c r="U129" s="46"/>
      <c r="V129" s="46" t="s">
        <v>222</v>
      </c>
      <c r="W129" s="46">
        <v>0</v>
      </c>
      <c r="X129" s="46"/>
      <c r="Y129" s="46">
        <v>4.4000000000000004</v>
      </c>
    </row>
    <row r="130" spans="1:25" ht="14.4" customHeight="1" x14ac:dyDescent="0.3">
      <c r="A130" s="54">
        <v>46142</v>
      </c>
      <c r="B130" s="49" t="s">
        <v>17</v>
      </c>
      <c r="C130" s="49">
        <v>11</v>
      </c>
      <c r="D130" s="49" t="s">
        <v>106</v>
      </c>
      <c r="E130" s="50" t="str">
        <f t="shared" si="6"/>
        <v>SBM-NWP-G11-B1</v>
      </c>
      <c r="F130" s="49">
        <v>4317491</v>
      </c>
      <c r="G130" s="49">
        <v>528819.80000000005</v>
      </c>
      <c r="H130" s="49">
        <v>1352</v>
      </c>
      <c r="I130" s="49" t="s">
        <v>107</v>
      </c>
      <c r="J130" s="49" t="s">
        <v>108</v>
      </c>
      <c r="K130" s="49">
        <v>0.01</v>
      </c>
      <c r="L130" s="49">
        <v>297</v>
      </c>
      <c r="M130" s="49">
        <v>308</v>
      </c>
      <c r="N130" s="49"/>
      <c r="O130" s="49"/>
      <c r="P130" s="50">
        <f t="shared" si="7"/>
        <v>12</v>
      </c>
      <c r="Q130" s="49">
        <v>13.94</v>
      </c>
      <c r="R130" s="49">
        <v>0.92</v>
      </c>
      <c r="S130" s="49" t="s">
        <v>125</v>
      </c>
      <c r="T130" s="49"/>
      <c r="U130" s="49"/>
      <c r="V130" s="49" t="s">
        <v>222</v>
      </c>
      <c r="W130" s="49">
        <v>0</v>
      </c>
      <c r="X130" s="49" t="s">
        <v>223</v>
      </c>
      <c r="Y130" s="49">
        <v>0</v>
      </c>
    </row>
    <row r="131" spans="1:25" ht="14.4" customHeight="1" x14ac:dyDescent="0.3">
      <c r="A131" s="53">
        <v>46142</v>
      </c>
      <c r="B131" s="46" t="s">
        <v>17</v>
      </c>
      <c r="C131" s="46">
        <v>11</v>
      </c>
      <c r="D131" s="46" t="s">
        <v>112</v>
      </c>
      <c r="E131" s="47" t="str">
        <f t="shared" si="6"/>
        <v>SBM-NWP-G11-B2</v>
      </c>
      <c r="F131" s="46">
        <v>4317489.5</v>
      </c>
      <c r="G131" s="46">
        <v>528809.80000000005</v>
      </c>
      <c r="H131" s="46">
        <v>1343</v>
      </c>
      <c r="I131" s="46" t="s">
        <v>113</v>
      </c>
      <c r="J131" s="46" t="s">
        <v>108</v>
      </c>
      <c r="K131" s="46">
        <v>0.01</v>
      </c>
      <c r="L131" s="46">
        <v>309</v>
      </c>
      <c r="M131" s="46">
        <v>321</v>
      </c>
      <c r="N131" s="46"/>
      <c r="O131" s="46"/>
      <c r="P131" s="47">
        <f t="shared" si="7"/>
        <v>13</v>
      </c>
      <c r="Q131" s="46">
        <v>34.15</v>
      </c>
      <c r="R131" s="46">
        <v>0.9</v>
      </c>
      <c r="S131" s="46" t="s">
        <v>125</v>
      </c>
      <c r="T131" s="46"/>
      <c r="U131" s="46"/>
      <c r="V131" s="46" t="s">
        <v>222</v>
      </c>
      <c r="W131" s="46">
        <v>0</v>
      </c>
      <c r="X131" s="46"/>
      <c r="Y131" s="46">
        <v>0</v>
      </c>
    </row>
    <row r="132" spans="1:25" ht="14.4" customHeight="1" x14ac:dyDescent="0.3">
      <c r="A132" s="54">
        <v>46142</v>
      </c>
      <c r="B132" s="49" t="s">
        <v>17</v>
      </c>
      <c r="C132" s="49">
        <v>14</v>
      </c>
      <c r="D132" s="49" t="s">
        <v>106</v>
      </c>
      <c r="E132" s="50" t="str">
        <f t="shared" si="6"/>
        <v>SBM-NWP-G14-B1</v>
      </c>
      <c r="F132" s="49">
        <v>4317461.8</v>
      </c>
      <c r="G132" s="49">
        <v>528827.30000000005</v>
      </c>
      <c r="H132" s="49">
        <v>1383</v>
      </c>
      <c r="I132" s="49" t="s">
        <v>107</v>
      </c>
      <c r="J132" s="49" t="s">
        <v>108</v>
      </c>
      <c r="K132" s="49">
        <v>0.01</v>
      </c>
      <c r="L132" s="49">
        <v>324</v>
      </c>
      <c r="M132" s="49">
        <v>338</v>
      </c>
      <c r="N132" s="49"/>
      <c r="O132" s="49"/>
      <c r="P132" s="50">
        <f t="shared" si="7"/>
        <v>15</v>
      </c>
      <c r="Q132" s="49">
        <v>377.57</v>
      </c>
      <c r="R132" s="49">
        <v>3.59</v>
      </c>
      <c r="S132" s="49" t="s">
        <v>125</v>
      </c>
      <c r="T132" s="49"/>
      <c r="U132" s="49"/>
      <c r="V132" s="49" t="s">
        <v>222</v>
      </c>
      <c r="W132" s="49">
        <v>0</v>
      </c>
      <c r="X132" s="49" t="s">
        <v>224</v>
      </c>
      <c r="Y132" s="49">
        <v>0</v>
      </c>
    </row>
    <row r="133" spans="1:25" ht="14.4" customHeight="1" x14ac:dyDescent="0.3">
      <c r="A133" s="53">
        <v>46142</v>
      </c>
      <c r="B133" s="46" t="s">
        <v>17</v>
      </c>
      <c r="C133" s="46">
        <v>14</v>
      </c>
      <c r="D133" s="46" t="s">
        <v>112</v>
      </c>
      <c r="E133" s="47" t="str">
        <f t="shared" ref="E133:E164" si="8">IF(B133="","","SBM-"&amp;B133&amp;"-G"&amp;TEXT(C133,"00")&amp;"-"&amp;D133)</f>
        <v>SBM-NWP-G14-B2</v>
      </c>
      <c r="F133" s="46">
        <v>4317460.2</v>
      </c>
      <c r="G133" s="46">
        <v>528824.80000000005</v>
      </c>
      <c r="H133" s="46">
        <v>1386</v>
      </c>
      <c r="I133" s="46" t="s">
        <v>113</v>
      </c>
      <c r="J133" s="46" t="s">
        <v>108</v>
      </c>
      <c r="K133" s="46">
        <v>0.01</v>
      </c>
      <c r="L133" s="46">
        <v>339</v>
      </c>
      <c r="M133" s="46">
        <v>350</v>
      </c>
      <c r="N133" s="46"/>
      <c r="O133" s="46"/>
      <c r="P133" s="47">
        <f t="shared" ref="P133:P164" si="9">IF(L133="","",(M133-L133+1)+IF(N133="",0,O133-N133+1))</f>
        <v>12</v>
      </c>
      <c r="Q133" s="46">
        <v>12.7</v>
      </c>
      <c r="R133" s="46">
        <v>1.1100000000000001</v>
      </c>
      <c r="S133" s="46" t="s">
        <v>125</v>
      </c>
      <c r="T133" s="46"/>
      <c r="U133" s="46"/>
      <c r="V133" s="46" t="s">
        <v>222</v>
      </c>
      <c r="W133" s="46">
        <v>0</v>
      </c>
      <c r="X133" s="46"/>
      <c r="Y133" s="46">
        <v>0</v>
      </c>
    </row>
    <row r="134" spans="1:25" ht="14.4" customHeight="1" x14ac:dyDescent="0.3">
      <c r="A134" s="54">
        <v>46143</v>
      </c>
      <c r="B134" s="49" t="s">
        <v>17</v>
      </c>
      <c r="C134" s="49">
        <v>4</v>
      </c>
      <c r="D134" s="49" t="s">
        <v>106</v>
      </c>
      <c r="E134" s="50" t="str">
        <f t="shared" si="8"/>
        <v>SBM-NWP-G04-B1</v>
      </c>
      <c r="F134" s="49">
        <v>4317503.8</v>
      </c>
      <c r="G134" s="49">
        <v>528758.80000000005</v>
      </c>
      <c r="H134" s="49">
        <v>1393</v>
      </c>
      <c r="I134" s="49" t="s">
        <v>107</v>
      </c>
      <c r="J134" s="49" t="s">
        <v>108</v>
      </c>
      <c r="K134" s="49">
        <v>0.01</v>
      </c>
      <c r="L134" s="49">
        <v>1406</v>
      </c>
      <c r="M134" s="49">
        <v>1417</v>
      </c>
      <c r="N134" s="49"/>
      <c r="O134" s="49"/>
      <c r="P134" s="50">
        <f t="shared" si="9"/>
        <v>12</v>
      </c>
      <c r="Q134" s="49">
        <v>11.78</v>
      </c>
      <c r="R134" s="49">
        <v>20.71</v>
      </c>
      <c r="S134" s="49" t="s">
        <v>125</v>
      </c>
      <c r="T134" s="49"/>
      <c r="U134" s="49"/>
      <c r="V134" s="49" t="s">
        <v>225</v>
      </c>
      <c r="W134" s="49">
        <v>0</v>
      </c>
      <c r="X134" s="49" t="s">
        <v>226</v>
      </c>
      <c r="Y134" s="49">
        <v>0</v>
      </c>
    </row>
    <row r="135" spans="1:25" ht="14.4" customHeight="1" x14ac:dyDescent="0.3">
      <c r="A135" s="53">
        <v>46143</v>
      </c>
      <c r="B135" s="46" t="s">
        <v>17</v>
      </c>
      <c r="C135" s="46">
        <v>8</v>
      </c>
      <c r="D135" s="46" t="s">
        <v>106</v>
      </c>
      <c r="E135" s="47" t="str">
        <f t="shared" si="8"/>
        <v>SBM-NWP-G08-B1</v>
      </c>
      <c r="F135" s="46">
        <v>4317485.8</v>
      </c>
      <c r="G135" s="46">
        <v>528750.6</v>
      </c>
      <c r="H135" s="46">
        <v>1371</v>
      </c>
      <c r="I135" s="46" t="s">
        <v>107</v>
      </c>
      <c r="J135" s="46" t="s">
        <v>108</v>
      </c>
      <c r="K135" s="46">
        <v>0.01</v>
      </c>
      <c r="L135" s="46">
        <v>1418</v>
      </c>
      <c r="M135" s="46">
        <v>1428</v>
      </c>
      <c r="N135" s="46"/>
      <c r="O135" s="46"/>
      <c r="P135" s="47">
        <f t="shared" si="9"/>
        <v>11</v>
      </c>
      <c r="Q135" s="46">
        <v>43.87</v>
      </c>
      <c r="R135" s="46">
        <v>0</v>
      </c>
      <c r="S135" s="46" t="s">
        <v>125</v>
      </c>
      <c r="T135" s="46"/>
      <c r="U135" s="46"/>
      <c r="V135" s="46" t="s">
        <v>225</v>
      </c>
      <c r="W135" s="46">
        <v>0</v>
      </c>
      <c r="X135" s="46" t="s">
        <v>227</v>
      </c>
      <c r="Y135" s="46">
        <v>0</v>
      </c>
    </row>
    <row r="136" spans="1:25" ht="14.4" customHeight="1" x14ac:dyDescent="0.3">
      <c r="A136" s="54">
        <v>46143</v>
      </c>
      <c r="B136" s="49" t="s">
        <v>16</v>
      </c>
      <c r="C136" s="49">
        <v>2</v>
      </c>
      <c r="D136" s="49" t="s">
        <v>106</v>
      </c>
      <c r="E136" s="50" t="str">
        <f t="shared" si="8"/>
        <v>SBM-NWWRP-G02-B1</v>
      </c>
      <c r="F136" s="49">
        <v>4317738.5</v>
      </c>
      <c r="G136" s="49">
        <v>528799.30000000005</v>
      </c>
      <c r="H136" s="49">
        <v>1317</v>
      </c>
      <c r="I136" s="49" t="s">
        <v>107</v>
      </c>
      <c r="J136" s="49" t="s">
        <v>108</v>
      </c>
      <c r="K136" s="49">
        <v>0.01</v>
      </c>
      <c r="L136" s="49">
        <v>1429</v>
      </c>
      <c r="M136" s="49">
        <v>1439</v>
      </c>
      <c r="N136" s="49"/>
      <c r="O136" s="49"/>
      <c r="P136" s="50">
        <f t="shared" si="9"/>
        <v>11</v>
      </c>
      <c r="Q136" s="49">
        <v>4.68</v>
      </c>
      <c r="R136" s="49">
        <v>0.47</v>
      </c>
      <c r="S136" s="49" t="s">
        <v>125</v>
      </c>
      <c r="T136" s="49"/>
      <c r="U136" s="49"/>
      <c r="V136" s="49" t="s">
        <v>225</v>
      </c>
      <c r="W136" s="49">
        <v>0</v>
      </c>
      <c r="X136" s="49" t="s">
        <v>228</v>
      </c>
      <c r="Y136" s="49">
        <v>0</v>
      </c>
    </row>
    <row r="137" spans="1:25" ht="14.4" customHeight="1" x14ac:dyDescent="0.3">
      <c r="A137" s="53">
        <v>46143</v>
      </c>
      <c r="B137" s="46" t="s">
        <v>16</v>
      </c>
      <c r="C137" s="46">
        <v>4</v>
      </c>
      <c r="D137" s="46" t="s">
        <v>106</v>
      </c>
      <c r="E137" s="47" t="str">
        <f t="shared" si="8"/>
        <v>SBM-NWWRP-G04-B1</v>
      </c>
      <c r="F137" s="46">
        <v>4317740.5</v>
      </c>
      <c r="G137" s="46">
        <v>528822.30000000005</v>
      </c>
      <c r="H137" s="46">
        <v>1276</v>
      </c>
      <c r="I137" s="46" t="s">
        <v>107</v>
      </c>
      <c r="J137" s="46" t="s">
        <v>108</v>
      </c>
      <c r="K137" s="46">
        <v>0.01</v>
      </c>
      <c r="L137" s="46">
        <v>1440</v>
      </c>
      <c r="M137" s="46">
        <v>1449</v>
      </c>
      <c r="N137" s="46"/>
      <c r="O137" s="46"/>
      <c r="P137" s="47">
        <f t="shared" si="9"/>
        <v>10</v>
      </c>
      <c r="Q137" s="46">
        <v>4.66</v>
      </c>
      <c r="R137" s="46">
        <v>0.22</v>
      </c>
      <c r="S137" s="46" t="s">
        <v>125</v>
      </c>
      <c r="T137" s="46"/>
      <c r="U137" s="46"/>
      <c r="V137" s="46" t="s">
        <v>225</v>
      </c>
      <c r="W137" s="46">
        <v>0</v>
      </c>
      <c r="X137" s="46"/>
      <c r="Y137" s="46">
        <v>0.62</v>
      </c>
    </row>
    <row r="138" spans="1:25" ht="14.4" customHeight="1" x14ac:dyDescent="0.3">
      <c r="A138" s="54">
        <v>46143</v>
      </c>
      <c r="B138" s="49" t="s">
        <v>16</v>
      </c>
      <c r="C138" s="49">
        <v>5</v>
      </c>
      <c r="D138" s="49" t="s">
        <v>106</v>
      </c>
      <c r="E138" s="50" t="str">
        <f t="shared" si="8"/>
        <v>SBM-NWWRP-G05-B1</v>
      </c>
      <c r="F138" s="49">
        <v>4317747.5</v>
      </c>
      <c r="G138" s="49">
        <v>528838.1</v>
      </c>
      <c r="H138" s="49">
        <v>1297</v>
      </c>
      <c r="I138" s="49" t="s">
        <v>107</v>
      </c>
      <c r="J138" s="49" t="s">
        <v>108</v>
      </c>
      <c r="K138" s="49">
        <v>0.01</v>
      </c>
      <c r="L138" s="49">
        <v>1450</v>
      </c>
      <c r="M138" s="49">
        <v>1460</v>
      </c>
      <c r="N138" s="49"/>
      <c r="O138" s="49"/>
      <c r="P138" s="50">
        <f t="shared" si="9"/>
        <v>11</v>
      </c>
      <c r="Q138" s="49">
        <v>9</v>
      </c>
      <c r="R138" s="49">
        <v>0</v>
      </c>
      <c r="S138" s="49" t="s">
        <v>125</v>
      </c>
      <c r="T138" s="49"/>
      <c r="U138" s="49"/>
      <c r="V138" s="49" t="s">
        <v>225</v>
      </c>
      <c r="W138" s="49">
        <v>0</v>
      </c>
      <c r="X138" s="49" t="s">
        <v>229</v>
      </c>
      <c r="Y138" s="49">
        <v>0</v>
      </c>
    </row>
    <row r="139" spans="1:25" ht="14.4" customHeight="1" x14ac:dyDescent="0.3">
      <c r="A139" s="53">
        <v>46143</v>
      </c>
      <c r="B139" s="46" t="s">
        <v>16</v>
      </c>
      <c r="C139" s="46">
        <v>8</v>
      </c>
      <c r="D139" s="46" t="s">
        <v>106</v>
      </c>
      <c r="E139" s="47" t="str">
        <f t="shared" si="8"/>
        <v>SBM-NWWRP-G08-B1</v>
      </c>
      <c r="F139" s="46">
        <v>4317731.8</v>
      </c>
      <c r="G139" s="46">
        <v>528862</v>
      </c>
      <c r="H139" s="46">
        <v>1347</v>
      </c>
      <c r="I139" s="46" t="s">
        <v>107</v>
      </c>
      <c r="J139" s="46" t="s">
        <v>108</v>
      </c>
      <c r="K139" s="46">
        <v>0.01</v>
      </c>
      <c r="L139" s="46">
        <v>1461</v>
      </c>
      <c r="M139" s="46">
        <v>1470</v>
      </c>
      <c r="N139" s="46"/>
      <c r="O139" s="46"/>
      <c r="P139" s="47">
        <f t="shared" si="9"/>
        <v>10</v>
      </c>
      <c r="Q139" s="46">
        <v>11.06</v>
      </c>
      <c r="R139" s="46">
        <v>0</v>
      </c>
      <c r="S139" s="46" t="s">
        <v>125</v>
      </c>
      <c r="T139" s="46"/>
      <c r="U139" s="46"/>
      <c r="V139" s="46" t="s">
        <v>225</v>
      </c>
      <c r="W139" s="46">
        <v>0</v>
      </c>
      <c r="X139" s="46"/>
      <c r="Y139" s="46">
        <v>0.44</v>
      </c>
    </row>
    <row r="140" spans="1:25" ht="14.4" customHeight="1" x14ac:dyDescent="0.3">
      <c r="A140" s="54">
        <v>46143</v>
      </c>
      <c r="B140" s="49" t="s">
        <v>16</v>
      </c>
      <c r="C140" s="49">
        <v>10</v>
      </c>
      <c r="D140" s="49" t="s">
        <v>106</v>
      </c>
      <c r="E140" s="50" t="str">
        <f t="shared" si="8"/>
        <v>SBM-NWWRP-G10-B1</v>
      </c>
      <c r="F140" s="49">
        <v>4317739</v>
      </c>
      <c r="G140" s="49">
        <v>528887.69999999995</v>
      </c>
      <c r="H140" s="49">
        <v>1326</v>
      </c>
      <c r="I140" s="49" t="s">
        <v>107</v>
      </c>
      <c r="J140" s="49" t="s">
        <v>108</v>
      </c>
      <c r="K140" s="49">
        <v>0.01</v>
      </c>
      <c r="L140" s="49">
        <v>1471</v>
      </c>
      <c r="M140" s="49">
        <v>1480</v>
      </c>
      <c r="N140" s="49"/>
      <c r="O140" s="49"/>
      <c r="P140" s="50">
        <f t="shared" si="9"/>
        <v>10</v>
      </c>
      <c r="Q140" s="49">
        <v>18.13</v>
      </c>
      <c r="R140" s="49">
        <v>0</v>
      </c>
      <c r="S140" s="49" t="s">
        <v>125</v>
      </c>
      <c r="T140" s="49"/>
      <c r="U140" s="49"/>
      <c r="V140" s="49" t="s">
        <v>225</v>
      </c>
      <c r="W140" s="49">
        <v>0</v>
      </c>
      <c r="X140" s="49"/>
      <c r="Y140" s="49">
        <v>0</v>
      </c>
    </row>
    <row r="141" spans="1:25" ht="14.4" customHeight="1" x14ac:dyDescent="0.3">
      <c r="A141" s="53">
        <v>46143</v>
      </c>
      <c r="B141" s="46" t="s">
        <v>17</v>
      </c>
      <c r="C141" s="46">
        <v>13</v>
      </c>
      <c r="D141" s="46" t="s">
        <v>106</v>
      </c>
      <c r="E141" s="47" t="str">
        <f t="shared" si="8"/>
        <v>SBM-NWP-G13-B1</v>
      </c>
      <c r="F141" s="46">
        <v>4317450.5</v>
      </c>
      <c r="G141" s="46">
        <v>528783.19999999995</v>
      </c>
      <c r="H141" s="46">
        <v>1374</v>
      </c>
      <c r="I141" s="46" t="s">
        <v>107</v>
      </c>
      <c r="J141" s="46" t="s">
        <v>108</v>
      </c>
      <c r="K141" s="46">
        <v>0.01</v>
      </c>
      <c r="L141" s="46">
        <v>355</v>
      </c>
      <c r="M141" s="46">
        <v>364</v>
      </c>
      <c r="N141" s="46"/>
      <c r="O141" s="46"/>
      <c r="P141" s="47">
        <f t="shared" si="9"/>
        <v>10</v>
      </c>
      <c r="Q141" s="46">
        <v>13.77</v>
      </c>
      <c r="R141" s="46">
        <v>12.46</v>
      </c>
      <c r="S141" s="46" t="s">
        <v>125</v>
      </c>
      <c r="T141" s="46"/>
      <c r="U141" s="46"/>
      <c r="V141" s="46" t="s">
        <v>230</v>
      </c>
      <c r="W141" s="46">
        <v>0</v>
      </c>
      <c r="X141" s="46"/>
      <c r="Y141" s="46">
        <v>0</v>
      </c>
    </row>
    <row r="142" spans="1:25" ht="14.4" customHeight="1" x14ac:dyDescent="0.3">
      <c r="A142" s="54">
        <v>46143</v>
      </c>
      <c r="B142" s="49" t="s">
        <v>16</v>
      </c>
      <c r="C142" s="49">
        <v>14</v>
      </c>
      <c r="D142" s="49" t="s">
        <v>106</v>
      </c>
      <c r="E142" s="50" t="str">
        <f t="shared" si="8"/>
        <v>SBM-NWWRP-G14-B1</v>
      </c>
      <c r="F142" s="49">
        <v>4317683.8</v>
      </c>
      <c r="G142" s="49">
        <v>528815.19999999995</v>
      </c>
      <c r="H142" s="49">
        <v>1365</v>
      </c>
      <c r="I142" s="49" t="s">
        <v>107</v>
      </c>
      <c r="J142" s="49" t="s">
        <v>108</v>
      </c>
      <c r="K142" s="49">
        <v>0.01</v>
      </c>
      <c r="L142" s="49">
        <v>365</v>
      </c>
      <c r="M142" s="49">
        <v>374</v>
      </c>
      <c r="N142" s="49"/>
      <c r="O142" s="49"/>
      <c r="P142" s="50">
        <f t="shared" si="9"/>
        <v>10</v>
      </c>
      <c r="Q142" s="49">
        <v>6.81</v>
      </c>
      <c r="R142" s="49">
        <v>1.1200000000000001</v>
      </c>
      <c r="S142" s="49" t="s">
        <v>125</v>
      </c>
      <c r="T142" s="49"/>
      <c r="U142" s="49"/>
      <c r="V142" s="49" t="s">
        <v>230</v>
      </c>
      <c r="W142" s="49">
        <v>0</v>
      </c>
      <c r="X142" s="49"/>
      <c r="Y142" s="49">
        <v>0</v>
      </c>
    </row>
    <row r="143" spans="1:25" ht="14.4" customHeight="1" x14ac:dyDescent="0.3">
      <c r="A143" s="53">
        <v>46143</v>
      </c>
      <c r="B143" s="46" t="s">
        <v>16</v>
      </c>
      <c r="C143" s="46">
        <v>3</v>
      </c>
      <c r="D143" s="46" t="s">
        <v>106</v>
      </c>
      <c r="E143" s="47" t="str">
        <f t="shared" si="8"/>
        <v>SBM-NWWRP-G03-B1</v>
      </c>
      <c r="F143" s="46">
        <v>4317741.2</v>
      </c>
      <c r="G143" s="46">
        <v>528813.9</v>
      </c>
      <c r="H143" s="46">
        <v>1341</v>
      </c>
      <c r="I143" s="46" t="s">
        <v>107</v>
      </c>
      <c r="J143" s="46" t="s">
        <v>108</v>
      </c>
      <c r="K143" s="46">
        <v>0.01</v>
      </c>
      <c r="L143" s="46">
        <v>375</v>
      </c>
      <c r="M143" s="46">
        <v>386</v>
      </c>
      <c r="N143" s="46"/>
      <c r="O143" s="46"/>
      <c r="P143" s="47">
        <f t="shared" si="9"/>
        <v>12</v>
      </c>
      <c r="Q143" s="46">
        <v>3.12</v>
      </c>
      <c r="R143" s="46">
        <v>2.99</v>
      </c>
      <c r="S143" s="46" t="s">
        <v>125</v>
      </c>
      <c r="T143" s="46"/>
      <c r="U143" s="46"/>
      <c r="V143" s="46" t="s">
        <v>230</v>
      </c>
      <c r="W143" s="46">
        <v>0</v>
      </c>
      <c r="X143" s="46" t="s">
        <v>231</v>
      </c>
      <c r="Y143" s="46">
        <v>0</v>
      </c>
    </row>
    <row r="144" spans="1:25" ht="14.4" customHeight="1" x14ac:dyDescent="0.3">
      <c r="A144" s="54">
        <v>46143</v>
      </c>
      <c r="B144" s="49" t="s">
        <v>16</v>
      </c>
      <c r="C144" s="49">
        <v>1</v>
      </c>
      <c r="D144" s="49" t="s">
        <v>106</v>
      </c>
      <c r="E144" s="50" t="str">
        <f t="shared" si="8"/>
        <v>SBM-NWWRP-G01-B1</v>
      </c>
      <c r="F144" s="49">
        <v>4317726.5</v>
      </c>
      <c r="G144" s="49">
        <v>528781.30000000005</v>
      </c>
      <c r="H144" s="49">
        <v>1321</v>
      </c>
      <c r="I144" s="49" t="s">
        <v>107</v>
      </c>
      <c r="J144" s="49" t="s">
        <v>108</v>
      </c>
      <c r="K144" s="49">
        <v>0.01</v>
      </c>
      <c r="L144" s="49">
        <v>387</v>
      </c>
      <c r="M144" s="49">
        <v>397</v>
      </c>
      <c r="N144" s="49"/>
      <c r="O144" s="49"/>
      <c r="P144" s="50">
        <f t="shared" si="9"/>
        <v>11</v>
      </c>
      <c r="Q144" s="49">
        <v>68.7</v>
      </c>
      <c r="R144" s="49">
        <v>0.97</v>
      </c>
      <c r="S144" s="49" t="s">
        <v>125</v>
      </c>
      <c r="T144" s="49"/>
      <c r="U144" s="49"/>
      <c r="V144" s="49" t="s">
        <v>230</v>
      </c>
      <c r="W144" s="49">
        <v>0</v>
      </c>
      <c r="X144" s="49"/>
      <c r="Y144" s="49">
        <v>0</v>
      </c>
    </row>
    <row r="145" spans="1:25" ht="14.4" customHeight="1" x14ac:dyDescent="0.3">
      <c r="A145" s="53">
        <v>46143</v>
      </c>
      <c r="B145" s="46" t="s">
        <v>16</v>
      </c>
      <c r="C145" s="46">
        <v>6</v>
      </c>
      <c r="D145" s="46" t="s">
        <v>106</v>
      </c>
      <c r="E145" s="47" t="str">
        <f t="shared" si="8"/>
        <v>SBM-NWWRP-G06-B1</v>
      </c>
      <c r="F145" s="46">
        <v>4317737.5</v>
      </c>
      <c r="G145" s="46">
        <v>528840.30000000005</v>
      </c>
      <c r="H145" s="46">
        <v>1323</v>
      </c>
      <c r="I145" s="46" t="s">
        <v>107</v>
      </c>
      <c r="J145" s="46" t="s">
        <v>108</v>
      </c>
      <c r="K145" s="46">
        <v>0.01</v>
      </c>
      <c r="L145" s="46">
        <v>398</v>
      </c>
      <c r="M145" s="46">
        <v>410</v>
      </c>
      <c r="N145" s="46"/>
      <c r="O145" s="46"/>
      <c r="P145" s="47">
        <f t="shared" si="9"/>
        <v>13</v>
      </c>
      <c r="Q145" s="46">
        <v>16.03</v>
      </c>
      <c r="R145" s="46">
        <v>0.68</v>
      </c>
      <c r="S145" s="46" t="s">
        <v>125</v>
      </c>
      <c r="T145" s="46"/>
      <c r="U145" s="46"/>
      <c r="V145" s="46" t="s">
        <v>230</v>
      </c>
      <c r="W145" s="46">
        <v>0</v>
      </c>
      <c r="X145" s="46" t="s">
        <v>232</v>
      </c>
      <c r="Y145" s="46">
        <v>0</v>
      </c>
    </row>
    <row r="146" spans="1:25" ht="14.4" customHeight="1" x14ac:dyDescent="0.3">
      <c r="A146" s="54">
        <v>46143</v>
      </c>
      <c r="B146" s="49" t="s">
        <v>16</v>
      </c>
      <c r="C146" s="49">
        <v>7</v>
      </c>
      <c r="D146" s="49" t="s">
        <v>106</v>
      </c>
      <c r="E146" s="50" t="str">
        <f t="shared" si="8"/>
        <v>SBM-NWWRP-G07-B1</v>
      </c>
      <c r="F146" s="49">
        <v>4317734.2</v>
      </c>
      <c r="G146" s="49">
        <v>528847.69999999995</v>
      </c>
      <c r="H146" s="49">
        <v>1356</v>
      </c>
      <c r="I146" s="49" t="s">
        <v>107</v>
      </c>
      <c r="J146" s="49" t="s">
        <v>108</v>
      </c>
      <c r="K146" s="49">
        <v>0.01</v>
      </c>
      <c r="L146" s="49">
        <v>411</v>
      </c>
      <c r="M146" s="49">
        <v>423</v>
      </c>
      <c r="N146" s="49"/>
      <c r="O146" s="49"/>
      <c r="P146" s="50">
        <f t="shared" si="9"/>
        <v>13</v>
      </c>
      <c r="Q146" s="49">
        <v>7.14</v>
      </c>
      <c r="R146" s="49">
        <v>4.46</v>
      </c>
      <c r="S146" s="49" t="s">
        <v>125</v>
      </c>
      <c r="T146" s="49"/>
      <c r="U146" s="49"/>
      <c r="V146" s="49" t="s">
        <v>230</v>
      </c>
      <c r="W146" s="49">
        <v>0</v>
      </c>
      <c r="X146" s="49" t="s">
        <v>233</v>
      </c>
      <c r="Y146" s="49">
        <v>0</v>
      </c>
    </row>
    <row r="147" spans="1:25" ht="14.4" customHeight="1" x14ac:dyDescent="0.3">
      <c r="A147" s="53">
        <v>46143</v>
      </c>
      <c r="B147" s="46" t="s">
        <v>16</v>
      </c>
      <c r="C147" s="46">
        <v>9</v>
      </c>
      <c r="D147" s="46" t="s">
        <v>106</v>
      </c>
      <c r="E147" s="47" t="str">
        <f t="shared" si="8"/>
        <v>SBM-NWWRP-G09-B1</v>
      </c>
      <c r="F147" s="46">
        <v>4317738.5</v>
      </c>
      <c r="G147" s="46">
        <v>528871.80000000005</v>
      </c>
      <c r="H147" s="46">
        <v>1354</v>
      </c>
      <c r="I147" s="46" t="s">
        <v>107</v>
      </c>
      <c r="J147" s="46" t="s">
        <v>108</v>
      </c>
      <c r="K147" s="46">
        <v>0.01</v>
      </c>
      <c r="L147" s="46">
        <v>424</v>
      </c>
      <c r="M147" s="46">
        <v>433</v>
      </c>
      <c r="N147" s="46"/>
      <c r="O147" s="46"/>
      <c r="P147" s="47">
        <f t="shared" si="9"/>
        <v>10</v>
      </c>
      <c r="Q147" s="46">
        <v>2.58</v>
      </c>
      <c r="R147" s="46">
        <v>0.18</v>
      </c>
      <c r="S147" s="46" t="s">
        <v>125</v>
      </c>
      <c r="T147" s="46"/>
      <c r="U147" s="46"/>
      <c r="V147" s="46" t="s">
        <v>230</v>
      </c>
      <c r="W147" s="46">
        <v>0</v>
      </c>
      <c r="X147" s="46"/>
      <c r="Y147" s="46">
        <v>0</v>
      </c>
    </row>
    <row r="148" spans="1:25" ht="14.4" customHeight="1" x14ac:dyDescent="0.3">
      <c r="A148" s="54">
        <v>46146</v>
      </c>
      <c r="B148" s="49" t="s">
        <v>16</v>
      </c>
      <c r="C148" s="49">
        <v>11</v>
      </c>
      <c r="D148" s="49" t="s">
        <v>106</v>
      </c>
      <c r="E148" s="50" t="str">
        <f t="shared" si="8"/>
        <v>SBM-NWWRP-G11-B1</v>
      </c>
      <c r="F148" s="49">
        <v>4317738.5</v>
      </c>
      <c r="G148" s="49">
        <v>528894.6</v>
      </c>
      <c r="H148" s="49">
        <v>1287</v>
      </c>
      <c r="I148" s="49" t="s">
        <v>107</v>
      </c>
      <c r="J148" s="49" t="s">
        <v>108</v>
      </c>
      <c r="K148" s="49">
        <v>0.01</v>
      </c>
      <c r="L148" s="49">
        <v>439</v>
      </c>
      <c r="M148" s="49">
        <v>449</v>
      </c>
      <c r="N148" s="49"/>
      <c r="O148" s="49"/>
      <c r="P148" s="50">
        <f t="shared" si="9"/>
        <v>11</v>
      </c>
      <c r="Q148" s="49">
        <v>14.67</v>
      </c>
      <c r="R148" s="49">
        <v>4.38</v>
      </c>
      <c r="S148" s="49" t="s">
        <v>125</v>
      </c>
      <c r="T148" s="49"/>
      <c r="U148" s="49"/>
      <c r="V148" s="49" t="s">
        <v>234</v>
      </c>
      <c r="W148" s="49">
        <v>0</v>
      </c>
      <c r="X148" s="49"/>
      <c r="Y148" s="49">
        <v>0</v>
      </c>
    </row>
    <row r="149" spans="1:25" ht="14.4" customHeight="1" x14ac:dyDescent="0.3">
      <c r="A149" s="53">
        <v>46146</v>
      </c>
      <c r="B149" s="46" t="s">
        <v>16</v>
      </c>
      <c r="C149" s="46">
        <v>12</v>
      </c>
      <c r="D149" s="46" t="s">
        <v>106</v>
      </c>
      <c r="E149" s="47" t="str">
        <f t="shared" si="8"/>
        <v>SBM-NWWRP-G12-B1</v>
      </c>
      <c r="F149" s="46">
        <v>4317750</v>
      </c>
      <c r="G149" s="46">
        <v>528896.19999999995</v>
      </c>
      <c r="H149" s="46">
        <v>1301</v>
      </c>
      <c r="I149" s="46" t="s">
        <v>107</v>
      </c>
      <c r="J149" s="46" t="s">
        <v>108</v>
      </c>
      <c r="K149" s="46">
        <v>0.01</v>
      </c>
      <c r="L149" s="46">
        <v>450</v>
      </c>
      <c r="M149" s="46">
        <v>459</v>
      </c>
      <c r="N149" s="46"/>
      <c r="O149" s="46"/>
      <c r="P149" s="47">
        <f t="shared" si="9"/>
        <v>10</v>
      </c>
      <c r="Q149" s="46">
        <v>2.84</v>
      </c>
      <c r="R149" s="46">
        <v>0.45</v>
      </c>
      <c r="S149" s="46" t="s">
        <v>125</v>
      </c>
      <c r="T149" s="46"/>
      <c r="U149" s="46"/>
      <c r="V149" s="46" t="s">
        <v>234</v>
      </c>
      <c r="W149" s="46">
        <v>0</v>
      </c>
      <c r="X149" s="46"/>
      <c r="Y149" s="46">
        <v>0</v>
      </c>
    </row>
    <row r="150" spans="1:25" ht="14.4" customHeight="1" x14ac:dyDescent="0.3">
      <c r="A150" s="54">
        <v>46146</v>
      </c>
      <c r="B150" s="49" t="s">
        <v>16</v>
      </c>
      <c r="C150" s="49">
        <v>13</v>
      </c>
      <c r="D150" s="49" t="s">
        <v>106</v>
      </c>
      <c r="E150" s="50" t="str">
        <f t="shared" si="8"/>
        <v>SBM-NWWRP-G13-B1</v>
      </c>
      <c r="F150" s="49">
        <v>4317755.2</v>
      </c>
      <c r="G150" s="49">
        <v>528897.1</v>
      </c>
      <c r="H150" s="49">
        <v>1298</v>
      </c>
      <c r="I150" s="49" t="s">
        <v>107</v>
      </c>
      <c r="J150" s="49" t="s">
        <v>108</v>
      </c>
      <c r="K150" s="49">
        <v>0.01</v>
      </c>
      <c r="L150" s="49">
        <v>460</v>
      </c>
      <c r="M150" s="49">
        <v>469</v>
      </c>
      <c r="N150" s="49"/>
      <c r="O150" s="49"/>
      <c r="P150" s="50">
        <f t="shared" si="9"/>
        <v>10</v>
      </c>
      <c r="Q150" s="49">
        <v>6.05</v>
      </c>
      <c r="R150" s="49">
        <v>3.49</v>
      </c>
      <c r="S150" s="49" t="s">
        <v>125</v>
      </c>
      <c r="T150" s="49"/>
      <c r="U150" s="49"/>
      <c r="V150" s="49" t="s">
        <v>234</v>
      </c>
      <c r="W150" s="49">
        <v>0</v>
      </c>
      <c r="X150" s="49"/>
      <c r="Y150" s="49">
        <v>0</v>
      </c>
    </row>
    <row r="151" spans="1:25" ht="14.4" customHeight="1" x14ac:dyDescent="0.3">
      <c r="A151" s="55"/>
      <c r="B151" s="56"/>
      <c r="C151" s="56"/>
      <c r="D151" s="56"/>
      <c r="E151" s="57" t="str">
        <f t="shared" si="8"/>
        <v/>
      </c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7" t="str">
        <f t="shared" si="9"/>
        <v/>
      </c>
      <c r="Q151" s="56"/>
      <c r="R151" s="56"/>
      <c r="S151" s="56"/>
      <c r="T151" s="56"/>
      <c r="U151" s="56"/>
      <c r="V151" s="56"/>
      <c r="W151" s="56"/>
      <c r="X151" s="56"/>
    </row>
    <row r="152" spans="1:25" ht="14.4" customHeight="1" x14ac:dyDescent="0.3">
      <c r="A152" s="58"/>
      <c r="B152" s="59"/>
      <c r="C152" s="59"/>
      <c r="D152" s="59"/>
      <c r="E152" s="60" t="str">
        <f t="shared" si="8"/>
        <v/>
      </c>
      <c r="F152" s="59"/>
      <c r="G152" s="59"/>
      <c r="H152" s="59"/>
      <c r="I152" s="59"/>
      <c r="J152" s="59"/>
      <c r="K152" s="59"/>
      <c r="L152" s="59"/>
      <c r="M152" s="59"/>
      <c r="N152" s="59"/>
      <c r="O152" s="59"/>
      <c r="P152" s="60" t="str">
        <f t="shared" si="9"/>
        <v/>
      </c>
      <c r="Q152" s="59"/>
      <c r="R152" s="59"/>
      <c r="S152" s="59"/>
      <c r="T152" s="59"/>
      <c r="U152" s="59"/>
      <c r="V152" s="59"/>
      <c r="W152" s="59"/>
      <c r="X152" s="59"/>
    </row>
    <row r="153" spans="1:25" ht="14.4" customHeight="1" x14ac:dyDescent="0.3">
      <c r="A153" s="55"/>
      <c r="B153" s="56"/>
      <c r="C153" s="56"/>
      <c r="D153" s="56"/>
      <c r="E153" s="57" t="str">
        <f t="shared" si="8"/>
        <v/>
      </c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7" t="str">
        <f t="shared" si="9"/>
        <v/>
      </c>
      <c r="Q153" s="56"/>
      <c r="R153" s="56"/>
      <c r="S153" s="56"/>
      <c r="T153" s="56"/>
      <c r="U153" s="56"/>
      <c r="V153" s="56"/>
      <c r="W153" s="56"/>
      <c r="X153" s="56"/>
    </row>
    <row r="154" spans="1:25" ht="14.4" customHeight="1" x14ac:dyDescent="0.3">
      <c r="A154" s="58"/>
      <c r="B154" s="59"/>
      <c r="C154" s="59"/>
      <c r="D154" s="59"/>
      <c r="E154" s="60" t="str">
        <f t="shared" si="8"/>
        <v/>
      </c>
      <c r="F154" s="59"/>
      <c r="G154" s="59"/>
      <c r="H154" s="59"/>
      <c r="I154" s="59"/>
      <c r="J154" s="59"/>
      <c r="K154" s="59"/>
      <c r="L154" s="59"/>
      <c r="M154" s="59"/>
      <c r="N154" s="59"/>
      <c r="O154" s="59"/>
      <c r="P154" s="60" t="str">
        <f t="shared" si="9"/>
        <v/>
      </c>
      <c r="Q154" s="59"/>
      <c r="R154" s="59"/>
      <c r="S154" s="59"/>
      <c r="T154" s="59"/>
      <c r="U154" s="59"/>
      <c r="V154" s="59"/>
      <c r="W154" s="59"/>
      <c r="X154" s="59"/>
    </row>
    <row r="155" spans="1:25" ht="14.4" customHeight="1" x14ac:dyDescent="0.3">
      <c r="A155" s="55"/>
      <c r="B155" s="56"/>
      <c r="C155" s="56"/>
      <c r="D155" s="56"/>
      <c r="E155" s="57" t="str">
        <f t="shared" si="8"/>
        <v/>
      </c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7" t="str">
        <f t="shared" si="9"/>
        <v/>
      </c>
      <c r="Q155" s="56"/>
      <c r="R155" s="56"/>
      <c r="S155" s="56"/>
      <c r="T155" s="56"/>
      <c r="U155" s="56"/>
      <c r="V155" s="56"/>
      <c r="W155" s="56"/>
      <c r="X155" s="56"/>
    </row>
    <row r="156" spans="1:25" ht="14.4" customHeight="1" x14ac:dyDescent="0.3">
      <c r="A156" s="58"/>
      <c r="B156" s="59"/>
      <c r="C156" s="59"/>
      <c r="D156" s="59"/>
      <c r="E156" s="60" t="str">
        <f t="shared" si="8"/>
        <v/>
      </c>
      <c r="F156" s="59"/>
      <c r="G156" s="59"/>
      <c r="H156" s="59"/>
      <c r="I156" s="59"/>
      <c r="J156" s="59"/>
      <c r="K156" s="59"/>
      <c r="L156" s="59"/>
      <c r="M156" s="59"/>
      <c r="N156" s="59"/>
      <c r="O156" s="59"/>
      <c r="P156" s="60" t="str">
        <f t="shared" si="9"/>
        <v/>
      </c>
      <c r="Q156" s="59"/>
      <c r="R156" s="59"/>
      <c r="S156" s="59"/>
      <c r="T156" s="59"/>
      <c r="U156" s="59"/>
      <c r="V156" s="59"/>
      <c r="W156" s="59"/>
      <c r="X156" s="59"/>
    </row>
    <row r="157" spans="1:25" ht="14.4" customHeight="1" x14ac:dyDescent="0.3">
      <c r="A157" s="55"/>
      <c r="B157" s="56"/>
      <c r="C157" s="56"/>
      <c r="D157" s="56"/>
      <c r="E157" s="57" t="str">
        <f t="shared" si="8"/>
        <v/>
      </c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7" t="str">
        <f t="shared" si="9"/>
        <v/>
      </c>
      <c r="Q157" s="56"/>
      <c r="R157" s="56"/>
      <c r="S157" s="56"/>
      <c r="T157" s="56"/>
      <c r="U157" s="56"/>
      <c r="V157" s="56"/>
      <c r="W157" s="56"/>
      <c r="X157" s="56"/>
    </row>
    <row r="158" spans="1:25" ht="14.4" customHeight="1" x14ac:dyDescent="0.3">
      <c r="A158" s="58"/>
      <c r="B158" s="59"/>
      <c r="C158" s="59"/>
      <c r="D158" s="59"/>
      <c r="E158" s="60" t="str">
        <f t="shared" si="8"/>
        <v/>
      </c>
      <c r="F158" s="59"/>
      <c r="G158" s="59"/>
      <c r="H158" s="59"/>
      <c r="I158" s="59"/>
      <c r="J158" s="59"/>
      <c r="K158" s="59"/>
      <c r="L158" s="59"/>
      <c r="M158" s="59"/>
      <c r="N158" s="59"/>
      <c r="O158" s="59"/>
      <c r="P158" s="60" t="str">
        <f t="shared" si="9"/>
        <v/>
      </c>
      <c r="Q158" s="59"/>
      <c r="R158" s="59"/>
      <c r="S158" s="59"/>
      <c r="T158" s="59"/>
      <c r="U158" s="59"/>
      <c r="V158" s="59"/>
      <c r="W158" s="59"/>
      <c r="X158" s="59"/>
    </row>
    <row r="159" spans="1:25" ht="14.4" customHeight="1" x14ac:dyDescent="0.3">
      <c r="A159" s="55"/>
      <c r="B159" s="56"/>
      <c r="C159" s="56"/>
      <c r="D159" s="56"/>
      <c r="E159" s="57" t="str">
        <f t="shared" si="8"/>
        <v/>
      </c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7" t="str">
        <f t="shared" si="9"/>
        <v/>
      </c>
      <c r="Q159" s="56"/>
      <c r="R159" s="56"/>
      <c r="S159" s="56"/>
      <c r="T159" s="56"/>
      <c r="U159" s="56"/>
      <c r="V159" s="56"/>
      <c r="W159" s="56"/>
      <c r="X159" s="56"/>
    </row>
    <row r="160" spans="1:25" ht="14.4" customHeight="1" x14ac:dyDescent="0.3">
      <c r="A160" s="58"/>
      <c r="B160" s="59"/>
      <c r="C160" s="59"/>
      <c r="D160" s="59"/>
      <c r="E160" s="60" t="str">
        <f t="shared" si="8"/>
        <v/>
      </c>
      <c r="F160" s="59"/>
      <c r="G160" s="59"/>
      <c r="H160" s="59"/>
      <c r="I160" s="59"/>
      <c r="J160" s="59"/>
      <c r="K160" s="59"/>
      <c r="L160" s="59"/>
      <c r="M160" s="59"/>
      <c r="N160" s="59"/>
      <c r="O160" s="59"/>
      <c r="P160" s="60" t="str">
        <f t="shared" si="9"/>
        <v/>
      </c>
      <c r="Q160" s="59"/>
      <c r="R160" s="59"/>
      <c r="S160" s="59"/>
      <c r="T160" s="59"/>
      <c r="U160" s="59"/>
      <c r="V160" s="59"/>
      <c r="W160" s="59"/>
      <c r="X160" s="59"/>
    </row>
    <row r="161" spans="1:24" ht="14.4" customHeight="1" x14ac:dyDescent="0.3">
      <c r="A161" s="55"/>
      <c r="B161" s="56"/>
      <c r="C161" s="56"/>
      <c r="D161" s="56"/>
      <c r="E161" s="57" t="str">
        <f t="shared" si="8"/>
        <v/>
      </c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7" t="str">
        <f t="shared" si="9"/>
        <v/>
      </c>
      <c r="Q161" s="56"/>
      <c r="R161" s="56"/>
      <c r="S161" s="56"/>
      <c r="T161" s="56"/>
      <c r="U161" s="56"/>
      <c r="V161" s="56"/>
      <c r="W161" s="56"/>
      <c r="X161" s="56"/>
    </row>
    <row r="162" spans="1:24" ht="14.4" customHeight="1" x14ac:dyDescent="0.3">
      <c r="A162" s="58"/>
      <c r="B162" s="59"/>
      <c r="C162" s="59"/>
      <c r="D162" s="59"/>
      <c r="E162" s="60" t="str">
        <f t="shared" si="8"/>
        <v/>
      </c>
      <c r="F162" s="59"/>
      <c r="G162" s="59"/>
      <c r="H162" s="59"/>
      <c r="I162" s="59"/>
      <c r="J162" s="59"/>
      <c r="K162" s="59"/>
      <c r="L162" s="59"/>
      <c r="M162" s="59"/>
      <c r="N162" s="59"/>
      <c r="O162" s="59"/>
      <c r="P162" s="60" t="str">
        <f t="shared" si="9"/>
        <v/>
      </c>
      <c r="Q162" s="59"/>
      <c r="R162" s="59"/>
      <c r="S162" s="59"/>
      <c r="T162" s="59"/>
      <c r="U162" s="59"/>
      <c r="V162" s="59"/>
      <c r="W162" s="59"/>
      <c r="X162" s="59"/>
    </row>
    <row r="163" spans="1:24" ht="14.4" customHeight="1" x14ac:dyDescent="0.3">
      <c r="A163" s="55"/>
      <c r="B163" s="56"/>
      <c r="C163" s="56"/>
      <c r="D163" s="56"/>
      <c r="E163" s="57" t="str">
        <f t="shared" si="8"/>
        <v/>
      </c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7" t="str">
        <f t="shared" si="9"/>
        <v/>
      </c>
      <c r="Q163" s="56"/>
      <c r="R163" s="56"/>
      <c r="S163" s="56"/>
      <c r="T163" s="56"/>
      <c r="U163" s="56"/>
      <c r="V163" s="56"/>
      <c r="W163" s="56"/>
      <c r="X163" s="56"/>
    </row>
    <row r="164" spans="1:24" ht="14.4" customHeight="1" x14ac:dyDescent="0.3">
      <c r="A164" s="58"/>
      <c r="B164" s="59"/>
      <c r="C164" s="59"/>
      <c r="D164" s="59"/>
      <c r="E164" s="60" t="str">
        <f t="shared" si="8"/>
        <v/>
      </c>
      <c r="F164" s="59"/>
      <c r="G164" s="59"/>
      <c r="H164" s="59"/>
      <c r="I164" s="59"/>
      <c r="J164" s="59"/>
      <c r="K164" s="59"/>
      <c r="L164" s="59"/>
      <c r="M164" s="59"/>
      <c r="N164" s="59"/>
      <c r="O164" s="59"/>
      <c r="P164" s="60" t="str">
        <f t="shared" si="9"/>
        <v/>
      </c>
      <c r="Q164" s="59"/>
      <c r="R164" s="59"/>
      <c r="S164" s="59"/>
      <c r="T164" s="59"/>
      <c r="U164" s="59"/>
      <c r="V164" s="59"/>
      <c r="W164" s="59"/>
      <c r="X164" s="59"/>
    </row>
    <row r="165" spans="1:24" ht="14.4" customHeight="1" x14ac:dyDescent="0.3">
      <c r="A165" s="55"/>
      <c r="B165" s="56"/>
      <c r="C165" s="56"/>
      <c r="D165" s="56"/>
      <c r="E165" s="57" t="str">
        <f t="shared" ref="E165:E196" si="10">IF(B165="","","SBM-"&amp;B165&amp;"-G"&amp;TEXT(C165,"00")&amp;"-"&amp;D165)</f>
        <v/>
      </c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7" t="str">
        <f t="shared" ref="P165:P196" si="11">IF(L165="","",(M165-L165+1)+IF(N165="",0,O165-N165+1))</f>
        <v/>
      </c>
      <c r="Q165" s="56"/>
      <c r="R165" s="56"/>
      <c r="S165" s="56"/>
      <c r="T165" s="56"/>
      <c r="U165" s="56"/>
      <c r="V165" s="56"/>
      <c r="W165" s="56"/>
      <c r="X165" s="56"/>
    </row>
    <row r="166" spans="1:24" ht="14.4" customHeight="1" x14ac:dyDescent="0.3">
      <c r="A166" s="58"/>
      <c r="B166" s="59"/>
      <c r="C166" s="59"/>
      <c r="D166" s="59"/>
      <c r="E166" s="60" t="str">
        <f t="shared" si="10"/>
        <v/>
      </c>
      <c r="F166" s="59"/>
      <c r="G166" s="59"/>
      <c r="H166" s="59"/>
      <c r="I166" s="59"/>
      <c r="J166" s="59"/>
      <c r="K166" s="59"/>
      <c r="L166" s="59"/>
      <c r="M166" s="59"/>
      <c r="N166" s="59"/>
      <c r="O166" s="59"/>
      <c r="P166" s="60" t="str">
        <f t="shared" si="11"/>
        <v/>
      </c>
      <c r="Q166" s="59"/>
      <c r="R166" s="59"/>
      <c r="S166" s="59"/>
      <c r="T166" s="59"/>
      <c r="U166" s="59"/>
      <c r="V166" s="59"/>
      <c r="W166" s="59"/>
      <c r="X166" s="59"/>
    </row>
    <row r="167" spans="1:24" ht="14.4" customHeight="1" x14ac:dyDescent="0.3">
      <c r="A167" s="55"/>
      <c r="B167" s="56"/>
      <c r="C167" s="56"/>
      <c r="D167" s="56"/>
      <c r="E167" s="57" t="str">
        <f t="shared" si="10"/>
        <v/>
      </c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7" t="str">
        <f t="shared" si="11"/>
        <v/>
      </c>
      <c r="Q167" s="56"/>
      <c r="R167" s="56"/>
      <c r="S167" s="56"/>
      <c r="T167" s="56"/>
      <c r="U167" s="56"/>
      <c r="V167" s="56"/>
      <c r="W167" s="56"/>
      <c r="X167" s="56"/>
    </row>
    <row r="168" spans="1:24" ht="14.4" customHeight="1" x14ac:dyDescent="0.3">
      <c r="A168" s="58"/>
      <c r="B168" s="59"/>
      <c r="C168" s="59"/>
      <c r="D168" s="59"/>
      <c r="E168" s="60" t="str">
        <f t="shared" si="10"/>
        <v/>
      </c>
      <c r="F168" s="59"/>
      <c r="G168" s="59"/>
      <c r="H168" s="59"/>
      <c r="I168" s="59"/>
      <c r="J168" s="59"/>
      <c r="K168" s="59"/>
      <c r="L168" s="59"/>
      <c r="M168" s="59"/>
      <c r="N168" s="59"/>
      <c r="O168" s="59"/>
      <c r="P168" s="60" t="str">
        <f t="shared" si="11"/>
        <v/>
      </c>
      <c r="Q168" s="59"/>
      <c r="R168" s="59"/>
      <c r="S168" s="59"/>
      <c r="T168" s="59"/>
      <c r="U168" s="59"/>
      <c r="V168" s="59"/>
      <c r="W168" s="59"/>
      <c r="X168" s="59"/>
    </row>
    <row r="169" spans="1:24" ht="14.4" customHeight="1" x14ac:dyDescent="0.3">
      <c r="A169" s="55"/>
      <c r="B169" s="56"/>
      <c r="C169" s="56"/>
      <c r="D169" s="56"/>
      <c r="E169" s="57" t="str">
        <f t="shared" si="10"/>
        <v/>
      </c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7" t="str">
        <f t="shared" si="11"/>
        <v/>
      </c>
      <c r="Q169" s="56"/>
      <c r="R169" s="56"/>
      <c r="S169" s="56"/>
      <c r="T169" s="56"/>
      <c r="U169" s="56"/>
      <c r="V169" s="56"/>
      <c r="W169" s="56"/>
      <c r="X169" s="56"/>
    </row>
    <row r="170" spans="1:24" ht="14.4" customHeight="1" x14ac:dyDescent="0.3">
      <c r="A170" s="58"/>
      <c r="B170" s="59"/>
      <c r="C170" s="59"/>
      <c r="D170" s="59"/>
      <c r="E170" s="60" t="str">
        <f t="shared" si="10"/>
        <v/>
      </c>
      <c r="F170" s="59"/>
      <c r="G170" s="59"/>
      <c r="H170" s="59"/>
      <c r="I170" s="59"/>
      <c r="J170" s="59"/>
      <c r="K170" s="59"/>
      <c r="L170" s="59"/>
      <c r="M170" s="59"/>
      <c r="N170" s="59"/>
      <c r="O170" s="59"/>
      <c r="P170" s="60" t="str">
        <f t="shared" si="11"/>
        <v/>
      </c>
      <c r="Q170" s="59"/>
      <c r="R170" s="59"/>
      <c r="S170" s="59"/>
      <c r="T170" s="59"/>
      <c r="U170" s="59"/>
      <c r="V170" s="59"/>
      <c r="W170" s="59"/>
      <c r="X170" s="59"/>
    </row>
    <row r="171" spans="1:24" ht="14.4" customHeight="1" x14ac:dyDescent="0.3">
      <c r="A171" s="55"/>
      <c r="B171" s="56"/>
      <c r="C171" s="56"/>
      <c r="D171" s="56"/>
      <c r="E171" s="57" t="str">
        <f t="shared" si="10"/>
        <v/>
      </c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7" t="str">
        <f t="shared" si="11"/>
        <v/>
      </c>
      <c r="Q171" s="56"/>
      <c r="R171" s="56"/>
      <c r="S171" s="56"/>
      <c r="T171" s="56"/>
      <c r="U171" s="56"/>
      <c r="V171" s="56"/>
      <c r="W171" s="56"/>
      <c r="X171" s="56"/>
    </row>
    <row r="172" spans="1:24" ht="14.4" customHeight="1" x14ac:dyDescent="0.3">
      <c r="A172" s="58"/>
      <c r="B172" s="59"/>
      <c r="C172" s="59"/>
      <c r="D172" s="59"/>
      <c r="E172" s="60" t="str">
        <f t="shared" si="10"/>
        <v/>
      </c>
      <c r="F172" s="59"/>
      <c r="G172" s="59"/>
      <c r="H172" s="59"/>
      <c r="I172" s="59"/>
      <c r="J172" s="59"/>
      <c r="K172" s="59"/>
      <c r="L172" s="59"/>
      <c r="M172" s="59"/>
      <c r="N172" s="59"/>
      <c r="O172" s="59"/>
      <c r="P172" s="60" t="str">
        <f t="shared" si="11"/>
        <v/>
      </c>
      <c r="Q172" s="59"/>
      <c r="R172" s="59"/>
      <c r="S172" s="59"/>
      <c r="T172" s="59"/>
      <c r="U172" s="59"/>
      <c r="V172" s="59"/>
      <c r="W172" s="59"/>
      <c r="X172" s="59"/>
    </row>
    <row r="173" spans="1:24" ht="14.4" customHeight="1" x14ac:dyDescent="0.3">
      <c r="A173" s="55"/>
      <c r="B173" s="56"/>
      <c r="C173" s="56"/>
      <c r="D173" s="56"/>
      <c r="E173" s="57" t="str">
        <f t="shared" si="10"/>
        <v/>
      </c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7" t="str">
        <f t="shared" si="11"/>
        <v/>
      </c>
      <c r="Q173" s="56"/>
      <c r="R173" s="56"/>
      <c r="S173" s="56"/>
      <c r="T173" s="56"/>
      <c r="U173" s="56"/>
      <c r="V173" s="56"/>
      <c r="W173" s="56"/>
      <c r="X173" s="56"/>
    </row>
    <row r="174" spans="1:24" ht="14.4" customHeight="1" x14ac:dyDescent="0.3">
      <c r="A174" s="58"/>
      <c r="B174" s="59"/>
      <c r="C174" s="59"/>
      <c r="D174" s="59"/>
      <c r="E174" s="60" t="str">
        <f t="shared" si="10"/>
        <v/>
      </c>
      <c r="F174" s="59"/>
      <c r="G174" s="59"/>
      <c r="H174" s="59"/>
      <c r="I174" s="59"/>
      <c r="J174" s="59"/>
      <c r="K174" s="59"/>
      <c r="L174" s="59"/>
      <c r="M174" s="59"/>
      <c r="N174" s="59"/>
      <c r="O174" s="59"/>
      <c r="P174" s="60" t="str">
        <f t="shared" si="11"/>
        <v/>
      </c>
      <c r="Q174" s="59"/>
      <c r="R174" s="59"/>
      <c r="S174" s="59"/>
      <c r="T174" s="59"/>
      <c r="U174" s="59"/>
      <c r="V174" s="59"/>
      <c r="W174" s="59"/>
      <c r="X174" s="59"/>
    </row>
    <row r="175" spans="1:24" ht="14.4" customHeight="1" x14ac:dyDescent="0.3">
      <c r="A175" s="55"/>
      <c r="B175" s="56"/>
      <c r="C175" s="56"/>
      <c r="D175" s="56"/>
      <c r="E175" s="57" t="str">
        <f t="shared" si="10"/>
        <v/>
      </c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7" t="str">
        <f t="shared" si="11"/>
        <v/>
      </c>
      <c r="Q175" s="56"/>
      <c r="R175" s="56"/>
      <c r="S175" s="56"/>
      <c r="T175" s="56"/>
      <c r="U175" s="56"/>
      <c r="V175" s="56"/>
      <c r="W175" s="56"/>
      <c r="X175" s="56"/>
    </row>
    <row r="176" spans="1:24" ht="14.4" customHeight="1" x14ac:dyDescent="0.3">
      <c r="A176" s="58"/>
      <c r="B176" s="59"/>
      <c r="C176" s="59"/>
      <c r="D176" s="59"/>
      <c r="E176" s="60" t="str">
        <f t="shared" si="10"/>
        <v/>
      </c>
      <c r="F176" s="59"/>
      <c r="G176" s="59"/>
      <c r="H176" s="59"/>
      <c r="I176" s="59"/>
      <c r="J176" s="59"/>
      <c r="K176" s="59"/>
      <c r="L176" s="59"/>
      <c r="M176" s="59"/>
      <c r="N176" s="59"/>
      <c r="O176" s="59"/>
      <c r="P176" s="60" t="str">
        <f t="shared" si="11"/>
        <v/>
      </c>
      <c r="Q176" s="59"/>
      <c r="R176" s="59"/>
      <c r="S176" s="59"/>
      <c r="T176" s="59"/>
      <c r="U176" s="59"/>
      <c r="V176" s="59"/>
      <c r="W176" s="59"/>
      <c r="X176" s="59"/>
    </row>
    <row r="177" spans="1:24" ht="14.4" customHeight="1" x14ac:dyDescent="0.3">
      <c r="A177" s="55"/>
      <c r="B177" s="56"/>
      <c r="C177" s="56"/>
      <c r="D177" s="56"/>
      <c r="E177" s="57" t="str">
        <f t="shared" si="10"/>
        <v/>
      </c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7" t="str">
        <f t="shared" si="11"/>
        <v/>
      </c>
      <c r="Q177" s="56"/>
      <c r="R177" s="56"/>
      <c r="S177" s="56"/>
      <c r="T177" s="56"/>
      <c r="U177" s="56"/>
      <c r="V177" s="56"/>
      <c r="W177" s="56"/>
      <c r="X177" s="56"/>
    </row>
    <row r="178" spans="1:24" ht="14.4" customHeight="1" x14ac:dyDescent="0.3">
      <c r="A178" s="58"/>
      <c r="B178" s="59"/>
      <c r="C178" s="59"/>
      <c r="D178" s="59"/>
      <c r="E178" s="60" t="str">
        <f t="shared" si="10"/>
        <v/>
      </c>
      <c r="F178" s="59"/>
      <c r="G178" s="59"/>
      <c r="H178" s="59"/>
      <c r="I178" s="59"/>
      <c r="J178" s="59"/>
      <c r="K178" s="59"/>
      <c r="L178" s="59"/>
      <c r="M178" s="59"/>
      <c r="N178" s="59"/>
      <c r="O178" s="59"/>
      <c r="P178" s="60" t="str">
        <f t="shared" si="11"/>
        <v/>
      </c>
      <c r="Q178" s="59"/>
      <c r="R178" s="59"/>
      <c r="S178" s="59"/>
      <c r="T178" s="59"/>
      <c r="U178" s="59"/>
      <c r="V178" s="59"/>
      <c r="W178" s="59"/>
      <c r="X178" s="59"/>
    </row>
    <row r="179" spans="1:24" ht="14.4" customHeight="1" x14ac:dyDescent="0.3">
      <c r="A179" s="55"/>
      <c r="B179" s="56"/>
      <c r="C179" s="56"/>
      <c r="D179" s="56"/>
      <c r="E179" s="57" t="str">
        <f t="shared" si="10"/>
        <v/>
      </c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7" t="str">
        <f t="shared" si="11"/>
        <v/>
      </c>
      <c r="Q179" s="56"/>
      <c r="R179" s="56"/>
      <c r="S179" s="56"/>
      <c r="T179" s="56"/>
      <c r="U179" s="56"/>
      <c r="V179" s="56"/>
      <c r="W179" s="56"/>
      <c r="X179" s="56"/>
    </row>
    <row r="180" spans="1:24" ht="14.4" customHeight="1" x14ac:dyDescent="0.3">
      <c r="A180" s="58"/>
      <c r="B180" s="59"/>
      <c r="C180" s="59"/>
      <c r="D180" s="59"/>
      <c r="E180" s="60" t="str">
        <f t="shared" si="10"/>
        <v/>
      </c>
      <c r="F180" s="59"/>
      <c r="G180" s="59"/>
      <c r="H180" s="59"/>
      <c r="I180" s="59"/>
      <c r="J180" s="59"/>
      <c r="K180" s="59"/>
      <c r="L180" s="59"/>
      <c r="M180" s="59"/>
      <c r="N180" s="59"/>
      <c r="O180" s="59"/>
      <c r="P180" s="60" t="str">
        <f t="shared" si="11"/>
        <v/>
      </c>
      <c r="Q180" s="59"/>
      <c r="R180" s="59"/>
      <c r="S180" s="59"/>
      <c r="T180" s="59"/>
      <c r="U180" s="59"/>
      <c r="V180" s="59"/>
      <c r="W180" s="59"/>
      <c r="X180" s="59"/>
    </row>
    <row r="181" spans="1:24" ht="14.4" customHeight="1" x14ac:dyDescent="0.3">
      <c r="A181" s="55"/>
      <c r="B181" s="56"/>
      <c r="C181" s="56"/>
      <c r="D181" s="56"/>
      <c r="E181" s="57" t="str">
        <f t="shared" si="10"/>
        <v/>
      </c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7" t="str">
        <f t="shared" si="11"/>
        <v/>
      </c>
      <c r="Q181" s="56"/>
      <c r="R181" s="56"/>
      <c r="S181" s="56"/>
      <c r="T181" s="56"/>
      <c r="U181" s="56"/>
      <c r="V181" s="56"/>
      <c r="W181" s="56"/>
      <c r="X181" s="56"/>
    </row>
    <row r="182" spans="1:24" ht="14.4" customHeight="1" x14ac:dyDescent="0.3">
      <c r="A182" s="58"/>
      <c r="B182" s="59"/>
      <c r="C182" s="59"/>
      <c r="D182" s="59"/>
      <c r="E182" s="60" t="str">
        <f t="shared" si="10"/>
        <v/>
      </c>
      <c r="F182" s="59"/>
      <c r="G182" s="59"/>
      <c r="H182" s="59"/>
      <c r="I182" s="59"/>
      <c r="J182" s="59"/>
      <c r="K182" s="59"/>
      <c r="L182" s="59"/>
      <c r="M182" s="59"/>
      <c r="N182" s="59"/>
      <c r="O182" s="59"/>
      <c r="P182" s="60" t="str">
        <f t="shared" si="11"/>
        <v/>
      </c>
      <c r="Q182" s="59"/>
      <c r="R182" s="59"/>
      <c r="S182" s="59"/>
      <c r="T182" s="59"/>
      <c r="U182" s="59"/>
      <c r="V182" s="59"/>
      <c r="W182" s="59"/>
      <c r="X182" s="59"/>
    </row>
    <row r="183" spans="1:24" ht="14.4" customHeight="1" x14ac:dyDescent="0.3">
      <c r="A183" s="55"/>
      <c r="B183" s="56"/>
      <c r="C183" s="56"/>
      <c r="D183" s="56"/>
      <c r="E183" s="57" t="str">
        <f t="shared" si="10"/>
        <v/>
      </c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7" t="str">
        <f t="shared" si="11"/>
        <v/>
      </c>
      <c r="Q183" s="56"/>
      <c r="R183" s="56"/>
      <c r="S183" s="56"/>
      <c r="T183" s="56"/>
      <c r="U183" s="56"/>
      <c r="V183" s="56"/>
      <c r="W183" s="56"/>
      <c r="X183" s="56"/>
    </row>
    <row r="184" spans="1:24" ht="14.4" customHeight="1" x14ac:dyDescent="0.3">
      <c r="A184" s="58"/>
      <c r="B184" s="59"/>
      <c r="C184" s="59"/>
      <c r="D184" s="59"/>
      <c r="E184" s="60" t="str">
        <f t="shared" si="10"/>
        <v/>
      </c>
      <c r="F184" s="59"/>
      <c r="G184" s="59"/>
      <c r="H184" s="59"/>
      <c r="I184" s="59"/>
      <c r="J184" s="59"/>
      <c r="K184" s="59"/>
      <c r="L184" s="59"/>
      <c r="M184" s="59"/>
      <c r="N184" s="59"/>
      <c r="O184" s="59"/>
      <c r="P184" s="60" t="str">
        <f t="shared" si="11"/>
        <v/>
      </c>
      <c r="Q184" s="59"/>
      <c r="R184" s="59"/>
      <c r="S184" s="59"/>
      <c r="T184" s="59"/>
      <c r="U184" s="59"/>
      <c r="V184" s="59"/>
      <c r="W184" s="59"/>
      <c r="X184" s="59"/>
    </row>
    <row r="185" spans="1:24" ht="14.4" customHeight="1" x14ac:dyDescent="0.3">
      <c r="A185" s="55"/>
      <c r="B185" s="56"/>
      <c r="C185" s="56"/>
      <c r="D185" s="56"/>
      <c r="E185" s="57" t="str">
        <f t="shared" si="10"/>
        <v/>
      </c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7" t="str">
        <f t="shared" si="11"/>
        <v/>
      </c>
      <c r="Q185" s="56"/>
      <c r="R185" s="56"/>
      <c r="S185" s="56"/>
      <c r="T185" s="56"/>
      <c r="U185" s="56"/>
      <c r="V185" s="56"/>
      <c r="W185" s="56"/>
      <c r="X185" s="56"/>
    </row>
    <row r="186" spans="1:24" ht="14.4" customHeight="1" x14ac:dyDescent="0.3">
      <c r="A186" s="58"/>
      <c r="B186" s="59"/>
      <c r="C186" s="59"/>
      <c r="D186" s="59"/>
      <c r="E186" s="60" t="str">
        <f t="shared" si="10"/>
        <v/>
      </c>
      <c r="F186" s="59"/>
      <c r="G186" s="59"/>
      <c r="H186" s="59"/>
      <c r="I186" s="59"/>
      <c r="J186" s="59"/>
      <c r="K186" s="59"/>
      <c r="L186" s="59"/>
      <c r="M186" s="59"/>
      <c r="N186" s="59"/>
      <c r="O186" s="59"/>
      <c r="P186" s="60" t="str">
        <f t="shared" si="11"/>
        <v/>
      </c>
      <c r="Q186" s="59"/>
      <c r="R186" s="59"/>
      <c r="S186" s="59"/>
      <c r="T186" s="59"/>
      <c r="U186" s="59"/>
      <c r="V186" s="59"/>
      <c r="W186" s="59"/>
      <c r="X186" s="59"/>
    </row>
    <row r="187" spans="1:24" ht="14.4" customHeight="1" x14ac:dyDescent="0.3">
      <c r="A187" s="55"/>
      <c r="B187" s="56"/>
      <c r="C187" s="56"/>
      <c r="D187" s="56"/>
      <c r="E187" s="57" t="str">
        <f t="shared" si="10"/>
        <v/>
      </c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7" t="str">
        <f t="shared" si="11"/>
        <v/>
      </c>
      <c r="Q187" s="56"/>
      <c r="R187" s="56"/>
      <c r="S187" s="56"/>
      <c r="T187" s="56"/>
      <c r="U187" s="56"/>
      <c r="V187" s="56"/>
      <c r="W187" s="56"/>
      <c r="X187" s="56"/>
    </row>
    <row r="188" spans="1:24" ht="14.4" customHeight="1" x14ac:dyDescent="0.3">
      <c r="A188" s="58"/>
      <c r="B188" s="59"/>
      <c r="C188" s="59"/>
      <c r="D188" s="59"/>
      <c r="E188" s="60" t="str">
        <f t="shared" si="10"/>
        <v/>
      </c>
      <c r="F188" s="59"/>
      <c r="G188" s="59"/>
      <c r="H188" s="59"/>
      <c r="I188" s="59"/>
      <c r="J188" s="59"/>
      <c r="K188" s="59"/>
      <c r="L188" s="59"/>
      <c r="M188" s="59"/>
      <c r="N188" s="59"/>
      <c r="O188" s="59"/>
      <c r="P188" s="60" t="str">
        <f t="shared" si="11"/>
        <v/>
      </c>
      <c r="Q188" s="59"/>
      <c r="R188" s="59"/>
      <c r="S188" s="59"/>
      <c r="T188" s="59"/>
      <c r="U188" s="59"/>
      <c r="V188" s="59"/>
      <c r="W188" s="59"/>
      <c r="X188" s="59"/>
    </row>
    <row r="189" spans="1:24" ht="14.4" customHeight="1" x14ac:dyDescent="0.3">
      <c r="A189" s="55"/>
      <c r="B189" s="56"/>
      <c r="C189" s="56"/>
      <c r="D189" s="56"/>
      <c r="E189" s="57" t="str">
        <f t="shared" si="10"/>
        <v/>
      </c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7" t="str">
        <f t="shared" si="11"/>
        <v/>
      </c>
      <c r="Q189" s="56"/>
      <c r="R189" s="56"/>
      <c r="S189" s="56"/>
      <c r="T189" s="56"/>
      <c r="U189" s="56"/>
      <c r="V189" s="56"/>
      <c r="W189" s="56"/>
      <c r="X189" s="56"/>
    </row>
    <row r="190" spans="1:24" ht="14.4" customHeight="1" x14ac:dyDescent="0.3">
      <c r="A190" s="58"/>
      <c r="B190" s="59"/>
      <c r="C190" s="59"/>
      <c r="D190" s="59"/>
      <c r="E190" s="60" t="str">
        <f t="shared" si="10"/>
        <v/>
      </c>
      <c r="F190" s="59"/>
      <c r="G190" s="59"/>
      <c r="H190" s="59"/>
      <c r="I190" s="59"/>
      <c r="J190" s="59"/>
      <c r="K190" s="59"/>
      <c r="L190" s="59"/>
      <c r="M190" s="59"/>
      <c r="N190" s="59"/>
      <c r="O190" s="59"/>
      <c r="P190" s="60" t="str">
        <f t="shared" si="11"/>
        <v/>
      </c>
      <c r="Q190" s="59"/>
      <c r="R190" s="59"/>
      <c r="S190" s="59"/>
      <c r="T190" s="59"/>
      <c r="U190" s="59"/>
      <c r="V190" s="59"/>
      <c r="W190" s="59"/>
      <c r="X190" s="59"/>
    </row>
    <row r="191" spans="1:24" ht="14.4" customHeight="1" x14ac:dyDescent="0.3">
      <c r="A191" s="55"/>
      <c r="B191" s="56"/>
      <c r="C191" s="56"/>
      <c r="D191" s="56"/>
      <c r="E191" s="57" t="str">
        <f t="shared" si="10"/>
        <v/>
      </c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7" t="str">
        <f t="shared" si="11"/>
        <v/>
      </c>
      <c r="Q191" s="56"/>
      <c r="R191" s="56"/>
      <c r="S191" s="56"/>
      <c r="T191" s="56"/>
      <c r="U191" s="56"/>
      <c r="V191" s="56"/>
      <c r="W191" s="56"/>
      <c r="X191" s="56"/>
    </row>
    <row r="192" spans="1:24" ht="14.4" customHeight="1" x14ac:dyDescent="0.3">
      <c r="A192" s="58"/>
      <c r="B192" s="59"/>
      <c r="C192" s="59"/>
      <c r="D192" s="59"/>
      <c r="E192" s="60" t="str">
        <f t="shared" si="10"/>
        <v/>
      </c>
      <c r="F192" s="59"/>
      <c r="G192" s="59"/>
      <c r="H192" s="59"/>
      <c r="I192" s="59"/>
      <c r="J192" s="59"/>
      <c r="K192" s="59"/>
      <c r="L192" s="59"/>
      <c r="M192" s="59"/>
      <c r="N192" s="59"/>
      <c r="O192" s="59"/>
      <c r="P192" s="60" t="str">
        <f t="shared" si="11"/>
        <v/>
      </c>
      <c r="Q192" s="59"/>
      <c r="R192" s="59"/>
      <c r="S192" s="59"/>
      <c r="T192" s="59"/>
      <c r="U192" s="59"/>
      <c r="V192" s="59"/>
      <c r="W192" s="59"/>
      <c r="X192" s="59"/>
    </row>
    <row r="193" spans="1:24" ht="14.4" customHeight="1" x14ac:dyDescent="0.3">
      <c r="A193" s="55"/>
      <c r="B193" s="56"/>
      <c r="C193" s="56"/>
      <c r="D193" s="56"/>
      <c r="E193" s="57" t="str">
        <f t="shared" si="10"/>
        <v/>
      </c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7" t="str">
        <f t="shared" si="11"/>
        <v/>
      </c>
      <c r="Q193" s="56"/>
      <c r="R193" s="56"/>
      <c r="S193" s="56"/>
      <c r="T193" s="56"/>
      <c r="U193" s="56"/>
      <c r="V193" s="56"/>
      <c r="W193" s="56"/>
      <c r="X193" s="56"/>
    </row>
    <row r="194" spans="1:24" ht="14.4" customHeight="1" x14ac:dyDescent="0.3">
      <c r="A194" s="58"/>
      <c r="B194" s="59"/>
      <c r="C194" s="59"/>
      <c r="D194" s="59"/>
      <c r="E194" s="60" t="str">
        <f t="shared" si="10"/>
        <v/>
      </c>
      <c r="F194" s="59"/>
      <c r="G194" s="59"/>
      <c r="H194" s="59"/>
      <c r="I194" s="59"/>
      <c r="J194" s="59"/>
      <c r="K194" s="59"/>
      <c r="L194" s="59"/>
      <c r="M194" s="59"/>
      <c r="N194" s="59"/>
      <c r="O194" s="59"/>
      <c r="P194" s="60" t="str">
        <f t="shared" si="11"/>
        <v/>
      </c>
      <c r="Q194" s="59"/>
      <c r="R194" s="59"/>
      <c r="S194" s="59"/>
      <c r="T194" s="59"/>
      <c r="U194" s="59"/>
      <c r="V194" s="59"/>
      <c r="W194" s="59"/>
      <c r="X194" s="59"/>
    </row>
    <row r="195" spans="1:24" ht="14.4" customHeight="1" x14ac:dyDescent="0.3">
      <c r="A195" s="55"/>
      <c r="B195" s="56"/>
      <c r="C195" s="56"/>
      <c r="D195" s="56"/>
      <c r="E195" s="57" t="str">
        <f t="shared" si="10"/>
        <v/>
      </c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7" t="str">
        <f t="shared" si="11"/>
        <v/>
      </c>
      <c r="Q195" s="56"/>
      <c r="R195" s="56"/>
      <c r="S195" s="56"/>
      <c r="T195" s="56"/>
      <c r="U195" s="56"/>
      <c r="V195" s="56"/>
      <c r="W195" s="56"/>
      <c r="X195" s="56"/>
    </row>
    <row r="196" spans="1:24" ht="14.4" customHeight="1" x14ac:dyDescent="0.3">
      <c r="A196" s="58"/>
      <c r="B196" s="59"/>
      <c r="C196" s="59"/>
      <c r="D196" s="59"/>
      <c r="E196" s="60" t="str">
        <f t="shared" si="10"/>
        <v/>
      </c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60" t="str">
        <f t="shared" si="11"/>
        <v/>
      </c>
      <c r="Q196" s="59"/>
      <c r="R196" s="59"/>
      <c r="S196" s="59"/>
      <c r="T196" s="59"/>
      <c r="U196" s="59"/>
      <c r="V196" s="59"/>
      <c r="W196" s="59"/>
      <c r="X196" s="59"/>
    </row>
    <row r="197" spans="1:24" ht="14.4" customHeight="1" x14ac:dyDescent="0.3">
      <c r="A197" s="55"/>
      <c r="B197" s="56"/>
      <c r="C197" s="56"/>
      <c r="D197" s="56"/>
      <c r="E197" s="57" t="str">
        <f t="shared" ref="E197:E228" si="12">IF(B197="","","SBM-"&amp;B197&amp;"-G"&amp;TEXT(C197,"00")&amp;"-"&amp;D197)</f>
        <v/>
      </c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7" t="str">
        <f t="shared" ref="P197:P228" si="13">IF(L197="","",(M197-L197+1)+IF(N197="",0,O197-N197+1))</f>
        <v/>
      </c>
      <c r="Q197" s="56"/>
      <c r="R197" s="56"/>
      <c r="S197" s="56"/>
      <c r="T197" s="56"/>
      <c r="U197" s="56"/>
      <c r="V197" s="56"/>
      <c r="W197" s="56"/>
      <c r="X197" s="56"/>
    </row>
    <row r="198" spans="1:24" ht="14.4" customHeight="1" x14ac:dyDescent="0.3">
      <c r="A198" s="58"/>
      <c r="B198" s="59"/>
      <c r="C198" s="59"/>
      <c r="D198" s="59"/>
      <c r="E198" s="60" t="str">
        <f t="shared" si="12"/>
        <v/>
      </c>
      <c r="F198" s="59"/>
      <c r="G198" s="59"/>
      <c r="H198" s="59"/>
      <c r="I198" s="59"/>
      <c r="J198" s="59"/>
      <c r="K198" s="59"/>
      <c r="L198" s="59"/>
      <c r="M198" s="59"/>
      <c r="N198" s="59"/>
      <c r="O198" s="59"/>
      <c r="P198" s="60" t="str">
        <f t="shared" si="13"/>
        <v/>
      </c>
      <c r="Q198" s="59"/>
      <c r="R198" s="59"/>
      <c r="S198" s="59"/>
      <c r="T198" s="59"/>
      <c r="U198" s="59"/>
      <c r="V198" s="59"/>
      <c r="W198" s="59"/>
      <c r="X198" s="59"/>
    </row>
    <row r="199" spans="1:24" ht="14.4" customHeight="1" x14ac:dyDescent="0.3">
      <c r="A199" s="55"/>
      <c r="B199" s="56"/>
      <c r="C199" s="56"/>
      <c r="D199" s="56"/>
      <c r="E199" s="57" t="str">
        <f t="shared" si="12"/>
        <v/>
      </c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7" t="str">
        <f t="shared" si="13"/>
        <v/>
      </c>
      <c r="Q199" s="56"/>
      <c r="R199" s="56"/>
      <c r="S199" s="56"/>
      <c r="T199" s="56"/>
      <c r="U199" s="56"/>
      <c r="V199" s="56"/>
      <c r="W199" s="56"/>
      <c r="X199" s="56"/>
    </row>
    <row r="200" spans="1:24" ht="14.4" customHeight="1" x14ac:dyDescent="0.3">
      <c r="A200" s="58"/>
      <c r="B200" s="59"/>
      <c r="C200" s="59"/>
      <c r="D200" s="59"/>
      <c r="E200" s="60" t="str">
        <f t="shared" si="12"/>
        <v/>
      </c>
      <c r="F200" s="59"/>
      <c r="G200" s="59"/>
      <c r="H200" s="59"/>
      <c r="I200" s="59"/>
      <c r="J200" s="59"/>
      <c r="K200" s="59"/>
      <c r="L200" s="59"/>
      <c r="M200" s="59"/>
      <c r="N200" s="59"/>
      <c r="O200" s="59"/>
      <c r="P200" s="60" t="str">
        <f t="shared" si="13"/>
        <v/>
      </c>
      <c r="Q200" s="59"/>
      <c r="R200" s="59"/>
      <c r="S200" s="59"/>
      <c r="T200" s="59"/>
      <c r="U200" s="59"/>
      <c r="V200" s="59"/>
      <c r="W200" s="59"/>
      <c r="X200" s="59"/>
    </row>
    <row r="201" spans="1:24" ht="14.4" customHeight="1" x14ac:dyDescent="0.3">
      <c r="A201" s="55"/>
      <c r="B201" s="56"/>
      <c r="C201" s="56"/>
      <c r="D201" s="56"/>
      <c r="E201" s="57" t="str">
        <f t="shared" si="12"/>
        <v/>
      </c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7" t="str">
        <f t="shared" si="13"/>
        <v/>
      </c>
      <c r="Q201" s="56"/>
      <c r="R201" s="56"/>
      <c r="S201" s="56"/>
      <c r="T201" s="56"/>
      <c r="U201" s="56"/>
      <c r="V201" s="56"/>
      <c r="W201" s="56"/>
      <c r="X201" s="56"/>
    </row>
    <row r="202" spans="1:24" ht="14.4" customHeight="1" x14ac:dyDescent="0.3">
      <c r="A202" s="58"/>
      <c r="B202" s="59"/>
      <c r="C202" s="59"/>
      <c r="D202" s="59"/>
      <c r="E202" s="60" t="str">
        <f t="shared" si="12"/>
        <v/>
      </c>
      <c r="F202" s="59"/>
      <c r="G202" s="59"/>
      <c r="H202" s="59"/>
      <c r="I202" s="59"/>
      <c r="J202" s="59"/>
      <c r="K202" s="59"/>
      <c r="L202" s="59"/>
      <c r="M202" s="59"/>
      <c r="N202" s="59"/>
      <c r="O202" s="59"/>
      <c r="P202" s="60" t="str">
        <f t="shared" si="13"/>
        <v/>
      </c>
      <c r="Q202" s="59"/>
      <c r="R202" s="59"/>
      <c r="S202" s="59"/>
      <c r="T202" s="59"/>
      <c r="U202" s="59"/>
      <c r="V202" s="59"/>
      <c r="W202" s="59"/>
      <c r="X202" s="59"/>
    </row>
    <row r="203" spans="1:24" ht="14.4" customHeight="1" x14ac:dyDescent="0.3">
      <c r="A203" s="55"/>
      <c r="B203" s="56"/>
      <c r="C203" s="56"/>
      <c r="D203" s="56"/>
      <c r="E203" s="57" t="str">
        <f t="shared" si="12"/>
        <v/>
      </c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7" t="str">
        <f t="shared" si="13"/>
        <v/>
      </c>
      <c r="Q203" s="56"/>
      <c r="R203" s="56"/>
      <c r="S203" s="56"/>
      <c r="T203" s="56"/>
      <c r="U203" s="56"/>
      <c r="V203" s="56"/>
      <c r="W203" s="56"/>
      <c r="X203" s="56"/>
    </row>
    <row r="204" spans="1:24" ht="14.4" customHeight="1" x14ac:dyDescent="0.3">
      <c r="A204" s="58"/>
      <c r="B204" s="59"/>
      <c r="C204" s="59"/>
      <c r="D204" s="59"/>
      <c r="E204" s="60" t="str">
        <f t="shared" si="12"/>
        <v/>
      </c>
      <c r="F204" s="59"/>
      <c r="G204" s="59"/>
      <c r="H204" s="59"/>
      <c r="I204" s="59"/>
      <c r="J204" s="59"/>
      <c r="K204" s="59"/>
      <c r="L204" s="59"/>
      <c r="M204" s="59"/>
      <c r="N204" s="59"/>
      <c r="O204" s="59"/>
      <c r="P204" s="60" t="str">
        <f t="shared" si="13"/>
        <v/>
      </c>
      <c r="Q204" s="59"/>
      <c r="R204" s="59"/>
      <c r="S204" s="59"/>
      <c r="T204" s="59"/>
      <c r="U204" s="59"/>
      <c r="V204" s="59"/>
      <c r="W204" s="59"/>
      <c r="X204" s="59"/>
    </row>
  </sheetData>
  <autoFilter ref="A4:Y150" xr:uid="{00000000-0009-0000-0000-000001000000}"/>
  <mergeCells count="8">
    <mergeCell ref="A1:X1"/>
    <mergeCell ref="A2:X2"/>
    <mergeCell ref="B3:E3"/>
    <mergeCell ref="F3:H3"/>
    <mergeCell ref="I3:K3"/>
    <mergeCell ref="L3:R3"/>
    <mergeCell ref="S3:U3"/>
    <mergeCell ref="V3:X3"/>
  </mergeCells>
  <dataValidations count="6">
    <dataValidation type="list" allowBlank="1" errorTitle="Invalid Area" error="Pick a valid area code" sqref="B5:B204" xr:uid="{00000000-0002-0000-0100-000000000000}">
      <formula1>"SWRP,NWRP,NWWRP,NWP,WRD,WWRP,DRA"</formula1>
      <formula2>0</formula2>
    </dataValidation>
    <dataValidation type="list" allowBlank="1" errorTitle="Invalid Grid" error="Grid # must be 1-15" sqref="C5:C204" xr:uid="{00000000-0002-0000-0100-000001000000}">
      <formula1>"1,2,3,4,5,6,7,8,9,10,11,12,13,14,15"</formula1>
      <formula2>0</formula2>
    </dataValidation>
    <dataValidation type="list" allowBlank="1" sqref="D5:D204" xr:uid="{00000000-0002-0000-0100-000002000000}">
      <formula1>"B1,B2,B3,B4"</formula1>
      <formula2>0</formula2>
    </dataValidation>
    <dataValidation type="list" allowBlank="1" sqref="I5:I204" xr:uid="{00000000-0002-0000-0100-000003000000}">
      <formula1>"H,F"</formula1>
      <formula2>0</formula2>
    </dataValidation>
    <dataValidation type="list" allowBlank="1" sqref="J5:J204 Q5:Q204" xr:uid="{00000000-0002-0000-0100-000004000000}">
      <formula1>"Y,N"</formula1>
      <formula2>0</formula2>
    </dataValidation>
    <dataValidation type="date" operator="greaterThan" allowBlank="1" errorTitle="Invalid Date" error="Enter a valid date" sqref="A5:A204" xr:uid="{00000000-0002-0000-0100-000005000000}">
      <formula1>2026-3-1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305496"/>
    <pageSetUpPr fitToPage="1"/>
  </sheetPr>
  <dimension ref="A1:S1694"/>
  <sheetViews>
    <sheetView zoomScaleNormal="100" workbookViewId="0">
      <pane ySplit="4" topLeftCell="A5" activePane="bottomLeft" state="frozen"/>
      <selection pane="bottomLeft" activeCell="E22" sqref="E22"/>
    </sheetView>
  </sheetViews>
  <sheetFormatPr defaultColWidth="8.6640625" defaultRowHeight="13.8" customHeight="1" x14ac:dyDescent="0.3"/>
  <cols>
    <col min="1" max="1" width="18.21875" bestFit="1" customWidth="1"/>
    <col min="2" max="2" width="10.6640625" bestFit="1" customWidth="1"/>
    <col min="3" max="3" width="10.109375" bestFit="1" customWidth="1"/>
    <col min="4" max="4" width="12.33203125" bestFit="1" customWidth="1"/>
    <col min="5" max="5" width="9.33203125" bestFit="1" customWidth="1"/>
    <col min="6" max="13" width="10.6640625" bestFit="1" customWidth="1"/>
    <col min="14" max="14" width="12.88671875" bestFit="1" customWidth="1"/>
    <col min="15" max="15" width="12.21875" bestFit="1" customWidth="1"/>
    <col min="16" max="16" width="35.5546875" bestFit="1" customWidth="1"/>
    <col min="17" max="17" width="8.6640625" bestFit="1" customWidth="1"/>
    <col min="18" max="19" width="10" customWidth="1"/>
  </cols>
  <sheetData>
    <row r="1" spans="1:19" ht="13.8" customHeight="1" x14ac:dyDescent="0.35">
      <c r="A1" s="192" t="s">
        <v>235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192"/>
      <c r="Q1" s="61"/>
      <c r="R1" s="61"/>
      <c r="S1" s="61"/>
    </row>
    <row r="2" spans="1:19" ht="13.8" customHeight="1" x14ac:dyDescent="0.3">
      <c r="A2" s="193" t="s">
        <v>236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61"/>
      <c r="R2" s="61"/>
      <c r="S2" s="61"/>
    </row>
    <row r="3" spans="1:19" ht="13.8" customHeight="1" x14ac:dyDescent="0.3">
      <c r="A3" s="194" t="s">
        <v>237</v>
      </c>
      <c r="B3" s="194"/>
      <c r="C3" s="194"/>
      <c r="D3" s="194"/>
      <c r="E3" s="194"/>
      <c r="F3" s="194" t="s">
        <v>238</v>
      </c>
      <c r="G3" s="194"/>
      <c r="H3" s="194"/>
      <c r="I3" s="194"/>
      <c r="J3" s="194"/>
      <c r="K3" s="194"/>
      <c r="L3" s="194"/>
      <c r="M3" s="194"/>
      <c r="N3" s="194" t="s">
        <v>239</v>
      </c>
      <c r="O3" s="194"/>
      <c r="P3" s="61"/>
      <c r="Q3" s="61"/>
      <c r="R3" s="61"/>
      <c r="S3" s="61"/>
    </row>
    <row r="4" spans="1:19" ht="13.8" customHeight="1" x14ac:dyDescent="0.3">
      <c r="A4" s="17" t="s">
        <v>86</v>
      </c>
      <c r="B4" s="17" t="s">
        <v>240</v>
      </c>
      <c r="C4" s="17" t="s">
        <v>241</v>
      </c>
      <c r="D4" s="17" t="s">
        <v>242</v>
      </c>
      <c r="E4" s="17" t="s">
        <v>243</v>
      </c>
      <c r="F4" s="17" t="s">
        <v>244</v>
      </c>
      <c r="G4" s="17" t="s">
        <v>245</v>
      </c>
      <c r="H4" s="17" t="s">
        <v>246</v>
      </c>
      <c r="I4" s="17" t="s">
        <v>247</v>
      </c>
      <c r="J4" s="17" t="s">
        <v>248</v>
      </c>
      <c r="K4" s="17" t="s">
        <v>249</v>
      </c>
      <c r="L4" s="17" t="s">
        <v>250</v>
      </c>
      <c r="M4" s="17" t="s">
        <v>251</v>
      </c>
      <c r="N4" s="17" t="s">
        <v>252</v>
      </c>
      <c r="O4" s="17" t="s">
        <v>253</v>
      </c>
      <c r="P4" s="17" t="s">
        <v>47</v>
      </c>
      <c r="Q4" s="17" t="s">
        <v>254</v>
      </c>
      <c r="R4" s="61"/>
      <c r="S4" s="61"/>
    </row>
    <row r="5" spans="1:19" ht="13.8" customHeight="1" x14ac:dyDescent="0.3">
      <c r="A5" s="62" t="s">
        <v>255</v>
      </c>
      <c r="B5" s="63">
        <f>IFERROR(INDEX('Boulder Sample Log'!A$5:A$204,MATCH(A5,'Boulder Sample Log'!E$5:E$204,0)),"")</f>
        <v>46114</v>
      </c>
      <c r="C5" s="62">
        <v>2</v>
      </c>
      <c r="D5" s="62" t="s">
        <v>256</v>
      </c>
      <c r="E5" s="62">
        <v>1</v>
      </c>
      <c r="F5" s="64">
        <v>4.4000000000000004</v>
      </c>
      <c r="G5" s="62" t="s">
        <v>257</v>
      </c>
      <c r="H5" s="64">
        <v>5.79</v>
      </c>
      <c r="I5" s="64">
        <v>26141.29</v>
      </c>
      <c r="J5" s="64">
        <v>350.81</v>
      </c>
      <c r="K5" s="64">
        <v>9305.5400000000009</v>
      </c>
      <c r="L5" s="64">
        <v>35.93</v>
      </c>
      <c r="M5" s="64">
        <v>10.19</v>
      </c>
      <c r="N5" s="65">
        <v>120.6</v>
      </c>
      <c r="O5" s="62">
        <v>4</v>
      </c>
      <c r="P5" s="62"/>
      <c r="Q5" s="62" t="s">
        <v>258</v>
      </c>
      <c r="R5" s="61"/>
      <c r="S5" s="61"/>
    </row>
    <row r="6" spans="1:19" ht="13.8" customHeight="1" x14ac:dyDescent="0.3">
      <c r="A6" s="66" t="s">
        <v>255</v>
      </c>
      <c r="B6" s="67">
        <f>IFERROR(INDEX('Boulder Sample Log'!A$5:A$204,MATCH(A6,'Boulder Sample Log'!E$5:E$204,0)),"")</f>
        <v>46114</v>
      </c>
      <c r="C6" s="66">
        <v>3</v>
      </c>
      <c r="D6" s="66" t="s">
        <v>256</v>
      </c>
      <c r="E6" s="66">
        <v>1</v>
      </c>
      <c r="F6" s="68">
        <v>10.08</v>
      </c>
      <c r="G6" s="66" t="s">
        <v>257</v>
      </c>
      <c r="H6" s="68">
        <v>9.8800000000000008</v>
      </c>
      <c r="I6" s="68">
        <v>31370.69</v>
      </c>
      <c r="J6" s="68">
        <v>450.63</v>
      </c>
      <c r="K6" s="68">
        <v>3101.66</v>
      </c>
      <c r="L6" s="68">
        <v>34.14</v>
      </c>
      <c r="M6" s="68">
        <v>5.91</v>
      </c>
      <c r="N6" s="69">
        <v>120.6</v>
      </c>
      <c r="O6" s="66">
        <v>4</v>
      </c>
      <c r="P6" s="66"/>
      <c r="Q6" s="66" t="s">
        <v>258</v>
      </c>
      <c r="R6" s="61"/>
      <c r="S6" s="61"/>
    </row>
    <row r="7" spans="1:19" ht="13.8" customHeight="1" x14ac:dyDescent="0.3">
      <c r="A7" s="62" t="s">
        <v>255</v>
      </c>
      <c r="B7" s="63">
        <f>IFERROR(INDEX('Boulder Sample Log'!A$5:A$204,MATCH(A7,'Boulder Sample Log'!E$5:E$204,0)),"")</f>
        <v>46114</v>
      </c>
      <c r="C7" s="62">
        <v>4</v>
      </c>
      <c r="D7" s="62" t="s">
        <v>256</v>
      </c>
      <c r="E7" s="62">
        <v>1</v>
      </c>
      <c r="F7" s="64">
        <v>5.46</v>
      </c>
      <c r="G7" s="62" t="s">
        <v>257</v>
      </c>
      <c r="H7" s="64">
        <v>8.6</v>
      </c>
      <c r="I7" s="64">
        <v>31760.400000000001</v>
      </c>
      <c r="J7" s="64">
        <v>364.91</v>
      </c>
      <c r="K7" s="64">
        <v>11103.9</v>
      </c>
      <c r="L7" s="64">
        <v>47.85</v>
      </c>
      <c r="M7" s="64">
        <v>5.9</v>
      </c>
      <c r="N7" s="65">
        <v>120.6</v>
      </c>
      <c r="O7" s="62">
        <v>4</v>
      </c>
      <c r="P7" s="62"/>
      <c r="Q7" s="62" t="s">
        <v>258</v>
      </c>
      <c r="R7" s="61"/>
      <c r="S7" s="61"/>
    </row>
    <row r="8" spans="1:19" ht="13.8" customHeight="1" x14ac:dyDescent="0.3">
      <c r="A8" s="66" t="s">
        <v>255</v>
      </c>
      <c r="B8" s="67">
        <f>IFERROR(INDEX('Boulder Sample Log'!A$5:A$204,MATCH(A8,'Boulder Sample Log'!E$5:E$204,0)),"")</f>
        <v>46114</v>
      </c>
      <c r="C8" s="66">
        <v>5</v>
      </c>
      <c r="D8" s="66" t="s">
        <v>256</v>
      </c>
      <c r="E8" s="66">
        <v>2</v>
      </c>
      <c r="F8" s="66" t="s">
        <v>257</v>
      </c>
      <c r="G8" s="66" t="s">
        <v>257</v>
      </c>
      <c r="H8" s="68">
        <v>4.67</v>
      </c>
      <c r="I8" s="68">
        <v>33871.19</v>
      </c>
      <c r="J8" s="68">
        <v>512.15</v>
      </c>
      <c r="K8" s="68">
        <v>1829.2</v>
      </c>
      <c r="L8" s="68">
        <v>37.31</v>
      </c>
      <c r="M8" s="68">
        <v>9.32</v>
      </c>
      <c r="N8" s="69">
        <v>120.4</v>
      </c>
      <c r="O8" s="66">
        <v>4</v>
      </c>
      <c r="P8" s="66"/>
      <c r="Q8" s="66" t="s">
        <v>258</v>
      </c>
      <c r="R8" s="61"/>
      <c r="S8" s="61"/>
    </row>
    <row r="9" spans="1:19" ht="13.8" customHeight="1" x14ac:dyDescent="0.3">
      <c r="A9" s="62" t="s">
        <v>255</v>
      </c>
      <c r="B9" s="63">
        <f>IFERROR(INDEX('Boulder Sample Log'!A$5:A$204,MATCH(A9,'Boulder Sample Log'!E$5:E$204,0)),"")</f>
        <v>46114</v>
      </c>
      <c r="C9" s="62">
        <v>6</v>
      </c>
      <c r="D9" s="62" t="s">
        <v>256</v>
      </c>
      <c r="E9" s="62">
        <v>2</v>
      </c>
      <c r="F9" s="64">
        <v>48.44</v>
      </c>
      <c r="G9" s="62" t="s">
        <v>257</v>
      </c>
      <c r="H9" s="64">
        <v>4.83</v>
      </c>
      <c r="I9" s="64">
        <v>36168.129999999997</v>
      </c>
      <c r="J9" s="64">
        <v>1995.06</v>
      </c>
      <c r="K9" s="64">
        <v>28837.54</v>
      </c>
      <c r="L9" s="64">
        <v>101.51</v>
      </c>
      <c r="M9" s="64">
        <v>14.51</v>
      </c>
      <c r="N9" s="65">
        <v>120.5</v>
      </c>
      <c r="O9" s="62">
        <v>4</v>
      </c>
      <c r="P9" s="62"/>
      <c r="Q9" s="62" t="s">
        <v>258</v>
      </c>
      <c r="R9" s="61"/>
      <c r="S9" s="61"/>
    </row>
    <row r="10" spans="1:19" ht="13.8" customHeight="1" x14ac:dyDescent="0.3">
      <c r="A10" s="66" t="s">
        <v>255</v>
      </c>
      <c r="B10" s="67">
        <f>IFERROR(INDEX('Boulder Sample Log'!A$5:A$204,MATCH(A10,'Boulder Sample Log'!E$5:E$204,0)),"")</f>
        <v>46114</v>
      </c>
      <c r="C10" s="66">
        <v>7</v>
      </c>
      <c r="D10" s="66" t="s">
        <v>256</v>
      </c>
      <c r="E10" s="66">
        <v>2</v>
      </c>
      <c r="F10" s="68">
        <v>9.56</v>
      </c>
      <c r="G10" s="66" t="s">
        <v>257</v>
      </c>
      <c r="H10" s="68">
        <v>9.8800000000000008</v>
      </c>
      <c r="I10" s="68">
        <v>28289.14</v>
      </c>
      <c r="J10" s="68">
        <v>383.92</v>
      </c>
      <c r="K10" s="68">
        <v>9457.1</v>
      </c>
      <c r="L10" s="68">
        <v>36.6</v>
      </c>
      <c r="M10" s="68">
        <v>14.88</v>
      </c>
      <c r="N10" s="69">
        <v>120.4</v>
      </c>
      <c r="O10" s="66">
        <v>4</v>
      </c>
      <c r="P10" s="66"/>
      <c r="Q10" s="66" t="s">
        <v>258</v>
      </c>
      <c r="R10" s="61"/>
      <c r="S10" s="61"/>
    </row>
    <row r="11" spans="1:19" ht="13.8" customHeight="1" x14ac:dyDescent="0.3">
      <c r="A11" s="62" t="s">
        <v>255</v>
      </c>
      <c r="B11" s="63">
        <f>IFERROR(INDEX('Boulder Sample Log'!A$5:A$204,MATCH(A11,'Boulder Sample Log'!E$5:E$204,0)),"")</f>
        <v>46114</v>
      </c>
      <c r="C11" s="62">
        <v>8</v>
      </c>
      <c r="D11" s="62" t="s">
        <v>256</v>
      </c>
      <c r="E11" s="62">
        <v>3</v>
      </c>
      <c r="F11" s="62" t="s">
        <v>257</v>
      </c>
      <c r="G11" s="62" t="s">
        <v>257</v>
      </c>
      <c r="H11" s="64">
        <v>6.55</v>
      </c>
      <c r="I11" s="64">
        <v>42506.76</v>
      </c>
      <c r="J11" s="64">
        <v>1258.1500000000001</v>
      </c>
      <c r="K11" s="64">
        <v>6270.34</v>
      </c>
      <c r="L11" s="64">
        <v>42.16</v>
      </c>
      <c r="M11" s="64">
        <v>16.55</v>
      </c>
      <c r="N11" s="65">
        <v>120.4</v>
      </c>
      <c r="O11" s="62">
        <v>4</v>
      </c>
      <c r="P11" s="62"/>
      <c r="Q11" s="62" t="s">
        <v>258</v>
      </c>
      <c r="R11" s="61"/>
      <c r="S11" s="61"/>
    </row>
    <row r="12" spans="1:19" ht="13.8" customHeight="1" x14ac:dyDescent="0.3">
      <c r="A12" s="66" t="s">
        <v>255</v>
      </c>
      <c r="B12" s="67">
        <f>IFERROR(INDEX('Boulder Sample Log'!A$5:A$204,MATCH(A12,'Boulder Sample Log'!E$5:E$204,0)),"")</f>
        <v>46114</v>
      </c>
      <c r="C12" s="66">
        <v>9</v>
      </c>
      <c r="D12" s="66" t="s">
        <v>256</v>
      </c>
      <c r="E12" s="66">
        <v>3</v>
      </c>
      <c r="F12" s="68">
        <v>6.17</v>
      </c>
      <c r="G12" s="66" t="s">
        <v>257</v>
      </c>
      <c r="H12" s="68">
        <v>8.9600000000000009</v>
      </c>
      <c r="I12" s="68">
        <v>34397.96</v>
      </c>
      <c r="J12" s="68">
        <v>421.92</v>
      </c>
      <c r="K12" s="68">
        <v>5260.86</v>
      </c>
      <c r="L12" s="68">
        <v>46.72</v>
      </c>
      <c r="M12" s="68">
        <v>17.37</v>
      </c>
      <c r="N12" s="69">
        <v>120.5</v>
      </c>
      <c r="O12" s="66">
        <v>4</v>
      </c>
      <c r="P12" s="66"/>
      <c r="Q12" s="66" t="s">
        <v>258</v>
      </c>
      <c r="R12" s="61"/>
      <c r="S12" s="61"/>
    </row>
    <row r="13" spans="1:19" ht="13.8" customHeight="1" x14ac:dyDescent="0.3">
      <c r="A13" s="62" t="s">
        <v>255</v>
      </c>
      <c r="B13" s="63">
        <f>IFERROR(INDEX('Boulder Sample Log'!A$5:A$204,MATCH(A13,'Boulder Sample Log'!E$5:E$204,0)),"")</f>
        <v>46114</v>
      </c>
      <c r="C13" s="62">
        <v>10</v>
      </c>
      <c r="D13" s="62" t="s">
        <v>256</v>
      </c>
      <c r="E13" s="62">
        <v>3</v>
      </c>
      <c r="F13" s="64">
        <v>5.99</v>
      </c>
      <c r="G13" s="62" t="s">
        <v>257</v>
      </c>
      <c r="H13" s="64">
        <v>6.75</v>
      </c>
      <c r="I13" s="64">
        <v>30778.17</v>
      </c>
      <c r="J13" s="64">
        <v>395.8</v>
      </c>
      <c r="K13" s="64">
        <v>11560.28</v>
      </c>
      <c r="L13" s="64">
        <v>33.65</v>
      </c>
      <c r="M13" s="64">
        <v>8.18</v>
      </c>
      <c r="N13" s="65">
        <v>120.4</v>
      </c>
      <c r="O13" s="62">
        <v>4</v>
      </c>
      <c r="P13" s="62"/>
      <c r="Q13" s="62" t="s">
        <v>258</v>
      </c>
      <c r="R13" s="61"/>
      <c r="S13" s="61"/>
    </row>
    <row r="14" spans="1:19" ht="13.8" customHeight="1" x14ac:dyDescent="0.3">
      <c r="A14" s="66" t="s">
        <v>255</v>
      </c>
      <c r="B14" s="67">
        <f>IFERROR(INDEX('Boulder Sample Log'!A$5:A$204,MATCH(A14,'Boulder Sample Log'!E$5:E$204,0)),"")</f>
        <v>46114</v>
      </c>
      <c r="C14" s="66">
        <v>11</v>
      </c>
      <c r="D14" s="66" t="s">
        <v>256</v>
      </c>
      <c r="E14" s="66">
        <v>4</v>
      </c>
      <c r="F14" s="68">
        <v>19.079999999999998</v>
      </c>
      <c r="G14" s="66" t="s">
        <v>257</v>
      </c>
      <c r="H14" s="68">
        <v>6.07</v>
      </c>
      <c r="I14" s="68">
        <v>30223.72</v>
      </c>
      <c r="J14" s="66" t="s">
        <v>257</v>
      </c>
      <c r="K14" s="68">
        <v>18289.84</v>
      </c>
      <c r="L14" s="66" t="s">
        <v>257</v>
      </c>
      <c r="M14" s="66" t="s">
        <v>257</v>
      </c>
      <c r="N14" s="69">
        <v>120.4</v>
      </c>
      <c r="O14" s="66">
        <v>4</v>
      </c>
      <c r="P14" s="66"/>
      <c r="Q14" s="66" t="s">
        <v>258</v>
      </c>
      <c r="R14" s="61"/>
      <c r="S14" s="61"/>
    </row>
    <row r="15" spans="1:19" ht="13.8" customHeight="1" x14ac:dyDescent="0.3">
      <c r="A15" s="62" t="s">
        <v>255</v>
      </c>
      <c r="B15" s="63">
        <f>IFERROR(INDEX('Boulder Sample Log'!A$5:A$204,MATCH(A15,'Boulder Sample Log'!E$5:E$204,0)),"")</f>
        <v>46114</v>
      </c>
      <c r="C15" s="62">
        <v>12</v>
      </c>
      <c r="D15" s="62" t="s">
        <v>256</v>
      </c>
      <c r="E15" s="62">
        <v>4</v>
      </c>
      <c r="F15" s="64">
        <v>6.97</v>
      </c>
      <c r="G15" s="62" t="s">
        <v>257</v>
      </c>
      <c r="H15" s="64">
        <v>7.94</v>
      </c>
      <c r="I15" s="64">
        <v>27823.93</v>
      </c>
      <c r="J15" s="64">
        <v>375.82</v>
      </c>
      <c r="K15" s="64">
        <v>12337.52</v>
      </c>
      <c r="L15" s="64">
        <v>32.369999999999997</v>
      </c>
      <c r="M15" s="64">
        <v>18.670000000000002</v>
      </c>
      <c r="N15" s="65">
        <v>120.5</v>
      </c>
      <c r="O15" s="62">
        <v>4</v>
      </c>
      <c r="P15" s="62"/>
      <c r="Q15" s="62" t="s">
        <v>258</v>
      </c>
      <c r="R15" s="61"/>
      <c r="S15" s="61"/>
    </row>
    <row r="16" spans="1:19" ht="13.8" customHeight="1" x14ac:dyDescent="0.3">
      <c r="A16" s="66" t="s">
        <v>255</v>
      </c>
      <c r="B16" s="67">
        <f>IFERROR(INDEX('Boulder Sample Log'!A$5:A$204,MATCH(A16,'Boulder Sample Log'!E$5:E$204,0)),"")</f>
        <v>46114</v>
      </c>
      <c r="C16" s="66">
        <v>13</v>
      </c>
      <c r="D16" s="66" t="s">
        <v>256</v>
      </c>
      <c r="E16" s="66">
        <v>4</v>
      </c>
      <c r="F16" s="68">
        <v>2.82</v>
      </c>
      <c r="G16" s="66" t="s">
        <v>257</v>
      </c>
      <c r="H16" s="68">
        <v>6.5</v>
      </c>
      <c r="I16" s="68">
        <v>45214.65</v>
      </c>
      <c r="J16" s="68">
        <v>1167.05</v>
      </c>
      <c r="K16" s="68">
        <v>6241.55</v>
      </c>
      <c r="L16" s="68">
        <v>46.33</v>
      </c>
      <c r="M16" s="68">
        <v>16</v>
      </c>
      <c r="N16" s="69">
        <v>120.4</v>
      </c>
      <c r="O16" s="66">
        <v>4</v>
      </c>
      <c r="P16" s="66"/>
      <c r="Q16" s="66" t="s">
        <v>258</v>
      </c>
      <c r="R16" s="61"/>
      <c r="S16" s="61"/>
    </row>
    <row r="17" spans="1:19" ht="13.8" customHeight="1" x14ac:dyDescent="0.3">
      <c r="A17" s="62" t="s">
        <v>255</v>
      </c>
      <c r="B17" s="63">
        <f>IFERROR(INDEX('Boulder Sample Log'!A$5:A$204,MATCH(A17,'Boulder Sample Log'!E$5:E$204,0)),"")</f>
        <v>46114</v>
      </c>
      <c r="C17" s="62">
        <v>14</v>
      </c>
      <c r="D17" s="62" t="s">
        <v>256</v>
      </c>
      <c r="E17" s="62">
        <v>5</v>
      </c>
      <c r="F17" s="64">
        <v>12.59</v>
      </c>
      <c r="G17" s="62" t="s">
        <v>257</v>
      </c>
      <c r="H17" s="64">
        <v>6.05</v>
      </c>
      <c r="I17" s="64">
        <v>45975.91</v>
      </c>
      <c r="J17" s="64">
        <v>401.99</v>
      </c>
      <c r="K17" s="64">
        <v>12383.45</v>
      </c>
      <c r="L17" s="64">
        <v>41.49</v>
      </c>
      <c r="M17" s="64">
        <v>21.92</v>
      </c>
      <c r="N17" s="65">
        <v>120.3</v>
      </c>
      <c r="O17" s="62">
        <v>4</v>
      </c>
      <c r="P17" s="62"/>
      <c r="Q17" s="62" t="s">
        <v>258</v>
      </c>
      <c r="R17" s="61"/>
      <c r="S17" s="61"/>
    </row>
    <row r="18" spans="1:19" ht="13.8" customHeight="1" x14ac:dyDescent="0.3">
      <c r="A18" s="66" t="s">
        <v>255</v>
      </c>
      <c r="B18" s="67">
        <f>IFERROR(INDEX('Boulder Sample Log'!A$5:A$204,MATCH(A18,'Boulder Sample Log'!E$5:E$204,0)),"")</f>
        <v>46114</v>
      </c>
      <c r="C18" s="66">
        <v>15</v>
      </c>
      <c r="D18" s="66" t="s">
        <v>256</v>
      </c>
      <c r="E18" s="66">
        <v>5</v>
      </c>
      <c r="F18" s="68">
        <v>32.659999999999997</v>
      </c>
      <c r="G18" s="66" t="s">
        <v>257</v>
      </c>
      <c r="H18" s="68">
        <v>6.17</v>
      </c>
      <c r="I18" s="68">
        <v>37341.72</v>
      </c>
      <c r="J18" s="68">
        <v>1170.19</v>
      </c>
      <c r="K18" s="68">
        <v>32405.24</v>
      </c>
      <c r="L18" s="68">
        <v>68.3</v>
      </c>
      <c r="M18" s="68">
        <v>8.3800000000000008</v>
      </c>
      <c r="N18" s="69">
        <v>120.7</v>
      </c>
      <c r="O18" s="66">
        <v>4</v>
      </c>
      <c r="P18" s="66"/>
      <c r="Q18" s="66" t="s">
        <v>258</v>
      </c>
      <c r="R18" s="61"/>
      <c r="S18" s="61"/>
    </row>
    <row r="19" spans="1:19" ht="13.8" customHeight="1" x14ac:dyDescent="0.3">
      <c r="A19" s="62" t="s">
        <v>255</v>
      </c>
      <c r="B19" s="63">
        <f>IFERROR(INDEX('Boulder Sample Log'!A$5:A$204,MATCH(A19,'Boulder Sample Log'!E$5:E$204,0)),"")</f>
        <v>46114</v>
      </c>
      <c r="C19" s="62">
        <v>16</v>
      </c>
      <c r="D19" s="62" t="s">
        <v>256</v>
      </c>
      <c r="E19" s="62">
        <v>5</v>
      </c>
      <c r="F19" s="64">
        <v>14.35</v>
      </c>
      <c r="G19" s="62" t="s">
        <v>257</v>
      </c>
      <c r="H19" s="64">
        <v>5.47</v>
      </c>
      <c r="I19" s="64">
        <v>52586.05</v>
      </c>
      <c r="J19" s="64">
        <v>1124.99</v>
      </c>
      <c r="K19" s="64">
        <v>6540.37</v>
      </c>
      <c r="L19" s="64">
        <v>85.9</v>
      </c>
      <c r="M19" s="64">
        <v>44.13</v>
      </c>
      <c r="N19" s="65">
        <v>120.3</v>
      </c>
      <c r="O19" s="62">
        <v>4</v>
      </c>
      <c r="P19" s="62"/>
      <c r="Q19" s="62" t="s">
        <v>258</v>
      </c>
      <c r="R19" s="61"/>
      <c r="S19" s="61"/>
    </row>
    <row r="20" spans="1:19" ht="13.8" customHeight="1" x14ac:dyDescent="0.3">
      <c r="A20" s="66" t="s">
        <v>255</v>
      </c>
      <c r="B20" s="67">
        <f>IFERROR(INDEX('Boulder Sample Log'!A$5:A$204,MATCH(A20,'Boulder Sample Log'!E$5:E$204,0)),"")</f>
        <v>46114</v>
      </c>
      <c r="C20" s="66">
        <v>17</v>
      </c>
      <c r="D20" s="66" t="s">
        <v>259</v>
      </c>
      <c r="E20" s="66" t="s">
        <v>260</v>
      </c>
      <c r="F20" s="66" t="s">
        <v>257</v>
      </c>
      <c r="G20" s="66" t="s">
        <v>257</v>
      </c>
      <c r="H20" s="66" t="s">
        <v>257</v>
      </c>
      <c r="I20" s="68">
        <v>22640.14</v>
      </c>
      <c r="J20" s="68">
        <v>425.48</v>
      </c>
      <c r="K20" s="68">
        <v>1891.14</v>
      </c>
      <c r="L20" s="68">
        <v>21.2</v>
      </c>
      <c r="M20" s="66" t="s">
        <v>257</v>
      </c>
      <c r="N20" s="69">
        <v>120.4</v>
      </c>
      <c r="O20" s="66">
        <v>4</v>
      </c>
      <c r="P20" s="66" t="s">
        <v>109</v>
      </c>
      <c r="Q20" s="66" t="s">
        <v>258</v>
      </c>
      <c r="R20" s="61"/>
      <c r="S20" s="61"/>
    </row>
    <row r="21" spans="1:19" ht="13.8" customHeight="1" x14ac:dyDescent="0.3">
      <c r="A21" s="62" t="s">
        <v>255</v>
      </c>
      <c r="B21" s="63">
        <f>IFERROR(INDEX('Boulder Sample Log'!A$5:A$204,MATCH(A21,'Boulder Sample Log'!E$5:E$204,0)),"")</f>
        <v>46114</v>
      </c>
      <c r="C21" s="62">
        <v>18</v>
      </c>
      <c r="D21" s="62" t="s">
        <v>259</v>
      </c>
      <c r="E21" s="62" t="s">
        <v>260</v>
      </c>
      <c r="F21" s="64">
        <v>3</v>
      </c>
      <c r="G21" s="62" t="s">
        <v>257</v>
      </c>
      <c r="H21" s="64">
        <v>4.7699999999999996</v>
      </c>
      <c r="I21" s="64">
        <v>27067.32</v>
      </c>
      <c r="J21" s="64">
        <v>552.04999999999995</v>
      </c>
      <c r="K21" s="64">
        <v>3214.15</v>
      </c>
      <c r="L21" s="64">
        <v>33.909999999999997</v>
      </c>
      <c r="M21" s="64">
        <v>4.8499999999999996</v>
      </c>
      <c r="N21" s="65">
        <v>120.1</v>
      </c>
      <c r="O21" s="62">
        <v>4</v>
      </c>
      <c r="P21" s="62" t="s">
        <v>109</v>
      </c>
      <c r="Q21" s="62" t="s">
        <v>258</v>
      </c>
      <c r="R21" s="61"/>
      <c r="S21" s="61"/>
    </row>
    <row r="22" spans="1:19" ht="13.8" customHeight="1" x14ac:dyDescent="0.3">
      <c r="A22" s="66" t="s">
        <v>255</v>
      </c>
      <c r="B22" s="67">
        <f>IFERROR(INDEX('Boulder Sample Log'!A$5:A$204,MATCH(A22,'Boulder Sample Log'!E$5:E$204,0)),"")</f>
        <v>46114</v>
      </c>
      <c r="C22" s="66">
        <v>19</v>
      </c>
      <c r="D22" s="66" t="s">
        <v>259</v>
      </c>
      <c r="E22" s="66" t="s">
        <v>260</v>
      </c>
      <c r="F22" s="66" t="s">
        <v>257</v>
      </c>
      <c r="G22" s="66" t="s">
        <v>257</v>
      </c>
      <c r="H22" s="68">
        <v>4.92</v>
      </c>
      <c r="I22" s="68">
        <v>26538.34</v>
      </c>
      <c r="J22" s="68">
        <v>547.54999999999995</v>
      </c>
      <c r="K22" s="68">
        <v>3325.85</v>
      </c>
      <c r="L22" s="68">
        <v>31.92</v>
      </c>
      <c r="M22" s="68">
        <v>7.16</v>
      </c>
      <c r="N22" s="69">
        <v>120.4</v>
      </c>
      <c r="O22" s="66">
        <v>4</v>
      </c>
      <c r="P22" s="66" t="s">
        <v>109</v>
      </c>
      <c r="Q22" s="66" t="s">
        <v>258</v>
      </c>
      <c r="R22" s="61"/>
      <c r="S22" s="61"/>
    </row>
    <row r="23" spans="1:19" ht="13.8" customHeight="1" x14ac:dyDescent="0.3">
      <c r="A23" s="62" t="s">
        <v>261</v>
      </c>
      <c r="B23" s="63">
        <f>IFERROR(INDEX('Boulder Sample Log'!A$5:A$204,MATCH(A23,'Boulder Sample Log'!E$5:E$204,0)),"")</f>
        <v>46114</v>
      </c>
      <c r="C23" s="62">
        <v>20</v>
      </c>
      <c r="D23" s="62" t="s">
        <v>256</v>
      </c>
      <c r="E23" s="62">
        <v>1</v>
      </c>
      <c r="F23" s="64">
        <v>5.51</v>
      </c>
      <c r="G23" s="62" t="s">
        <v>257</v>
      </c>
      <c r="H23" s="64">
        <v>17.53</v>
      </c>
      <c r="I23" s="64">
        <v>32516.49</v>
      </c>
      <c r="J23" s="64">
        <v>503.23</v>
      </c>
      <c r="K23" s="64">
        <v>1418.38</v>
      </c>
      <c r="L23" s="64">
        <v>28.61</v>
      </c>
      <c r="M23" s="64">
        <v>4.55</v>
      </c>
      <c r="N23" s="65">
        <v>120.5</v>
      </c>
      <c r="O23" s="62">
        <v>4</v>
      </c>
      <c r="P23" s="62"/>
      <c r="Q23" s="62" t="s">
        <v>258</v>
      </c>
      <c r="R23" s="61"/>
      <c r="S23" s="61"/>
    </row>
    <row r="24" spans="1:19" ht="13.8" customHeight="1" x14ac:dyDescent="0.3">
      <c r="A24" s="66" t="s">
        <v>261</v>
      </c>
      <c r="B24" s="67">
        <f>IFERROR(INDEX('Boulder Sample Log'!A$5:A$204,MATCH(A24,'Boulder Sample Log'!E$5:E$204,0)),"")</f>
        <v>46114</v>
      </c>
      <c r="C24" s="66">
        <v>21</v>
      </c>
      <c r="D24" s="66" t="s">
        <v>256</v>
      </c>
      <c r="E24" s="66">
        <v>1</v>
      </c>
      <c r="F24" s="66" t="s">
        <v>257</v>
      </c>
      <c r="G24" s="66" t="s">
        <v>257</v>
      </c>
      <c r="H24" s="68">
        <v>9.51</v>
      </c>
      <c r="I24" s="68">
        <v>36634.33</v>
      </c>
      <c r="J24" s="68">
        <v>447.57</v>
      </c>
      <c r="K24" s="68">
        <v>1194.0899999999999</v>
      </c>
      <c r="L24" s="68">
        <v>29.94</v>
      </c>
      <c r="M24" s="68">
        <v>10.73</v>
      </c>
      <c r="N24" s="69">
        <v>120.3</v>
      </c>
      <c r="O24" s="66">
        <v>4</v>
      </c>
      <c r="P24" s="66"/>
      <c r="Q24" s="66" t="s">
        <v>258</v>
      </c>
      <c r="R24" s="61"/>
      <c r="S24" s="61"/>
    </row>
    <row r="25" spans="1:19" ht="13.8" customHeight="1" x14ac:dyDescent="0.3">
      <c r="A25" s="62" t="s">
        <v>261</v>
      </c>
      <c r="B25" s="63">
        <f>IFERROR(INDEX('Boulder Sample Log'!A$5:A$204,MATCH(A25,'Boulder Sample Log'!E$5:E$204,0)),"")</f>
        <v>46114</v>
      </c>
      <c r="C25" s="62">
        <v>22</v>
      </c>
      <c r="D25" s="62" t="s">
        <v>256</v>
      </c>
      <c r="E25" s="62">
        <v>1</v>
      </c>
      <c r="F25" s="62" t="s">
        <v>257</v>
      </c>
      <c r="G25" s="62" t="s">
        <v>257</v>
      </c>
      <c r="H25" s="64">
        <v>7.58</v>
      </c>
      <c r="I25" s="64">
        <v>32304.81</v>
      </c>
      <c r="J25" s="64">
        <v>392.8</v>
      </c>
      <c r="K25" s="64">
        <v>1193.97</v>
      </c>
      <c r="L25" s="64">
        <v>30.45</v>
      </c>
      <c r="M25" s="64">
        <v>8.4</v>
      </c>
      <c r="N25" s="65">
        <v>120.2</v>
      </c>
      <c r="O25" s="62">
        <v>4</v>
      </c>
      <c r="P25" s="62"/>
      <c r="Q25" s="62" t="s">
        <v>258</v>
      </c>
      <c r="R25" s="61"/>
      <c r="S25" s="61"/>
    </row>
    <row r="26" spans="1:19" ht="13.8" customHeight="1" x14ac:dyDescent="0.3">
      <c r="A26" s="66" t="s">
        <v>261</v>
      </c>
      <c r="B26" s="67">
        <f>IFERROR(INDEX('Boulder Sample Log'!A$5:A$204,MATCH(A26,'Boulder Sample Log'!E$5:E$204,0)),"")</f>
        <v>46114</v>
      </c>
      <c r="C26" s="66">
        <v>23</v>
      </c>
      <c r="D26" s="66" t="s">
        <v>256</v>
      </c>
      <c r="E26" s="66">
        <v>2</v>
      </c>
      <c r="F26" s="68">
        <v>3.64</v>
      </c>
      <c r="G26" s="66" t="s">
        <v>257</v>
      </c>
      <c r="H26" s="68">
        <v>8.07</v>
      </c>
      <c r="I26" s="68">
        <v>31763.87</v>
      </c>
      <c r="J26" s="68">
        <v>474.79</v>
      </c>
      <c r="K26" s="68">
        <v>2118.13</v>
      </c>
      <c r="L26" s="68">
        <v>59.21</v>
      </c>
      <c r="M26" s="68">
        <v>15.16</v>
      </c>
      <c r="N26" s="69">
        <v>122.8</v>
      </c>
      <c r="O26" s="66">
        <v>4</v>
      </c>
      <c r="P26" s="66"/>
      <c r="Q26" s="66" t="s">
        <v>258</v>
      </c>
      <c r="R26" s="61"/>
      <c r="S26" s="61"/>
    </row>
    <row r="27" spans="1:19" ht="13.8" customHeight="1" x14ac:dyDescent="0.3">
      <c r="A27" s="62" t="s">
        <v>261</v>
      </c>
      <c r="B27" s="63">
        <f>IFERROR(INDEX('Boulder Sample Log'!A$5:A$204,MATCH(A27,'Boulder Sample Log'!E$5:E$204,0)),"")</f>
        <v>46114</v>
      </c>
      <c r="C27" s="62">
        <v>24</v>
      </c>
      <c r="D27" s="62" t="s">
        <v>256</v>
      </c>
      <c r="E27" s="62">
        <v>2</v>
      </c>
      <c r="F27" s="62" t="s">
        <v>257</v>
      </c>
      <c r="G27" s="62" t="s">
        <v>257</v>
      </c>
      <c r="H27" s="62" t="s">
        <v>257</v>
      </c>
      <c r="I27" s="62" t="s">
        <v>257</v>
      </c>
      <c r="J27" s="64">
        <v>417.58</v>
      </c>
      <c r="K27" s="64">
        <v>3039.23</v>
      </c>
      <c r="L27" s="62" t="s">
        <v>257</v>
      </c>
      <c r="M27" s="62" t="s">
        <v>257</v>
      </c>
      <c r="N27" s="65">
        <v>123.9</v>
      </c>
      <c r="O27" s="62">
        <v>4</v>
      </c>
      <c r="P27" s="62"/>
      <c r="Q27" s="62" t="s">
        <v>258</v>
      </c>
      <c r="R27" s="61"/>
      <c r="S27" s="61"/>
    </row>
    <row r="28" spans="1:19" ht="13.8" customHeight="1" x14ac:dyDescent="0.3">
      <c r="A28" s="66" t="s">
        <v>261</v>
      </c>
      <c r="B28" s="67">
        <f>IFERROR(INDEX('Boulder Sample Log'!A$5:A$204,MATCH(A28,'Boulder Sample Log'!E$5:E$204,0)),"")</f>
        <v>46114</v>
      </c>
      <c r="C28" s="66">
        <v>25</v>
      </c>
      <c r="D28" s="66" t="s">
        <v>256</v>
      </c>
      <c r="E28" s="66">
        <v>2</v>
      </c>
      <c r="F28" s="68">
        <v>2.4700000000000002</v>
      </c>
      <c r="G28" s="66" t="s">
        <v>257</v>
      </c>
      <c r="H28" s="68">
        <v>7.41</v>
      </c>
      <c r="I28" s="68">
        <v>32270.59</v>
      </c>
      <c r="J28" s="68">
        <v>384.11</v>
      </c>
      <c r="K28" s="68">
        <v>3427.39</v>
      </c>
      <c r="L28" s="68">
        <v>52.39</v>
      </c>
      <c r="M28" s="68">
        <v>11.6</v>
      </c>
      <c r="N28" s="69">
        <v>120.7</v>
      </c>
      <c r="O28" s="66">
        <v>4</v>
      </c>
      <c r="P28" s="66"/>
      <c r="Q28" s="66" t="s">
        <v>258</v>
      </c>
      <c r="R28" s="61"/>
      <c r="S28" s="61"/>
    </row>
    <row r="29" spans="1:19" ht="13.8" customHeight="1" x14ac:dyDescent="0.3">
      <c r="A29" s="62" t="s">
        <v>261</v>
      </c>
      <c r="B29" s="63">
        <f>IFERROR(INDEX('Boulder Sample Log'!A$5:A$204,MATCH(A29,'Boulder Sample Log'!E$5:E$204,0)),"")</f>
        <v>46114</v>
      </c>
      <c r="C29" s="62">
        <v>26</v>
      </c>
      <c r="D29" s="62" t="s">
        <v>256</v>
      </c>
      <c r="E29" s="62">
        <v>3</v>
      </c>
      <c r="F29" s="64">
        <v>164.15</v>
      </c>
      <c r="G29" s="62" t="s">
        <v>257</v>
      </c>
      <c r="H29" s="64">
        <v>7.78</v>
      </c>
      <c r="I29" s="64">
        <v>22918.85</v>
      </c>
      <c r="J29" s="62" t="s">
        <v>257</v>
      </c>
      <c r="K29" s="64">
        <v>22013.09</v>
      </c>
      <c r="L29" s="62" t="s">
        <v>257</v>
      </c>
      <c r="M29" s="62" t="s">
        <v>257</v>
      </c>
      <c r="N29" s="65">
        <v>120.6</v>
      </c>
      <c r="O29" s="62">
        <v>4</v>
      </c>
      <c r="P29" s="62"/>
      <c r="Q29" s="62" t="s">
        <v>258</v>
      </c>
      <c r="R29" s="61"/>
      <c r="S29" s="61"/>
    </row>
    <row r="30" spans="1:19" ht="13.8" customHeight="1" x14ac:dyDescent="0.3">
      <c r="A30" s="66" t="s">
        <v>261</v>
      </c>
      <c r="B30" s="67">
        <f>IFERROR(INDEX('Boulder Sample Log'!A$5:A$204,MATCH(A30,'Boulder Sample Log'!E$5:E$204,0)),"")</f>
        <v>46114</v>
      </c>
      <c r="C30" s="66">
        <v>27</v>
      </c>
      <c r="D30" s="66" t="s">
        <v>256</v>
      </c>
      <c r="E30" s="66">
        <v>3</v>
      </c>
      <c r="F30" s="68">
        <v>174.54</v>
      </c>
      <c r="G30" s="66" t="s">
        <v>257</v>
      </c>
      <c r="H30" s="68">
        <v>8.42</v>
      </c>
      <c r="I30" s="68">
        <v>27010.91</v>
      </c>
      <c r="J30" s="66" t="s">
        <v>257</v>
      </c>
      <c r="K30" s="68">
        <v>25680.51</v>
      </c>
      <c r="L30" s="66" t="s">
        <v>257</v>
      </c>
      <c r="M30" s="68">
        <v>4.76</v>
      </c>
      <c r="N30" s="69">
        <v>122.8</v>
      </c>
      <c r="O30" s="66">
        <v>4</v>
      </c>
      <c r="P30" s="66"/>
      <c r="Q30" s="66" t="s">
        <v>258</v>
      </c>
      <c r="R30" s="61"/>
      <c r="S30" s="61"/>
    </row>
    <row r="31" spans="1:19" ht="13.8" customHeight="1" x14ac:dyDescent="0.3">
      <c r="A31" s="62" t="s">
        <v>261</v>
      </c>
      <c r="B31" s="63">
        <f>IFERROR(INDEX('Boulder Sample Log'!A$5:A$204,MATCH(A31,'Boulder Sample Log'!E$5:E$204,0)),"")</f>
        <v>46114</v>
      </c>
      <c r="C31" s="62">
        <v>28</v>
      </c>
      <c r="D31" s="62" t="s">
        <v>256</v>
      </c>
      <c r="E31" s="62">
        <v>3</v>
      </c>
      <c r="F31" s="64">
        <v>177.69</v>
      </c>
      <c r="G31" s="62" t="s">
        <v>257</v>
      </c>
      <c r="H31" s="64">
        <v>8.9499999999999993</v>
      </c>
      <c r="I31" s="64">
        <v>22545.52</v>
      </c>
      <c r="J31" s="62" t="s">
        <v>257</v>
      </c>
      <c r="K31" s="64">
        <v>29995.67</v>
      </c>
      <c r="L31" s="64">
        <v>4.5199999999999996</v>
      </c>
      <c r="M31" s="64">
        <v>5.38</v>
      </c>
      <c r="N31" s="65">
        <v>123</v>
      </c>
      <c r="O31" s="62">
        <v>4</v>
      </c>
      <c r="P31" s="62"/>
      <c r="Q31" s="62" t="s">
        <v>258</v>
      </c>
      <c r="R31" s="61"/>
      <c r="S31" s="61"/>
    </row>
    <row r="32" spans="1:19" ht="13.8" customHeight="1" x14ac:dyDescent="0.3">
      <c r="A32" s="66" t="s">
        <v>261</v>
      </c>
      <c r="B32" s="67">
        <f>IFERROR(INDEX('Boulder Sample Log'!A$5:A$204,MATCH(A32,'Boulder Sample Log'!E$5:E$204,0)),"")</f>
        <v>46114</v>
      </c>
      <c r="C32" s="66">
        <v>29</v>
      </c>
      <c r="D32" s="66" t="s">
        <v>256</v>
      </c>
      <c r="E32" s="66">
        <v>4</v>
      </c>
      <c r="F32" s="66" t="s">
        <v>257</v>
      </c>
      <c r="G32" s="66" t="s">
        <v>257</v>
      </c>
      <c r="H32" s="68">
        <v>7.81</v>
      </c>
      <c r="I32" s="68">
        <v>30418.21</v>
      </c>
      <c r="J32" s="68">
        <v>350.13</v>
      </c>
      <c r="K32" s="68">
        <v>2902.59</v>
      </c>
      <c r="L32" s="68">
        <v>53.96</v>
      </c>
      <c r="M32" s="68">
        <v>7.29</v>
      </c>
      <c r="N32" s="69">
        <v>120.4</v>
      </c>
      <c r="O32" s="66">
        <v>4</v>
      </c>
      <c r="P32" s="66"/>
      <c r="Q32" s="66" t="s">
        <v>258</v>
      </c>
      <c r="R32" s="61"/>
      <c r="S32" s="61"/>
    </row>
    <row r="33" spans="1:19" ht="13.8" customHeight="1" x14ac:dyDescent="0.3">
      <c r="A33" s="62" t="s">
        <v>261</v>
      </c>
      <c r="B33" s="63">
        <f>IFERROR(INDEX('Boulder Sample Log'!A$5:A$204,MATCH(A33,'Boulder Sample Log'!E$5:E$204,0)),"")</f>
        <v>46114</v>
      </c>
      <c r="C33" s="62">
        <v>30</v>
      </c>
      <c r="D33" s="62" t="s">
        <v>256</v>
      </c>
      <c r="E33" s="62">
        <v>4</v>
      </c>
      <c r="F33" s="62" t="s">
        <v>257</v>
      </c>
      <c r="G33" s="62" t="s">
        <v>257</v>
      </c>
      <c r="H33" s="64">
        <v>7.27</v>
      </c>
      <c r="I33" s="64">
        <v>29266.959999999999</v>
      </c>
      <c r="J33" s="64">
        <v>409.95</v>
      </c>
      <c r="K33" s="64">
        <v>2207.5</v>
      </c>
      <c r="L33" s="64">
        <v>47.08</v>
      </c>
      <c r="M33" s="64">
        <v>11.35</v>
      </c>
      <c r="N33" s="65">
        <v>120.3</v>
      </c>
      <c r="O33" s="62">
        <v>4</v>
      </c>
      <c r="P33" s="62"/>
      <c r="Q33" s="62" t="s">
        <v>258</v>
      </c>
      <c r="R33" s="61"/>
      <c r="S33" s="61"/>
    </row>
    <row r="34" spans="1:19" ht="13.8" customHeight="1" x14ac:dyDescent="0.3">
      <c r="A34" s="66" t="s">
        <v>261</v>
      </c>
      <c r="B34" s="67">
        <f>IFERROR(INDEX('Boulder Sample Log'!A$5:A$204,MATCH(A34,'Boulder Sample Log'!E$5:E$204,0)),"")</f>
        <v>46114</v>
      </c>
      <c r="C34" s="66">
        <v>31</v>
      </c>
      <c r="D34" s="66" t="s">
        <v>256</v>
      </c>
      <c r="E34" s="66">
        <v>4</v>
      </c>
      <c r="F34" s="68">
        <v>2.96</v>
      </c>
      <c r="G34" s="66" t="s">
        <v>257</v>
      </c>
      <c r="H34" s="68">
        <v>6.17</v>
      </c>
      <c r="I34" s="68">
        <v>29373.69</v>
      </c>
      <c r="J34" s="68">
        <v>344.19</v>
      </c>
      <c r="K34" s="68">
        <v>2828.45</v>
      </c>
      <c r="L34" s="68">
        <v>52.21</v>
      </c>
      <c r="M34" s="68">
        <v>16.36</v>
      </c>
      <c r="N34" s="69">
        <v>120.7</v>
      </c>
      <c r="O34" s="66">
        <v>4</v>
      </c>
      <c r="P34" s="66"/>
      <c r="Q34" s="66" t="s">
        <v>258</v>
      </c>
      <c r="R34" s="61"/>
      <c r="S34" s="61"/>
    </row>
    <row r="35" spans="1:19" ht="13.8" customHeight="1" x14ac:dyDescent="0.3">
      <c r="A35" s="62" t="s">
        <v>261</v>
      </c>
      <c r="B35" s="63">
        <f>IFERROR(INDEX('Boulder Sample Log'!A$5:A$204,MATCH(A35,'Boulder Sample Log'!E$5:E$204,0)),"")</f>
        <v>46114</v>
      </c>
      <c r="C35" s="62">
        <v>32</v>
      </c>
      <c r="D35" s="62" t="s">
        <v>256</v>
      </c>
      <c r="E35" s="62">
        <v>5</v>
      </c>
      <c r="F35" s="62" t="s">
        <v>257</v>
      </c>
      <c r="G35" s="62" t="s">
        <v>257</v>
      </c>
      <c r="H35" s="64">
        <v>6.42</v>
      </c>
      <c r="I35" s="64">
        <v>34124.82</v>
      </c>
      <c r="J35" s="64">
        <v>402.96</v>
      </c>
      <c r="K35" s="64">
        <v>4153.3599999999997</v>
      </c>
      <c r="L35" s="64">
        <v>39.700000000000003</v>
      </c>
      <c r="M35" s="64">
        <v>8.09</v>
      </c>
      <c r="N35" s="65">
        <v>120.5</v>
      </c>
      <c r="O35" s="62">
        <v>4</v>
      </c>
      <c r="P35" s="62"/>
      <c r="Q35" s="62" t="s">
        <v>258</v>
      </c>
      <c r="R35" s="61"/>
      <c r="S35" s="61"/>
    </row>
    <row r="36" spans="1:19" ht="13.8" customHeight="1" x14ac:dyDescent="0.3">
      <c r="A36" s="66" t="s">
        <v>261</v>
      </c>
      <c r="B36" s="67">
        <f>IFERROR(INDEX('Boulder Sample Log'!A$5:A$204,MATCH(A36,'Boulder Sample Log'!E$5:E$204,0)),"")</f>
        <v>46114</v>
      </c>
      <c r="C36" s="66">
        <v>33</v>
      </c>
      <c r="D36" s="66" t="s">
        <v>256</v>
      </c>
      <c r="E36" s="66">
        <v>5</v>
      </c>
      <c r="F36" s="66" t="s">
        <v>257</v>
      </c>
      <c r="G36" s="66" t="s">
        <v>257</v>
      </c>
      <c r="H36" s="68">
        <v>7.17</v>
      </c>
      <c r="I36" s="68">
        <v>32161.64</v>
      </c>
      <c r="J36" s="68">
        <v>363.02</v>
      </c>
      <c r="K36" s="68">
        <v>3241.43</v>
      </c>
      <c r="L36" s="68">
        <v>34.770000000000003</v>
      </c>
      <c r="M36" s="68">
        <v>8.43</v>
      </c>
      <c r="N36" s="69">
        <v>120.2</v>
      </c>
      <c r="O36" s="66">
        <v>4</v>
      </c>
      <c r="P36" s="66"/>
      <c r="Q36" s="66" t="s">
        <v>258</v>
      </c>
      <c r="R36" s="61"/>
      <c r="S36" s="61"/>
    </row>
    <row r="37" spans="1:19" ht="13.8" customHeight="1" x14ac:dyDescent="0.3">
      <c r="A37" s="62" t="s">
        <v>261</v>
      </c>
      <c r="B37" s="63">
        <f>IFERROR(INDEX('Boulder Sample Log'!A$5:A$204,MATCH(A37,'Boulder Sample Log'!E$5:E$204,0)),"")</f>
        <v>46114</v>
      </c>
      <c r="C37" s="62">
        <v>34</v>
      </c>
      <c r="D37" s="62" t="s">
        <v>256</v>
      </c>
      <c r="E37" s="62">
        <v>5</v>
      </c>
      <c r="F37" s="62" t="s">
        <v>257</v>
      </c>
      <c r="G37" s="62" t="s">
        <v>257</v>
      </c>
      <c r="H37" s="64">
        <v>8.2100000000000009</v>
      </c>
      <c r="I37" s="64">
        <v>31840.16</v>
      </c>
      <c r="J37" s="64">
        <v>425.53</v>
      </c>
      <c r="K37" s="64">
        <v>4783.91</v>
      </c>
      <c r="L37" s="64">
        <v>46.3</v>
      </c>
      <c r="M37" s="64">
        <v>11.18</v>
      </c>
      <c r="N37" s="65">
        <v>120.5</v>
      </c>
      <c r="O37" s="62">
        <v>4</v>
      </c>
      <c r="P37" s="62"/>
      <c r="Q37" s="62" t="s">
        <v>258</v>
      </c>
      <c r="R37" s="61"/>
      <c r="S37" s="61"/>
    </row>
    <row r="38" spans="1:19" ht="13.8" customHeight="1" x14ac:dyDescent="0.3">
      <c r="A38" s="66" t="s">
        <v>261</v>
      </c>
      <c r="B38" s="67">
        <f>IFERROR(INDEX('Boulder Sample Log'!A$5:A$204,MATCH(A38,'Boulder Sample Log'!E$5:E$204,0)),"")</f>
        <v>46114</v>
      </c>
      <c r="C38" s="66">
        <v>35</v>
      </c>
      <c r="D38" s="66" t="s">
        <v>259</v>
      </c>
      <c r="E38" s="66" t="s">
        <v>260</v>
      </c>
      <c r="F38" s="66" t="s">
        <v>257</v>
      </c>
      <c r="G38" s="66" t="s">
        <v>257</v>
      </c>
      <c r="H38" s="68">
        <v>5.58</v>
      </c>
      <c r="I38" s="68">
        <v>29301.25</v>
      </c>
      <c r="J38" s="68">
        <v>475.54</v>
      </c>
      <c r="K38" s="66" t="s">
        <v>257</v>
      </c>
      <c r="L38" s="68">
        <v>34.22</v>
      </c>
      <c r="M38" s="68">
        <v>12.79</v>
      </c>
      <c r="N38" s="69">
        <v>120.5</v>
      </c>
      <c r="O38" s="66">
        <v>4</v>
      </c>
      <c r="P38" s="66" t="s">
        <v>114</v>
      </c>
      <c r="Q38" s="66" t="s">
        <v>258</v>
      </c>
      <c r="R38" s="61"/>
      <c r="S38" s="61"/>
    </row>
    <row r="39" spans="1:19" ht="13.8" customHeight="1" x14ac:dyDescent="0.3">
      <c r="A39" s="62" t="s">
        <v>261</v>
      </c>
      <c r="B39" s="63">
        <f>IFERROR(INDEX('Boulder Sample Log'!A$5:A$204,MATCH(A39,'Boulder Sample Log'!E$5:E$204,0)),"")</f>
        <v>46114</v>
      </c>
      <c r="C39" s="62">
        <v>36</v>
      </c>
      <c r="D39" s="62" t="s">
        <v>259</v>
      </c>
      <c r="E39" s="62" t="s">
        <v>260</v>
      </c>
      <c r="F39" s="62" t="s">
        <v>257</v>
      </c>
      <c r="G39" s="62" t="s">
        <v>257</v>
      </c>
      <c r="H39" s="64">
        <v>6.82</v>
      </c>
      <c r="I39" s="64">
        <v>30599.96</v>
      </c>
      <c r="J39" s="64">
        <v>521.63</v>
      </c>
      <c r="K39" s="64">
        <v>330.79</v>
      </c>
      <c r="L39" s="64">
        <v>36.64</v>
      </c>
      <c r="M39" s="62" t="s">
        <v>257</v>
      </c>
      <c r="N39" s="65">
        <v>120.5</v>
      </c>
      <c r="O39" s="62">
        <v>4</v>
      </c>
      <c r="P39" s="62" t="s">
        <v>114</v>
      </c>
      <c r="Q39" s="62" t="s">
        <v>258</v>
      </c>
      <c r="R39" s="61"/>
      <c r="S39" s="61"/>
    </row>
    <row r="40" spans="1:19" ht="13.8" customHeight="1" x14ac:dyDescent="0.3">
      <c r="A40" s="66" t="s">
        <v>261</v>
      </c>
      <c r="B40" s="67">
        <f>IFERROR(INDEX('Boulder Sample Log'!A$5:A$204,MATCH(A40,'Boulder Sample Log'!E$5:E$204,0)),"")</f>
        <v>46114</v>
      </c>
      <c r="C40" s="66">
        <v>37</v>
      </c>
      <c r="D40" s="66" t="s">
        <v>259</v>
      </c>
      <c r="E40" s="66" t="s">
        <v>260</v>
      </c>
      <c r="F40" s="66" t="s">
        <v>257</v>
      </c>
      <c r="G40" s="66" t="s">
        <v>257</v>
      </c>
      <c r="H40" s="68">
        <v>9.82</v>
      </c>
      <c r="I40" s="68">
        <v>32295.119999999999</v>
      </c>
      <c r="J40" s="68">
        <v>563.17999999999995</v>
      </c>
      <c r="K40" s="68">
        <v>197.4</v>
      </c>
      <c r="L40" s="68">
        <v>39</v>
      </c>
      <c r="M40" s="68">
        <v>10.5</v>
      </c>
      <c r="N40" s="69">
        <v>120.3</v>
      </c>
      <c r="O40" s="66">
        <v>4</v>
      </c>
      <c r="P40" s="66" t="s">
        <v>114</v>
      </c>
      <c r="Q40" s="66" t="s">
        <v>258</v>
      </c>
      <c r="R40" s="61"/>
      <c r="S40" s="61"/>
    </row>
    <row r="41" spans="1:19" ht="13.8" customHeight="1" x14ac:dyDescent="0.3">
      <c r="A41" s="62" t="s">
        <v>262</v>
      </c>
      <c r="B41" s="63">
        <f>IFERROR(INDEX('Boulder Sample Log'!A$5:A$204,MATCH(A41,'Boulder Sample Log'!E$5:E$204,0)),"")</f>
        <v>46115</v>
      </c>
      <c r="C41" s="62">
        <v>48</v>
      </c>
      <c r="D41" s="62" t="s">
        <v>256</v>
      </c>
      <c r="E41" s="62">
        <v>1</v>
      </c>
      <c r="F41" s="64">
        <v>2.75</v>
      </c>
      <c r="G41" s="62" t="s">
        <v>257</v>
      </c>
      <c r="H41" s="64">
        <v>5.81</v>
      </c>
      <c r="I41" s="64">
        <v>29432.63</v>
      </c>
      <c r="J41" s="64">
        <v>479.76</v>
      </c>
      <c r="K41" s="64">
        <v>5904.22</v>
      </c>
      <c r="L41" s="64">
        <v>73.02</v>
      </c>
      <c r="M41" s="64">
        <v>11.16</v>
      </c>
      <c r="N41" s="65">
        <v>120.4</v>
      </c>
      <c r="O41" s="62">
        <v>4</v>
      </c>
      <c r="P41" s="62"/>
      <c r="Q41" s="62" t="s">
        <v>258</v>
      </c>
      <c r="R41" s="61"/>
      <c r="S41" s="61"/>
    </row>
    <row r="42" spans="1:19" ht="13.8" customHeight="1" x14ac:dyDescent="0.3">
      <c r="A42" s="66" t="s">
        <v>262</v>
      </c>
      <c r="B42" s="67">
        <f>IFERROR(INDEX('Boulder Sample Log'!A$5:A$204,MATCH(A42,'Boulder Sample Log'!E$5:E$204,0)),"")</f>
        <v>46115</v>
      </c>
      <c r="C42" s="66">
        <v>49</v>
      </c>
      <c r="D42" s="66" t="s">
        <v>256</v>
      </c>
      <c r="E42" s="66">
        <v>1</v>
      </c>
      <c r="F42" s="66" t="s">
        <v>257</v>
      </c>
      <c r="G42" s="66" t="s">
        <v>257</v>
      </c>
      <c r="H42" s="68">
        <v>7.39</v>
      </c>
      <c r="I42" s="68">
        <v>28323.11</v>
      </c>
      <c r="J42" s="68">
        <v>393.4</v>
      </c>
      <c r="K42" s="68">
        <v>5887.61</v>
      </c>
      <c r="L42" s="68">
        <v>71.150000000000006</v>
      </c>
      <c r="M42" s="68">
        <v>10.49</v>
      </c>
      <c r="N42" s="69">
        <v>120.2</v>
      </c>
      <c r="O42" s="66">
        <v>4</v>
      </c>
      <c r="P42" s="66"/>
      <c r="Q42" s="66" t="s">
        <v>258</v>
      </c>
      <c r="R42" s="61"/>
      <c r="S42" s="61"/>
    </row>
    <row r="43" spans="1:19" ht="13.8" customHeight="1" x14ac:dyDescent="0.3">
      <c r="A43" s="62" t="s">
        <v>262</v>
      </c>
      <c r="B43" s="63">
        <f>IFERROR(INDEX('Boulder Sample Log'!A$5:A$204,MATCH(A43,'Boulder Sample Log'!E$5:E$204,0)),"")</f>
        <v>46115</v>
      </c>
      <c r="C43" s="62">
        <v>50</v>
      </c>
      <c r="D43" s="62" t="s">
        <v>256</v>
      </c>
      <c r="E43" s="62">
        <v>1</v>
      </c>
      <c r="F43" s="62" t="s">
        <v>257</v>
      </c>
      <c r="G43" s="62" t="s">
        <v>257</v>
      </c>
      <c r="H43" s="64">
        <v>8.4</v>
      </c>
      <c r="I43" s="64">
        <v>24897.06</v>
      </c>
      <c r="J43" s="64">
        <v>326.13</v>
      </c>
      <c r="K43" s="64">
        <v>5287.36</v>
      </c>
      <c r="L43" s="64">
        <v>143.66</v>
      </c>
      <c r="M43" s="64">
        <v>8.6999999999999993</v>
      </c>
      <c r="N43" s="65">
        <v>120.2</v>
      </c>
      <c r="O43" s="62">
        <v>4</v>
      </c>
      <c r="P43" s="62"/>
      <c r="Q43" s="62" t="s">
        <v>258</v>
      </c>
      <c r="R43" s="61"/>
      <c r="S43" s="61"/>
    </row>
    <row r="44" spans="1:19" ht="13.8" customHeight="1" x14ac:dyDescent="0.3">
      <c r="A44" s="66" t="s">
        <v>262</v>
      </c>
      <c r="B44" s="67">
        <f>IFERROR(INDEX('Boulder Sample Log'!A$5:A$204,MATCH(A44,'Boulder Sample Log'!E$5:E$204,0)),"")</f>
        <v>46115</v>
      </c>
      <c r="C44" s="66">
        <v>51</v>
      </c>
      <c r="D44" s="66" t="s">
        <v>256</v>
      </c>
      <c r="E44" s="66">
        <v>2</v>
      </c>
      <c r="F44" s="68">
        <v>6.78</v>
      </c>
      <c r="G44" s="66" t="s">
        <v>257</v>
      </c>
      <c r="H44" s="68">
        <v>9.8699999999999992</v>
      </c>
      <c r="I44" s="68">
        <v>29912.94</v>
      </c>
      <c r="J44" s="68">
        <v>176.5</v>
      </c>
      <c r="K44" s="68">
        <v>18516.689999999999</v>
      </c>
      <c r="L44" s="68">
        <v>20.74</v>
      </c>
      <c r="M44" s="68">
        <v>11.1</v>
      </c>
      <c r="N44" s="69">
        <v>120.7</v>
      </c>
      <c r="O44" s="66">
        <v>4</v>
      </c>
      <c r="P44" s="66"/>
      <c r="Q44" s="66" t="s">
        <v>258</v>
      </c>
      <c r="R44" s="61"/>
      <c r="S44" s="61"/>
    </row>
    <row r="45" spans="1:19" ht="13.8" customHeight="1" x14ac:dyDescent="0.3">
      <c r="A45" s="62" t="s">
        <v>262</v>
      </c>
      <c r="B45" s="63">
        <f>IFERROR(INDEX('Boulder Sample Log'!A$5:A$204,MATCH(A45,'Boulder Sample Log'!E$5:E$204,0)),"")</f>
        <v>46115</v>
      </c>
      <c r="C45" s="62">
        <v>52</v>
      </c>
      <c r="D45" s="62" t="s">
        <v>256</v>
      </c>
      <c r="E45" s="62">
        <v>2</v>
      </c>
      <c r="F45" s="64">
        <v>3.69</v>
      </c>
      <c r="G45" s="62" t="s">
        <v>257</v>
      </c>
      <c r="H45" s="64">
        <v>7.58</v>
      </c>
      <c r="I45" s="64">
        <v>28656.31</v>
      </c>
      <c r="J45" s="64">
        <v>306.75</v>
      </c>
      <c r="K45" s="64">
        <v>12735.64</v>
      </c>
      <c r="L45" s="64">
        <v>31.34</v>
      </c>
      <c r="M45" s="64">
        <v>10.87</v>
      </c>
      <c r="N45" s="65">
        <v>120.3</v>
      </c>
      <c r="O45" s="62">
        <v>4</v>
      </c>
      <c r="P45" s="62"/>
      <c r="Q45" s="62" t="s">
        <v>258</v>
      </c>
      <c r="R45" s="61"/>
      <c r="S45" s="61"/>
    </row>
    <row r="46" spans="1:19" ht="13.8" customHeight="1" x14ac:dyDescent="0.3">
      <c r="A46" s="66" t="s">
        <v>262</v>
      </c>
      <c r="B46" s="67">
        <f>IFERROR(INDEX('Boulder Sample Log'!A$5:A$204,MATCH(A46,'Boulder Sample Log'!E$5:E$204,0)),"")</f>
        <v>46115</v>
      </c>
      <c r="C46" s="66">
        <v>53</v>
      </c>
      <c r="D46" s="66" t="s">
        <v>256</v>
      </c>
      <c r="E46" s="66">
        <v>2</v>
      </c>
      <c r="F46" s="68">
        <v>5.45</v>
      </c>
      <c r="G46" s="66" t="s">
        <v>257</v>
      </c>
      <c r="H46" s="68">
        <v>10.66</v>
      </c>
      <c r="I46" s="68">
        <v>29001</v>
      </c>
      <c r="J46" s="68">
        <v>160.75</v>
      </c>
      <c r="K46" s="68">
        <v>18415.669999999998</v>
      </c>
      <c r="L46" s="68">
        <v>19.32</v>
      </c>
      <c r="M46" s="68">
        <v>7.05</v>
      </c>
      <c r="N46" s="69">
        <v>120.3</v>
      </c>
      <c r="O46" s="66">
        <v>4</v>
      </c>
      <c r="P46" s="66"/>
      <c r="Q46" s="66" t="s">
        <v>258</v>
      </c>
      <c r="R46" s="61"/>
      <c r="S46" s="61"/>
    </row>
    <row r="47" spans="1:19" ht="13.8" customHeight="1" x14ac:dyDescent="0.3">
      <c r="A47" s="62" t="s">
        <v>262</v>
      </c>
      <c r="B47" s="63">
        <f>IFERROR(INDEX('Boulder Sample Log'!A$5:A$204,MATCH(A47,'Boulder Sample Log'!E$5:E$204,0)),"")</f>
        <v>46115</v>
      </c>
      <c r="C47" s="62">
        <v>54</v>
      </c>
      <c r="D47" s="62" t="s">
        <v>256</v>
      </c>
      <c r="E47" s="62">
        <v>3</v>
      </c>
      <c r="F47" s="64">
        <v>5.67</v>
      </c>
      <c r="G47" s="62" t="s">
        <v>257</v>
      </c>
      <c r="H47" s="64">
        <v>8.3000000000000007</v>
      </c>
      <c r="I47" s="64">
        <v>34797.699999999997</v>
      </c>
      <c r="J47" s="64">
        <v>647.41999999999996</v>
      </c>
      <c r="K47" s="64">
        <v>6636.67</v>
      </c>
      <c r="L47" s="64">
        <v>53.01</v>
      </c>
      <c r="M47" s="64">
        <v>15.16</v>
      </c>
      <c r="N47" s="65">
        <v>120.3</v>
      </c>
      <c r="O47" s="62">
        <v>4</v>
      </c>
      <c r="P47" s="62"/>
      <c r="Q47" s="62" t="s">
        <v>258</v>
      </c>
      <c r="R47" s="61"/>
      <c r="S47" s="61"/>
    </row>
    <row r="48" spans="1:19" ht="13.8" customHeight="1" x14ac:dyDescent="0.3">
      <c r="A48" s="66" t="s">
        <v>262</v>
      </c>
      <c r="B48" s="67">
        <f>IFERROR(INDEX('Boulder Sample Log'!A$5:A$204,MATCH(A48,'Boulder Sample Log'!E$5:E$204,0)),"")</f>
        <v>46115</v>
      </c>
      <c r="C48" s="66">
        <v>55</v>
      </c>
      <c r="D48" s="66" t="s">
        <v>256</v>
      </c>
      <c r="E48" s="66">
        <v>3</v>
      </c>
      <c r="F48" s="66" t="s">
        <v>257</v>
      </c>
      <c r="G48" s="66" t="s">
        <v>257</v>
      </c>
      <c r="H48" s="68">
        <v>9.41</v>
      </c>
      <c r="I48" s="68">
        <v>35102.14</v>
      </c>
      <c r="J48" s="68">
        <v>643.73</v>
      </c>
      <c r="K48" s="68">
        <v>5813.64</v>
      </c>
      <c r="L48" s="68">
        <v>53.77</v>
      </c>
      <c r="M48" s="68">
        <v>11.3</v>
      </c>
      <c r="N48" s="69">
        <v>120.4</v>
      </c>
      <c r="O48" s="66">
        <v>4</v>
      </c>
      <c r="P48" s="66"/>
      <c r="Q48" s="66" t="s">
        <v>258</v>
      </c>
      <c r="R48" s="61"/>
      <c r="S48" s="61"/>
    </row>
    <row r="49" spans="1:19" ht="13.8" customHeight="1" x14ac:dyDescent="0.3">
      <c r="A49" s="62" t="s">
        <v>262</v>
      </c>
      <c r="B49" s="63">
        <f>IFERROR(INDEX('Boulder Sample Log'!A$5:A$204,MATCH(A49,'Boulder Sample Log'!E$5:E$204,0)),"")</f>
        <v>46115</v>
      </c>
      <c r="C49" s="62">
        <v>56</v>
      </c>
      <c r="D49" s="62" t="s">
        <v>256</v>
      </c>
      <c r="E49" s="62">
        <v>3</v>
      </c>
      <c r="F49" s="64">
        <v>4.78</v>
      </c>
      <c r="G49" s="62" t="s">
        <v>257</v>
      </c>
      <c r="H49" s="64">
        <v>9.61</v>
      </c>
      <c r="I49" s="64">
        <v>35225.269999999997</v>
      </c>
      <c r="J49" s="64">
        <v>656.19</v>
      </c>
      <c r="K49" s="64">
        <v>5944.78</v>
      </c>
      <c r="L49" s="64">
        <v>56.86</v>
      </c>
      <c r="M49" s="64">
        <v>12.02</v>
      </c>
      <c r="N49" s="65">
        <v>120.5</v>
      </c>
      <c r="O49" s="62">
        <v>4</v>
      </c>
      <c r="P49" s="62"/>
      <c r="Q49" s="62" t="s">
        <v>258</v>
      </c>
      <c r="R49" s="61"/>
      <c r="S49" s="61"/>
    </row>
    <row r="50" spans="1:19" ht="13.8" customHeight="1" x14ac:dyDescent="0.3">
      <c r="A50" s="66" t="s">
        <v>262</v>
      </c>
      <c r="B50" s="67">
        <f>IFERROR(INDEX('Boulder Sample Log'!A$5:A$204,MATCH(A50,'Boulder Sample Log'!E$5:E$204,0)),"")</f>
        <v>46115</v>
      </c>
      <c r="C50" s="66">
        <v>57</v>
      </c>
      <c r="D50" s="66" t="s">
        <v>256</v>
      </c>
      <c r="E50" s="66">
        <v>4</v>
      </c>
      <c r="F50" s="66" t="s">
        <v>257</v>
      </c>
      <c r="G50" s="66" t="s">
        <v>257</v>
      </c>
      <c r="H50" s="68">
        <v>9.4</v>
      </c>
      <c r="I50" s="68">
        <v>26742.59</v>
      </c>
      <c r="J50" s="68">
        <v>362.62</v>
      </c>
      <c r="K50" s="68">
        <v>6249.47</v>
      </c>
      <c r="L50" s="68">
        <v>29.07</v>
      </c>
      <c r="M50" s="68">
        <v>10.59</v>
      </c>
      <c r="N50" s="69">
        <v>120.3</v>
      </c>
      <c r="O50" s="66">
        <v>4</v>
      </c>
      <c r="P50" s="66"/>
      <c r="Q50" s="66" t="s">
        <v>258</v>
      </c>
      <c r="R50" s="61"/>
      <c r="S50" s="61"/>
    </row>
    <row r="51" spans="1:19" ht="13.8" customHeight="1" x14ac:dyDescent="0.3">
      <c r="A51" s="62" t="s">
        <v>262</v>
      </c>
      <c r="B51" s="63">
        <f>IFERROR(INDEX('Boulder Sample Log'!A$5:A$204,MATCH(A51,'Boulder Sample Log'!E$5:E$204,0)),"")</f>
        <v>46115</v>
      </c>
      <c r="C51" s="62">
        <v>58</v>
      </c>
      <c r="D51" s="62" t="s">
        <v>256</v>
      </c>
      <c r="E51" s="62">
        <v>4</v>
      </c>
      <c r="F51" s="62" t="s">
        <v>257</v>
      </c>
      <c r="G51" s="62" t="s">
        <v>257</v>
      </c>
      <c r="H51" s="64">
        <v>9.6999999999999993</v>
      </c>
      <c r="I51" s="64">
        <v>25637.91</v>
      </c>
      <c r="J51" s="64">
        <v>345.96</v>
      </c>
      <c r="K51" s="64">
        <v>4501.32</v>
      </c>
      <c r="L51" s="64">
        <v>28.32</v>
      </c>
      <c r="M51" s="64">
        <v>7.02</v>
      </c>
      <c r="N51" s="65">
        <v>120.3</v>
      </c>
      <c r="O51" s="62">
        <v>4</v>
      </c>
      <c r="P51" s="62"/>
      <c r="Q51" s="62" t="s">
        <v>258</v>
      </c>
      <c r="R51" s="61"/>
      <c r="S51" s="61"/>
    </row>
    <row r="52" spans="1:19" ht="13.8" customHeight="1" x14ac:dyDescent="0.3">
      <c r="A52" s="66" t="s">
        <v>262</v>
      </c>
      <c r="B52" s="67">
        <f>IFERROR(INDEX('Boulder Sample Log'!A$5:A$204,MATCH(A52,'Boulder Sample Log'!E$5:E$204,0)),"")</f>
        <v>46115</v>
      </c>
      <c r="C52" s="66">
        <v>59</v>
      </c>
      <c r="D52" s="66" t="s">
        <v>256</v>
      </c>
      <c r="E52" s="66">
        <v>4</v>
      </c>
      <c r="F52" s="66" t="s">
        <v>257</v>
      </c>
      <c r="G52" s="66" t="s">
        <v>257</v>
      </c>
      <c r="H52" s="68">
        <v>8.91</v>
      </c>
      <c r="I52" s="68">
        <v>27066.75</v>
      </c>
      <c r="J52" s="68">
        <v>384.03</v>
      </c>
      <c r="K52" s="68">
        <v>4694.32</v>
      </c>
      <c r="L52" s="68">
        <v>33.86</v>
      </c>
      <c r="M52" s="68">
        <v>7.33</v>
      </c>
      <c r="N52" s="69">
        <v>120.3</v>
      </c>
      <c r="O52" s="66">
        <v>4</v>
      </c>
      <c r="P52" s="66"/>
      <c r="Q52" s="66" t="s">
        <v>258</v>
      </c>
      <c r="R52" s="61"/>
      <c r="S52" s="61"/>
    </row>
    <row r="53" spans="1:19" ht="13.8" customHeight="1" x14ac:dyDescent="0.3">
      <c r="A53" s="62" t="s">
        <v>262</v>
      </c>
      <c r="B53" s="63">
        <f>IFERROR(INDEX('Boulder Sample Log'!A$5:A$204,MATCH(A53,'Boulder Sample Log'!E$5:E$204,0)),"")</f>
        <v>46115</v>
      </c>
      <c r="C53" s="62">
        <v>60</v>
      </c>
      <c r="D53" s="62" t="s">
        <v>256</v>
      </c>
      <c r="E53" s="62">
        <v>5</v>
      </c>
      <c r="F53" s="62" t="s">
        <v>257</v>
      </c>
      <c r="G53" s="62" t="s">
        <v>257</v>
      </c>
      <c r="H53" s="62" t="s">
        <v>257</v>
      </c>
      <c r="I53" s="62" t="s">
        <v>257</v>
      </c>
      <c r="J53" s="64">
        <v>462.79</v>
      </c>
      <c r="K53" s="64">
        <v>18306.89</v>
      </c>
      <c r="L53" s="62" t="s">
        <v>257</v>
      </c>
      <c r="M53" s="62" t="s">
        <v>257</v>
      </c>
      <c r="N53" s="65">
        <v>123.9</v>
      </c>
      <c r="O53" s="62">
        <v>4</v>
      </c>
      <c r="P53" s="62"/>
      <c r="Q53" s="62" t="s">
        <v>258</v>
      </c>
      <c r="R53" s="61"/>
      <c r="S53" s="61"/>
    </row>
    <row r="54" spans="1:19" ht="13.8" customHeight="1" x14ac:dyDescent="0.3">
      <c r="A54" s="66" t="s">
        <v>262</v>
      </c>
      <c r="B54" s="67">
        <f>IFERROR(INDEX('Boulder Sample Log'!A$5:A$204,MATCH(A54,'Boulder Sample Log'!E$5:E$204,0)),"")</f>
        <v>46115</v>
      </c>
      <c r="C54" s="66">
        <v>61</v>
      </c>
      <c r="D54" s="66" t="s">
        <v>256</v>
      </c>
      <c r="E54" s="66">
        <v>5</v>
      </c>
      <c r="F54" s="68">
        <v>6.59</v>
      </c>
      <c r="G54" s="66" t="s">
        <v>257</v>
      </c>
      <c r="H54" s="68">
        <v>11.8</v>
      </c>
      <c r="I54" s="68">
        <v>30829.34</v>
      </c>
      <c r="J54" s="68">
        <v>255.34</v>
      </c>
      <c r="K54" s="68">
        <v>6855.21</v>
      </c>
      <c r="L54" s="68">
        <v>22.93</v>
      </c>
      <c r="M54" s="68">
        <v>11.17</v>
      </c>
      <c r="N54" s="69">
        <v>120.3</v>
      </c>
      <c r="O54" s="66">
        <v>4</v>
      </c>
      <c r="P54" s="66"/>
      <c r="Q54" s="66" t="s">
        <v>258</v>
      </c>
      <c r="R54" s="61"/>
      <c r="S54" s="61"/>
    </row>
    <row r="55" spans="1:19" ht="13.8" customHeight="1" x14ac:dyDescent="0.3">
      <c r="A55" s="62" t="s">
        <v>262</v>
      </c>
      <c r="B55" s="63">
        <f>IFERROR(INDEX('Boulder Sample Log'!A$5:A$204,MATCH(A55,'Boulder Sample Log'!E$5:E$204,0)),"")</f>
        <v>46115</v>
      </c>
      <c r="C55" s="62">
        <v>62</v>
      </c>
      <c r="D55" s="62" t="s">
        <v>256</v>
      </c>
      <c r="E55" s="62">
        <v>5</v>
      </c>
      <c r="F55" s="64">
        <v>6.92</v>
      </c>
      <c r="G55" s="62" t="s">
        <v>257</v>
      </c>
      <c r="H55" s="64">
        <v>7.88</v>
      </c>
      <c r="I55" s="64">
        <v>32359.53</v>
      </c>
      <c r="J55" s="64">
        <v>560.89</v>
      </c>
      <c r="K55" s="64">
        <v>8414.7000000000007</v>
      </c>
      <c r="L55" s="64">
        <v>51.76</v>
      </c>
      <c r="M55" s="64">
        <v>14.23</v>
      </c>
      <c r="N55" s="65">
        <v>120.3</v>
      </c>
      <c r="O55" s="62">
        <v>4</v>
      </c>
      <c r="P55" s="62"/>
      <c r="Q55" s="62" t="s">
        <v>258</v>
      </c>
      <c r="R55" s="61"/>
      <c r="S55" s="61"/>
    </row>
    <row r="56" spans="1:19" ht="13.8" customHeight="1" x14ac:dyDescent="0.3">
      <c r="A56" s="66" t="s">
        <v>262</v>
      </c>
      <c r="B56" s="67">
        <f>IFERROR(INDEX('Boulder Sample Log'!A$5:A$204,MATCH(A56,'Boulder Sample Log'!E$5:E$204,0)),"")</f>
        <v>46115</v>
      </c>
      <c r="C56" s="66">
        <v>78</v>
      </c>
      <c r="D56" s="66" t="s">
        <v>259</v>
      </c>
      <c r="E56" s="66" t="s">
        <v>260</v>
      </c>
      <c r="F56" s="68">
        <v>6.3</v>
      </c>
      <c r="G56" s="66" t="s">
        <v>257</v>
      </c>
      <c r="H56" s="68">
        <v>10.39</v>
      </c>
      <c r="I56" s="68">
        <v>33703.43</v>
      </c>
      <c r="J56" s="68">
        <v>485.15</v>
      </c>
      <c r="K56" s="68">
        <v>3271.45</v>
      </c>
      <c r="L56" s="68">
        <v>45.99</v>
      </c>
      <c r="M56" s="68">
        <v>19.8</v>
      </c>
      <c r="N56" s="69">
        <v>122.9</v>
      </c>
      <c r="O56" s="66">
        <v>4</v>
      </c>
      <c r="P56" s="66" t="s">
        <v>116</v>
      </c>
      <c r="Q56" s="66" t="s">
        <v>258</v>
      </c>
      <c r="R56" s="61"/>
      <c r="S56" s="61"/>
    </row>
    <row r="57" spans="1:19" ht="13.8" customHeight="1" x14ac:dyDescent="0.3">
      <c r="A57" s="62" t="s">
        <v>262</v>
      </c>
      <c r="B57" s="63">
        <f>IFERROR(INDEX('Boulder Sample Log'!A$5:A$204,MATCH(A57,'Boulder Sample Log'!E$5:E$204,0)),"")</f>
        <v>46115</v>
      </c>
      <c r="C57" s="62">
        <v>79</v>
      </c>
      <c r="D57" s="62" t="s">
        <v>259</v>
      </c>
      <c r="E57" s="62" t="s">
        <v>260</v>
      </c>
      <c r="F57" s="62" t="s">
        <v>257</v>
      </c>
      <c r="G57" s="62" t="s">
        <v>257</v>
      </c>
      <c r="H57" s="64">
        <v>6.39</v>
      </c>
      <c r="I57" s="64">
        <v>32534.57</v>
      </c>
      <c r="J57" s="64">
        <v>508.89</v>
      </c>
      <c r="K57" s="64">
        <v>3205.73</v>
      </c>
      <c r="L57" s="64">
        <v>44.11</v>
      </c>
      <c r="M57" s="62" t="s">
        <v>257</v>
      </c>
      <c r="N57" s="65">
        <v>120.4</v>
      </c>
      <c r="O57" s="62">
        <v>4</v>
      </c>
      <c r="P57" s="62" t="s">
        <v>116</v>
      </c>
      <c r="Q57" s="62" t="s">
        <v>258</v>
      </c>
      <c r="R57" s="61"/>
      <c r="S57" s="61"/>
    </row>
    <row r="58" spans="1:19" ht="13.8" customHeight="1" x14ac:dyDescent="0.3">
      <c r="A58" s="66" t="s">
        <v>262</v>
      </c>
      <c r="B58" s="67">
        <f>IFERROR(INDEX('Boulder Sample Log'!A$5:A$204,MATCH(A58,'Boulder Sample Log'!E$5:E$204,0)),"")</f>
        <v>46115</v>
      </c>
      <c r="C58" s="66">
        <v>80</v>
      </c>
      <c r="D58" s="66" t="s">
        <v>259</v>
      </c>
      <c r="E58" s="66" t="s">
        <v>260</v>
      </c>
      <c r="F58" s="66" t="s">
        <v>257</v>
      </c>
      <c r="G58" s="66" t="s">
        <v>257</v>
      </c>
      <c r="H58" s="68">
        <v>5.65</v>
      </c>
      <c r="I58" s="68">
        <v>30066.2</v>
      </c>
      <c r="J58" s="68">
        <v>456.42</v>
      </c>
      <c r="K58" s="68">
        <v>3550.94</v>
      </c>
      <c r="L58" s="68">
        <v>43.13</v>
      </c>
      <c r="M58" s="68">
        <v>6.81</v>
      </c>
      <c r="N58" s="69">
        <v>122.8</v>
      </c>
      <c r="O58" s="66">
        <v>4</v>
      </c>
      <c r="P58" s="66" t="s">
        <v>116</v>
      </c>
      <c r="Q58" s="66" t="s">
        <v>258</v>
      </c>
      <c r="R58" s="61"/>
      <c r="S58" s="61"/>
    </row>
    <row r="59" spans="1:19" ht="13.8" customHeight="1" x14ac:dyDescent="0.3">
      <c r="A59" s="62" t="s">
        <v>263</v>
      </c>
      <c r="B59" s="63">
        <f>IFERROR(INDEX('Boulder Sample Log'!A$5:A$204,MATCH(A59,'Boulder Sample Log'!E$5:E$204,0)),"")</f>
        <v>46115</v>
      </c>
      <c r="C59" s="62">
        <v>63</v>
      </c>
      <c r="D59" s="62" t="s">
        <v>256</v>
      </c>
      <c r="E59" s="62">
        <v>1</v>
      </c>
      <c r="F59" s="62" t="s">
        <v>257</v>
      </c>
      <c r="G59" s="62" t="s">
        <v>257</v>
      </c>
      <c r="H59" s="64">
        <v>7.26</v>
      </c>
      <c r="I59" s="64">
        <v>32427.06</v>
      </c>
      <c r="J59" s="64">
        <v>580.88</v>
      </c>
      <c r="K59" s="64">
        <v>5012.17</v>
      </c>
      <c r="L59" s="64">
        <v>50.58</v>
      </c>
      <c r="M59" s="64">
        <v>4.82</v>
      </c>
      <c r="N59" s="65">
        <v>120.4</v>
      </c>
      <c r="O59" s="62">
        <v>4</v>
      </c>
      <c r="P59" s="62"/>
      <c r="Q59" s="62" t="s">
        <v>258</v>
      </c>
      <c r="R59" s="61"/>
      <c r="S59" s="61"/>
    </row>
    <row r="60" spans="1:19" ht="13.8" customHeight="1" x14ac:dyDescent="0.3">
      <c r="A60" s="66" t="s">
        <v>263</v>
      </c>
      <c r="B60" s="67">
        <f>IFERROR(INDEX('Boulder Sample Log'!A$5:A$204,MATCH(A60,'Boulder Sample Log'!E$5:E$204,0)),"")</f>
        <v>46115</v>
      </c>
      <c r="C60" s="66">
        <v>64</v>
      </c>
      <c r="D60" s="66" t="s">
        <v>256</v>
      </c>
      <c r="E60" s="66">
        <v>1</v>
      </c>
      <c r="F60" s="66" t="s">
        <v>257</v>
      </c>
      <c r="G60" s="66" t="s">
        <v>257</v>
      </c>
      <c r="H60" s="68">
        <v>8.11</v>
      </c>
      <c r="I60" s="68">
        <v>35274.879999999997</v>
      </c>
      <c r="J60" s="68">
        <v>826.06</v>
      </c>
      <c r="K60" s="68">
        <v>5241.53</v>
      </c>
      <c r="L60" s="68">
        <v>51.34</v>
      </c>
      <c r="M60" s="68">
        <v>10.88</v>
      </c>
      <c r="N60" s="69">
        <v>120.5</v>
      </c>
      <c r="O60" s="66">
        <v>4</v>
      </c>
      <c r="P60" s="66"/>
      <c r="Q60" s="66" t="s">
        <v>258</v>
      </c>
      <c r="R60" s="61"/>
      <c r="S60" s="61"/>
    </row>
    <row r="61" spans="1:19" ht="13.8" customHeight="1" x14ac:dyDescent="0.3">
      <c r="A61" s="62" t="s">
        <v>263</v>
      </c>
      <c r="B61" s="63">
        <f>IFERROR(INDEX('Boulder Sample Log'!A$5:A$204,MATCH(A61,'Boulder Sample Log'!E$5:E$204,0)),"")</f>
        <v>46115</v>
      </c>
      <c r="C61" s="62">
        <v>65</v>
      </c>
      <c r="D61" s="62" t="s">
        <v>256</v>
      </c>
      <c r="E61" s="62">
        <v>1</v>
      </c>
      <c r="F61" s="62" t="s">
        <v>257</v>
      </c>
      <c r="G61" s="62" t="s">
        <v>257</v>
      </c>
      <c r="H61" s="64">
        <v>7.3</v>
      </c>
      <c r="I61" s="64">
        <v>33045.040000000001</v>
      </c>
      <c r="J61" s="64">
        <v>531.04</v>
      </c>
      <c r="K61" s="64">
        <v>4859.0600000000004</v>
      </c>
      <c r="L61" s="64">
        <v>42.44</v>
      </c>
      <c r="M61" s="64">
        <v>10.31</v>
      </c>
      <c r="N61" s="65">
        <v>120.4</v>
      </c>
      <c r="O61" s="62">
        <v>4</v>
      </c>
      <c r="P61" s="62"/>
      <c r="Q61" s="62" t="s">
        <v>258</v>
      </c>
      <c r="R61" s="61"/>
      <c r="S61" s="61"/>
    </row>
    <row r="62" spans="1:19" ht="13.8" customHeight="1" x14ac:dyDescent="0.3">
      <c r="A62" s="66" t="s">
        <v>263</v>
      </c>
      <c r="B62" s="67">
        <f>IFERROR(INDEX('Boulder Sample Log'!A$5:A$204,MATCH(A62,'Boulder Sample Log'!E$5:E$204,0)),"")</f>
        <v>46115</v>
      </c>
      <c r="C62" s="66">
        <v>66</v>
      </c>
      <c r="D62" s="66" t="s">
        <v>256</v>
      </c>
      <c r="E62" s="66">
        <v>2</v>
      </c>
      <c r="F62" s="68">
        <v>4.96</v>
      </c>
      <c r="G62" s="68">
        <v>5.25</v>
      </c>
      <c r="H62" s="68">
        <v>9.82</v>
      </c>
      <c r="I62" s="68">
        <v>21214.080000000002</v>
      </c>
      <c r="J62" s="68">
        <v>49.54</v>
      </c>
      <c r="K62" s="68">
        <v>12607.74</v>
      </c>
      <c r="L62" s="66" t="s">
        <v>257</v>
      </c>
      <c r="M62" s="68">
        <v>5</v>
      </c>
      <c r="N62" s="69">
        <v>120.2</v>
      </c>
      <c r="O62" s="66">
        <v>4</v>
      </c>
      <c r="P62" s="66"/>
      <c r="Q62" s="66" t="s">
        <v>258</v>
      </c>
      <c r="R62" s="61"/>
      <c r="S62" s="61"/>
    </row>
    <row r="63" spans="1:19" ht="13.8" customHeight="1" x14ac:dyDescent="0.3">
      <c r="A63" s="62" t="s">
        <v>263</v>
      </c>
      <c r="B63" s="63">
        <f>IFERROR(INDEX('Boulder Sample Log'!A$5:A$204,MATCH(A63,'Boulder Sample Log'!E$5:E$204,0)),"")</f>
        <v>46115</v>
      </c>
      <c r="C63" s="62">
        <v>67</v>
      </c>
      <c r="D63" s="62" t="s">
        <v>256</v>
      </c>
      <c r="E63" s="62">
        <v>2</v>
      </c>
      <c r="F63" s="64">
        <v>2.96</v>
      </c>
      <c r="G63" s="64">
        <v>1.47</v>
      </c>
      <c r="H63" s="64">
        <v>11.44</v>
      </c>
      <c r="I63" s="64">
        <v>14869.06</v>
      </c>
      <c r="J63" s="62" t="s">
        <v>257</v>
      </c>
      <c r="K63" s="64">
        <v>13178.34</v>
      </c>
      <c r="L63" s="62" t="s">
        <v>257</v>
      </c>
      <c r="M63" s="62" t="s">
        <v>257</v>
      </c>
      <c r="N63" s="65">
        <v>120.5</v>
      </c>
      <c r="O63" s="62">
        <v>4</v>
      </c>
      <c r="P63" s="62"/>
      <c r="Q63" s="62" t="s">
        <v>258</v>
      </c>
      <c r="R63" s="61"/>
      <c r="S63" s="61"/>
    </row>
    <row r="64" spans="1:19" ht="13.8" customHeight="1" x14ac:dyDescent="0.3">
      <c r="A64" s="66" t="s">
        <v>263</v>
      </c>
      <c r="B64" s="67">
        <f>IFERROR(INDEX('Boulder Sample Log'!A$5:A$204,MATCH(A64,'Boulder Sample Log'!E$5:E$204,0)),"")</f>
        <v>46115</v>
      </c>
      <c r="C64" s="66">
        <v>68</v>
      </c>
      <c r="D64" s="66" t="s">
        <v>256</v>
      </c>
      <c r="E64" s="66">
        <v>2</v>
      </c>
      <c r="F64" s="68">
        <v>11.67</v>
      </c>
      <c r="G64" s="68">
        <v>2.15</v>
      </c>
      <c r="H64" s="68">
        <v>9.39</v>
      </c>
      <c r="I64" s="68">
        <v>12119.54</v>
      </c>
      <c r="J64" s="68">
        <v>31.15</v>
      </c>
      <c r="K64" s="68">
        <v>14317.6</v>
      </c>
      <c r="L64" s="66" t="s">
        <v>257</v>
      </c>
      <c r="M64" s="66" t="s">
        <v>257</v>
      </c>
      <c r="N64" s="69">
        <v>120.4</v>
      </c>
      <c r="O64" s="66">
        <v>4</v>
      </c>
      <c r="P64" s="66"/>
      <c r="Q64" s="66" t="s">
        <v>258</v>
      </c>
      <c r="R64" s="61"/>
      <c r="S64" s="61"/>
    </row>
    <row r="65" spans="1:19" ht="13.8" customHeight="1" x14ac:dyDescent="0.3">
      <c r="A65" s="62" t="s">
        <v>263</v>
      </c>
      <c r="B65" s="63">
        <f>IFERROR(INDEX('Boulder Sample Log'!A$5:A$204,MATCH(A65,'Boulder Sample Log'!E$5:E$204,0)),"")</f>
        <v>46115</v>
      </c>
      <c r="C65" s="62">
        <v>69</v>
      </c>
      <c r="D65" s="62" t="s">
        <v>256</v>
      </c>
      <c r="E65" s="62">
        <v>3</v>
      </c>
      <c r="F65" s="64">
        <v>7.96</v>
      </c>
      <c r="G65" s="62" t="s">
        <v>257</v>
      </c>
      <c r="H65" s="64">
        <v>8.57</v>
      </c>
      <c r="I65" s="64">
        <v>35984.19</v>
      </c>
      <c r="J65" s="64">
        <v>538.42999999999995</v>
      </c>
      <c r="K65" s="64">
        <v>8238.9500000000007</v>
      </c>
      <c r="L65" s="64">
        <v>41.36</v>
      </c>
      <c r="M65" s="64">
        <v>12.39</v>
      </c>
      <c r="N65" s="65">
        <v>120.3</v>
      </c>
      <c r="O65" s="62">
        <v>4</v>
      </c>
      <c r="P65" s="62"/>
      <c r="Q65" s="62" t="s">
        <v>258</v>
      </c>
      <c r="R65" s="61"/>
      <c r="S65" s="61"/>
    </row>
    <row r="66" spans="1:19" ht="13.8" customHeight="1" x14ac:dyDescent="0.3">
      <c r="A66" s="66" t="s">
        <v>263</v>
      </c>
      <c r="B66" s="67">
        <f>IFERROR(INDEX('Boulder Sample Log'!A$5:A$204,MATCH(A66,'Boulder Sample Log'!E$5:E$204,0)),"")</f>
        <v>46115</v>
      </c>
      <c r="C66" s="66">
        <v>70</v>
      </c>
      <c r="D66" s="66" t="s">
        <v>256</v>
      </c>
      <c r="E66" s="66">
        <v>3</v>
      </c>
      <c r="F66" s="68">
        <v>2.97</v>
      </c>
      <c r="G66" s="66" t="s">
        <v>257</v>
      </c>
      <c r="H66" s="68">
        <v>7.76</v>
      </c>
      <c r="I66" s="68">
        <v>33677.089999999997</v>
      </c>
      <c r="J66" s="68">
        <v>528.09</v>
      </c>
      <c r="K66" s="68">
        <v>8228.5300000000007</v>
      </c>
      <c r="L66" s="68">
        <v>52.09</v>
      </c>
      <c r="M66" s="68">
        <v>18.05</v>
      </c>
      <c r="N66" s="69">
        <v>120.6</v>
      </c>
      <c r="O66" s="66">
        <v>4</v>
      </c>
      <c r="P66" s="66"/>
      <c r="Q66" s="66" t="s">
        <v>258</v>
      </c>
      <c r="R66" s="61"/>
      <c r="S66" s="61"/>
    </row>
    <row r="67" spans="1:19" ht="13.8" customHeight="1" x14ac:dyDescent="0.3">
      <c r="A67" s="62" t="s">
        <v>263</v>
      </c>
      <c r="B67" s="63">
        <f>IFERROR(INDEX('Boulder Sample Log'!A$5:A$204,MATCH(A67,'Boulder Sample Log'!E$5:E$204,0)),"")</f>
        <v>46115</v>
      </c>
      <c r="C67" s="62">
        <v>71</v>
      </c>
      <c r="D67" s="62" t="s">
        <v>256</v>
      </c>
      <c r="E67" s="62">
        <v>3</v>
      </c>
      <c r="F67" s="64">
        <v>6.29</v>
      </c>
      <c r="G67" s="62" t="s">
        <v>257</v>
      </c>
      <c r="H67" s="64">
        <v>8.9700000000000006</v>
      </c>
      <c r="I67" s="64">
        <v>33299.43</v>
      </c>
      <c r="J67" s="64">
        <v>533.64</v>
      </c>
      <c r="K67" s="64">
        <v>8945.52</v>
      </c>
      <c r="L67" s="64">
        <v>56.79</v>
      </c>
      <c r="M67" s="64">
        <v>16.760000000000002</v>
      </c>
      <c r="N67" s="65">
        <v>120.5</v>
      </c>
      <c r="O67" s="62">
        <v>4</v>
      </c>
      <c r="P67" s="62"/>
      <c r="Q67" s="62" t="s">
        <v>258</v>
      </c>
      <c r="R67" s="61"/>
      <c r="S67" s="61"/>
    </row>
    <row r="68" spans="1:19" ht="13.8" customHeight="1" x14ac:dyDescent="0.3">
      <c r="A68" s="66" t="s">
        <v>263</v>
      </c>
      <c r="B68" s="67">
        <f>IFERROR(INDEX('Boulder Sample Log'!A$5:A$204,MATCH(A68,'Boulder Sample Log'!E$5:E$204,0)),"")</f>
        <v>46115</v>
      </c>
      <c r="C68" s="66">
        <v>72</v>
      </c>
      <c r="D68" s="66" t="s">
        <v>256</v>
      </c>
      <c r="E68" s="66">
        <v>4</v>
      </c>
      <c r="F68" s="68">
        <v>14.74</v>
      </c>
      <c r="G68" s="66" t="s">
        <v>257</v>
      </c>
      <c r="H68" s="68">
        <v>7.88</v>
      </c>
      <c r="I68" s="68">
        <v>31171.42</v>
      </c>
      <c r="J68" s="68">
        <v>397.62</v>
      </c>
      <c r="K68" s="68">
        <v>11059.58</v>
      </c>
      <c r="L68" s="68">
        <v>45.67</v>
      </c>
      <c r="M68" s="68">
        <v>12.74</v>
      </c>
      <c r="N68" s="69">
        <v>120.6</v>
      </c>
      <c r="O68" s="66">
        <v>4</v>
      </c>
      <c r="P68" s="66"/>
      <c r="Q68" s="66" t="s">
        <v>258</v>
      </c>
      <c r="R68" s="61"/>
      <c r="S68" s="61"/>
    </row>
    <row r="69" spans="1:19" ht="13.8" customHeight="1" x14ac:dyDescent="0.3">
      <c r="A69" s="62" t="s">
        <v>263</v>
      </c>
      <c r="B69" s="63">
        <f>IFERROR(INDEX('Boulder Sample Log'!A$5:A$204,MATCH(A69,'Boulder Sample Log'!E$5:E$204,0)),"")</f>
        <v>46115</v>
      </c>
      <c r="C69" s="62">
        <v>73</v>
      </c>
      <c r="D69" s="62" t="s">
        <v>256</v>
      </c>
      <c r="E69" s="62">
        <v>4</v>
      </c>
      <c r="F69" s="64">
        <v>7.76</v>
      </c>
      <c r="G69" s="62" t="s">
        <v>257</v>
      </c>
      <c r="H69" s="64">
        <v>7.6</v>
      </c>
      <c r="I69" s="64">
        <v>31392.27</v>
      </c>
      <c r="J69" s="64">
        <v>443.9</v>
      </c>
      <c r="K69" s="64">
        <v>10906.07</v>
      </c>
      <c r="L69" s="64">
        <v>42.85</v>
      </c>
      <c r="M69" s="64">
        <v>9.59</v>
      </c>
      <c r="N69" s="65">
        <v>120.6</v>
      </c>
      <c r="O69" s="62">
        <v>4</v>
      </c>
      <c r="P69" s="62"/>
      <c r="Q69" s="62" t="s">
        <v>258</v>
      </c>
      <c r="R69" s="61"/>
      <c r="S69" s="61"/>
    </row>
    <row r="70" spans="1:19" ht="13.8" customHeight="1" x14ac:dyDescent="0.3">
      <c r="A70" s="66" t="s">
        <v>263</v>
      </c>
      <c r="B70" s="67">
        <f>IFERROR(INDEX('Boulder Sample Log'!A$5:A$204,MATCH(A70,'Boulder Sample Log'!E$5:E$204,0)),"")</f>
        <v>46115</v>
      </c>
      <c r="C70" s="66">
        <v>74</v>
      </c>
      <c r="D70" s="66" t="s">
        <v>256</v>
      </c>
      <c r="E70" s="66">
        <v>4</v>
      </c>
      <c r="F70" s="68">
        <v>9.9600000000000009</v>
      </c>
      <c r="G70" s="66" t="s">
        <v>257</v>
      </c>
      <c r="H70" s="68">
        <v>6.97</v>
      </c>
      <c r="I70" s="68">
        <v>30628.68</v>
      </c>
      <c r="J70" s="68">
        <v>444.16</v>
      </c>
      <c r="K70" s="68">
        <v>16403.28</v>
      </c>
      <c r="L70" s="68">
        <v>41.7</v>
      </c>
      <c r="M70" s="68">
        <v>7.59</v>
      </c>
      <c r="N70" s="69">
        <v>120.5</v>
      </c>
      <c r="O70" s="66">
        <v>4</v>
      </c>
      <c r="P70" s="66"/>
      <c r="Q70" s="66" t="s">
        <v>258</v>
      </c>
      <c r="R70" s="61"/>
      <c r="S70" s="61"/>
    </row>
    <row r="71" spans="1:19" ht="13.8" customHeight="1" x14ac:dyDescent="0.3">
      <c r="A71" s="62" t="s">
        <v>263</v>
      </c>
      <c r="B71" s="63">
        <f>IFERROR(INDEX('Boulder Sample Log'!A$5:A$204,MATCH(A71,'Boulder Sample Log'!E$5:E$204,0)),"")</f>
        <v>46115</v>
      </c>
      <c r="C71" s="62">
        <v>75</v>
      </c>
      <c r="D71" s="62" t="s">
        <v>256</v>
      </c>
      <c r="E71" s="62">
        <v>5</v>
      </c>
      <c r="F71" s="64">
        <v>9.41</v>
      </c>
      <c r="G71" s="64">
        <v>1.23</v>
      </c>
      <c r="H71" s="64">
        <v>7.03</v>
      </c>
      <c r="I71" s="64">
        <v>37396.71</v>
      </c>
      <c r="J71" s="64">
        <v>383</v>
      </c>
      <c r="K71" s="64">
        <v>15866.65</v>
      </c>
      <c r="L71" s="64">
        <v>41.94</v>
      </c>
      <c r="M71" s="64">
        <v>13.97</v>
      </c>
      <c r="N71" s="65">
        <v>120.4</v>
      </c>
      <c r="O71" s="62">
        <v>4</v>
      </c>
      <c r="P71" s="62"/>
      <c r="Q71" s="62" t="s">
        <v>258</v>
      </c>
      <c r="R71" s="61"/>
      <c r="S71" s="61"/>
    </row>
    <row r="72" spans="1:19" ht="13.8" customHeight="1" x14ac:dyDescent="0.3">
      <c r="A72" s="66" t="s">
        <v>263</v>
      </c>
      <c r="B72" s="67">
        <f>IFERROR(INDEX('Boulder Sample Log'!A$5:A$204,MATCH(A72,'Boulder Sample Log'!E$5:E$204,0)),"")</f>
        <v>46115</v>
      </c>
      <c r="C72" s="66">
        <v>76</v>
      </c>
      <c r="D72" s="66" t="s">
        <v>256</v>
      </c>
      <c r="E72" s="66">
        <v>5</v>
      </c>
      <c r="F72" s="68">
        <v>10.42</v>
      </c>
      <c r="G72" s="68">
        <v>1.34</v>
      </c>
      <c r="H72" s="68">
        <v>10.26</v>
      </c>
      <c r="I72" s="68">
        <v>43350.23</v>
      </c>
      <c r="J72" s="68">
        <v>395.85</v>
      </c>
      <c r="K72" s="68">
        <v>18899.38</v>
      </c>
      <c r="L72" s="68">
        <v>27.74</v>
      </c>
      <c r="M72" s="68">
        <v>11.45</v>
      </c>
      <c r="N72" s="69">
        <v>120.5</v>
      </c>
      <c r="O72" s="66">
        <v>4</v>
      </c>
      <c r="P72" s="66"/>
      <c r="Q72" s="66" t="s">
        <v>258</v>
      </c>
      <c r="R72" s="61"/>
      <c r="S72" s="61"/>
    </row>
    <row r="73" spans="1:19" ht="13.8" customHeight="1" x14ac:dyDescent="0.3">
      <c r="A73" s="62" t="s">
        <v>263</v>
      </c>
      <c r="B73" s="63">
        <f>IFERROR(INDEX('Boulder Sample Log'!A$5:A$204,MATCH(A73,'Boulder Sample Log'!E$5:E$204,0)),"")</f>
        <v>46115</v>
      </c>
      <c r="C73" s="62">
        <v>77</v>
      </c>
      <c r="D73" s="62" t="s">
        <v>256</v>
      </c>
      <c r="E73" s="62">
        <v>5</v>
      </c>
      <c r="F73" s="64">
        <v>8.4499999999999993</v>
      </c>
      <c r="G73" s="64">
        <v>4.12</v>
      </c>
      <c r="H73" s="64">
        <v>11.67</v>
      </c>
      <c r="I73" s="64">
        <v>38817.08</v>
      </c>
      <c r="J73" s="64">
        <v>375.52</v>
      </c>
      <c r="K73" s="64">
        <v>18623.990000000002</v>
      </c>
      <c r="L73" s="64">
        <v>43.11</v>
      </c>
      <c r="M73" s="64">
        <v>12.92</v>
      </c>
      <c r="N73" s="65">
        <v>120.1</v>
      </c>
      <c r="O73" s="62">
        <v>4</v>
      </c>
      <c r="P73" s="62"/>
      <c r="Q73" s="62" t="s">
        <v>258</v>
      </c>
      <c r="R73" s="61"/>
      <c r="S73" s="61"/>
    </row>
    <row r="74" spans="1:19" ht="13.8" customHeight="1" x14ac:dyDescent="0.3">
      <c r="A74" s="66" t="s">
        <v>263</v>
      </c>
      <c r="B74" s="67">
        <f>IFERROR(INDEX('Boulder Sample Log'!A$5:A$204,MATCH(A74,'Boulder Sample Log'!E$5:E$204,0)),"")</f>
        <v>46115</v>
      </c>
      <c r="C74" s="66">
        <v>81</v>
      </c>
      <c r="D74" s="66" t="s">
        <v>259</v>
      </c>
      <c r="E74" s="66" t="s">
        <v>260</v>
      </c>
      <c r="F74" s="68">
        <v>4.24</v>
      </c>
      <c r="G74" s="66" t="s">
        <v>257</v>
      </c>
      <c r="H74" s="68">
        <v>10.84</v>
      </c>
      <c r="I74" s="68">
        <v>28239.73</v>
      </c>
      <c r="J74" s="68">
        <v>401.2</v>
      </c>
      <c r="K74" s="68">
        <v>5330.89</v>
      </c>
      <c r="L74" s="68">
        <v>25.13</v>
      </c>
      <c r="M74" s="68">
        <v>10.039999999999999</v>
      </c>
      <c r="N74" s="69">
        <v>120.5</v>
      </c>
      <c r="O74" s="66">
        <v>4</v>
      </c>
      <c r="P74" s="66" t="s">
        <v>119</v>
      </c>
      <c r="Q74" s="66" t="s">
        <v>258</v>
      </c>
      <c r="R74" s="61"/>
      <c r="S74" s="61"/>
    </row>
    <row r="75" spans="1:19" ht="13.8" customHeight="1" x14ac:dyDescent="0.3">
      <c r="A75" s="62" t="s">
        <v>263</v>
      </c>
      <c r="B75" s="63">
        <f>IFERROR(INDEX('Boulder Sample Log'!A$5:A$204,MATCH(A75,'Boulder Sample Log'!E$5:E$204,0)),"")</f>
        <v>46115</v>
      </c>
      <c r="C75" s="62">
        <v>82</v>
      </c>
      <c r="D75" s="62" t="s">
        <v>259</v>
      </c>
      <c r="E75" s="62" t="s">
        <v>260</v>
      </c>
      <c r="F75" s="62" t="s">
        <v>257</v>
      </c>
      <c r="G75" s="62" t="s">
        <v>257</v>
      </c>
      <c r="H75" s="64">
        <v>5.43</v>
      </c>
      <c r="I75" s="64">
        <v>25834.13</v>
      </c>
      <c r="J75" s="64">
        <v>330.35</v>
      </c>
      <c r="K75" s="64">
        <v>5716.27</v>
      </c>
      <c r="L75" s="64">
        <v>24</v>
      </c>
      <c r="M75" s="62" t="s">
        <v>257</v>
      </c>
      <c r="N75" s="65">
        <v>120.5</v>
      </c>
      <c r="O75" s="62">
        <v>4</v>
      </c>
      <c r="P75" s="62" t="s">
        <v>119</v>
      </c>
      <c r="Q75" s="62" t="s">
        <v>258</v>
      </c>
      <c r="R75" s="61"/>
      <c r="S75" s="61"/>
    </row>
    <row r="76" spans="1:19" ht="13.8" customHeight="1" x14ac:dyDescent="0.3">
      <c r="A76" s="66" t="s">
        <v>263</v>
      </c>
      <c r="B76" s="67">
        <f>IFERROR(INDEX('Boulder Sample Log'!A$5:A$204,MATCH(A76,'Boulder Sample Log'!E$5:E$204,0)),"")</f>
        <v>46115</v>
      </c>
      <c r="C76" s="66">
        <v>83</v>
      </c>
      <c r="D76" s="66" t="s">
        <v>259</v>
      </c>
      <c r="E76" s="66" t="s">
        <v>260</v>
      </c>
      <c r="F76" s="68">
        <v>3.68</v>
      </c>
      <c r="G76" s="66" t="s">
        <v>257</v>
      </c>
      <c r="H76" s="68">
        <v>6.84</v>
      </c>
      <c r="I76" s="68">
        <v>24946.97</v>
      </c>
      <c r="J76" s="68">
        <v>286.82</v>
      </c>
      <c r="K76" s="68">
        <v>6141.05</v>
      </c>
      <c r="L76" s="68">
        <v>20.74</v>
      </c>
      <c r="M76" s="68">
        <v>7.36</v>
      </c>
      <c r="N76" s="69">
        <v>120.4</v>
      </c>
      <c r="O76" s="66">
        <v>4</v>
      </c>
      <c r="P76" s="66" t="s">
        <v>119</v>
      </c>
      <c r="Q76" s="66" t="s">
        <v>258</v>
      </c>
      <c r="R76" s="61"/>
      <c r="S76" s="61"/>
    </row>
    <row r="77" spans="1:19" ht="13.8" customHeight="1" x14ac:dyDescent="0.3">
      <c r="A77" s="62" t="s">
        <v>264</v>
      </c>
      <c r="B77" s="63">
        <f>IFERROR(INDEX('Boulder Sample Log'!A$5:A$204,MATCH(A77,'Boulder Sample Log'!E$5:E$204,0)),"")</f>
        <v>46115</v>
      </c>
      <c r="C77" s="62">
        <v>84</v>
      </c>
      <c r="D77" s="62" t="s">
        <v>256</v>
      </c>
      <c r="E77" s="62">
        <v>1</v>
      </c>
      <c r="F77" s="62" t="s">
        <v>257</v>
      </c>
      <c r="G77" s="62" t="s">
        <v>257</v>
      </c>
      <c r="H77" s="64">
        <v>7.36</v>
      </c>
      <c r="I77" s="64">
        <v>29979.21</v>
      </c>
      <c r="J77" s="64">
        <v>602.94000000000005</v>
      </c>
      <c r="K77" s="64">
        <v>1516</v>
      </c>
      <c r="L77" s="64">
        <v>37.950000000000003</v>
      </c>
      <c r="M77" s="64">
        <v>13.42</v>
      </c>
      <c r="N77" s="65">
        <v>120.1</v>
      </c>
      <c r="O77" s="62">
        <v>4</v>
      </c>
      <c r="P77" s="62"/>
      <c r="Q77" s="62" t="s">
        <v>258</v>
      </c>
      <c r="R77" s="61"/>
      <c r="S77" s="61"/>
    </row>
    <row r="78" spans="1:19" ht="13.8" customHeight="1" x14ac:dyDescent="0.3">
      <c r="A78" s="66" t="s">
        <v>264</v>
      </c>
      <c r="B78" s="67">
        <f>IFERROR(INDEX('Boulder Sample Log'!A$5:A$204,MATCH(A78,'Boulder Sample Log'!E$5:E$204,0)),"")</f>
        <v>46115</v>
      </c>
      <c r="C78" s="66">
        <v>85</v>
      </c>
      <c r="D78" s="66" t="s">
        <v>256</v>
      </c>
      <c r="E78" s="66">
        <v>1</v>
      </c>
      <c r="F78" s="66" t="s">
        <v>257</v>
      </c>
      <c r="G78" s="66" t="s">
        <v>257</v>
      </c>
      <c r="H78" s="68">
        <v>7.74</v>
      </c>
      <c r="I78" s="68">
        <v>31780.63</v>
      </c>
      <c r="J78" s="68">
        <v>546.03</v>
      </c>
      <c r="K78" s="68">
        <v>1012.14</v>
      </c>
      <c r="L78" s="68">
        <v>42.36</v>
      </c>
      <c r="M78" s="68">
        <v>10.76</v>
      </c>
      <c r="N78" s="69">
        <v>122.7</v>
      </c>
      <c r="O78" s="66">
        <v>4</v>
      </c>
      <c r="P78" s="66"/>
      <c r="Q78" s="66" t="s">
        <v>258</v>
      </c>
      <c r="R78" s="61"/>
      <c r="S78" s="61"/>
    </row>
    <row r="79" spans="1:19" ht="13.8" customHeight="1" x14ac:dyDescent="0.3">
      <c r="A79" s="62" t="s">
        <v>264</v>
      </c>
      <c r="B79" s="63">
        <f>IFERROR(INDEX('Boulder Sample Log'!A$5:A$204,MATCH(A79,'Boulder Sample Log'!E$5:E$204,0)),"")</f>
        <v>46115</v>
      </c>
      <c r="C79" s="62">
        <v>88</v>
      </c>
      <c r="D79" s="62" t="s">
        <v>256</v>
      </c>
      <c r="E79" s="62">
        <v>1</v>
      </c>
      <c r="F79" s="64">
        <v>4.03</v>
      </c>
      <c r="G79" s="62" t="s">
        <v>257</v>
      </c>
      <c r="H79" s="64">
        <v>6.1</v>
      </c>
      <c r="I79" s="64">
        <v>32175.13</v>
      </c>
      <c r="J79" s="64">
        <v>549.04</v>
      </c>
      <c r="K79" s="64">
        <v>1051.3599999999999</v>
      </c>
      <c r="L79" s="64">
        <v>41.19</v>
      </c>
      <c r="M79" s="64">
        <v>13.67</v>
      </c>
      <c r="N79" s="65">
        <v>120.6</v>
      </c>
      <c r="O79" s="62">
        <v>4</v>
      </c>
      <c r="P79" s="62"/>
      <c r="Q79" s="62" t="s">
        <v>258</v>
      </c>
      <c r="R79" s="61"/>
      <c r="S79" s="61"/>
    </row>
    <row r="80" spans="1:19" ht="13.8" customHeight="1" x14ac:dyDescent="0.3">
      <c r="A80" s="66" t="s">
        <v>264</v>
      </c>
      <c r="B80" s="67">
        <f>IFERROR(INDEX('Boulder Sample Log'!A$5:A$204,MATCH(A80,'Boulder Sample Log'!E$5:E$204,0)),"")</f>
        <v>46115</v>
      </c>
      <c r="C80" s="66">
        <v>89</v>
      </c>
      <c r="D80" s="66" t="s">
        <v>256</v>
      </c>
      <c r="E80" s="66">
        <v>2</v>
      </c>
      <c r="F80" s="66" t="s">
        <v>257</v>
      </c>
      <c r="G80" s="66" t="s">
        <v>257</v>
      </c>
      <c r="H80" s="68">
        <v>9.61</v>
      </c>
      <c r="I80" s="68">
        <v>31664.799999999999</v>
      </c>
      <c r="J80" s="68">
        <v>562.69000000000005</v>
      </c>
      <c r="K80" s="68">
        <v>1385.18</v>
      </c>
      <c r="L80" s="68">
        <v>36.56</v>
      </c>
      <c r="M80" s="68">
        <v>9.92</v>
      </c>
      <c r="N80" s="69">
        <v>120.5</v>
      </c>
      <c r="O80" s="66">
        <v>4</v>
      </c>
      <c r="P80" s="66"/>
      <c r="Q80" s="66" t="s">
        <v>258</v>
      </c>
      <c r="R80" s="61"/>
      <c r="S80" s="61"/>
    </row>
    <row r="81" spans="1:19" ht="13.8" customHeight="1" x14ac:dyDescent="0.3">
      <c r="A81" s="62" t="s">
        <v>264</v>
      </c>
      <c r="B81" s="63">
        <f>IFERROR(INDEX('Boulder Sample Log'!A$5:A$204,MATCH(A81,'Boulder Sample Log'!E$5:E$204,0)),"")</f>
        <v>46115</v>
      </c>
      <c r="C81" s="62">
        <v>90</v>
      </c>
      <c r="D81" s="62" t="s">
        <v>256</v>
      </c>
      <c r="E81" s="62">
        <v>2</v>
      </c>
      <c r="F81" s="62" t="s">
        <v>257</v>
      </c>
      <c r="G81" s="62" t="s">
        <v>257</v>
      </c>
      <c r="H81" s="64">
        <v>6.5</v>
      </c>
      <c r="I81" s="64">
        <v>30741.57</v>
      </c>
      <c r="J81" s="64">
        <v>530.77</v>
      </c>
      <c r="K81" s="64">
        <v>1229.3599999999999</v>
      </c>
      <c r="L81" s="64">
        <v>32.630000000000003</v>
      </c>
      <c r="M81" s="64">
        <v>5.69</v>
      </c>
      <c r="N81" s="65">
        <v>120.4</v>
      </c>
      <c r="O81" s="62">
        <v>4</v>
      </c>
      <c r="P81" s="62"/>
      <c r="Q81" s="62" t="s">
        <v>258</v>
      </c>
      <c r="R81" s="61"/>
      <c r="S81" s="61"/>
    </row>
    <row r="82" spans="1:19" ht="13.8" customHeight="1" x14ac:dyDescent="0.3">
      <c r="A82" s="66" t="s">
        <v>264</v>
      </c>
      <c r="B82" s="67">
        <f>IFERROR(INDEX('Boulder Sample Log'!A$5:A$204,MATCH(A82,'Boulder Sample Log'!E$5:E$204,0)),"")</f>
        <v>46115</v>
      </c>
      <c r="C82" s="66">
        <v>91</v>
      </c>
      <c r="D82" s="66" t="s">
        <v>256</v>
      </c>
      <c r="E82" s="66">
        <v>2</v>
      </c>
      <c r="F82" s="66" t="s">
        <v>257</v>
      </c>
      <c r="G82" s="66" t="s">
        <v>257</v>
      </c>
      <c r="H82" s="68">
        <v>4.8899999999999997</v>
      </c>
      <c r="I82" s="68">
        <v>30617.200000000001</v>
      </c>
      <c r="J82" s="68">
        <v>519.62</v>
      </c>
      <c r="K82" s="68">
        <v>1119.6600000000001</v>
      </c>
      <c r="L82" s="68">
        <v>37.03</v>
      </c>
      <c r="M82" s="68">
        <v>11.75</v>
      </c>
      <c r="N82" s="69">
        <v>120.5</v>
      </c>
      <c r="O82" s="66">
        <v>4</v>
      </c>
      <c r="P82" s="66"/>
      <c r="Q82" s="66" t="s">
        <v>258</v>
      </c>
      <c r="R82" s="61"/>
      <c r="S82" s="61"/>
    </row>
    <row r="83" spans="1:19" ht="13.8" customHeight="1" x14ac:dyDescent="0.3">
      <c r="A83" s="62" t="s">
        <v>264</v>
      </c>
      <c r="B83" s="63">
        <f>IFERROR(INDEX('Boulder Sample Log'!A$5:A$204,MATCH(A83,'Boulder Sample Log'!E$5:E$204,0)),"")</f>
        <v>46115</v>
      </c>
      <c r="C83" s="62">
        <v>92</v>
      </c>
      <c r="D83" s="62" t="s">
        <v>256</v>
      </c>
      <c r="E83" s="62">
        <v>3</v>
      </c>
      <c r="F83" s="64">
        <v>3.24</v>
      </c>
      <c r="G83" s="62" t="s">
        <v>257</v>
      </c>
      <c r="H83" s="64">
        <v>8.7100000000000009</v>
      </c>
      <c r="I83" s="64">
        <v>30284.34</v>
      </c>
      <c r="J83" s="64">
        <v>573.09</v>
      </c>
      <c r="K83" s="64">
        <v>1761.31</v>
      </c>
      <c r="L83" s="64">
        <v>47.15</v>
      </c>
      <c r="M83" s="64">
        <v>19.87</v>
      </c>
      <c r="N83" s="65">
        <v>120.5</v>
      </c>
      <c r="O83" s="62">
        <v>4</v>
      </c>
      <c r="P83" s="62"/>
      <c r="Q83" s="62" t="s">
        <v>258</v>
      </c>
      <c r="R83" s="61"/>
      <c r="S83" s="61"/>
    </row>
    <row r="84" spans="1:19" ht="13.8" customHeight="1" x14ac:dyDescent="0.3">
      <c r="A84" s="66" t="s">
        <v>264</v>
      </c>
      <c r="B84" s="67">
        <f>IFERROR(INDEX('Boulder Sample Log'!A$5:A$204,MATCH(A84,'Boulder Sample Log'!E$5:E$204,0)),"")</f>
        <v>46115</v>
      </c>
      <c r="C84" s="66">
        <v>93</v>
      </c>
      <c r="D84" s="66" t="s">
        <v>256</v>
      </c>
      <c r="E84" s="66">
        <v>3</v>
      </c>
      <c r="F84" s="68">
        <v>3.06</v>
      </c>
      <c r="G84" s="66" t="s">
        <v>257</v>
      </c>
      <c r="H84" s="68">
        <v>6.47</v>
      </c>
      <c r="I84" s="68">
        <v>30443.64</v>
      </c>
      <c r="J84" s="68">
        <v>550.89</v>
      </c>
      <c r="K84" s="68">
        <v>1987.21</v>
      </c>
      <c r="L84" s="68">
        <v>46.75</v>
      </c>
      <c r="M84" s="68">
        <v>11.47</v>
      </c>
      <c r="N84" s="69">
        <v>122.9</v>
      </c>
      <c r="O84" s="66">
        <v>4</v>
      </c>
      <c r="P84" s="66"/>
      <c r="Q84" s="66" t="s">
        <v>258</v>
      </c>
      <c r="R84" s="61"/>
      <c r="S84" s="61"/>
    </row>
    <row r="85" spans="1:19" ht="13.8" customHeight="1" x14ac:dyDescent="0.3">
      <c r="A85" s="62" t="s">
        <v>264</v>
      </c>
      <c r="B85" s="63">
        <f>IFERROR(INDEX('Boulder Sample Log'!A$5:A$204,MATCH(A85,'Boulder Sample Log'!E$5:E$204,0)),"")</f>
        <v>46115</v>
      </c>
      <c r="C85" s="62">
        <v>94</v>
      </c>
      <c r="D85" s="62" t="s">
        <v>256</v>
      </c>
      <c r="E85" s="62">
        <v>3</v>
      </c>
      <c r="F85" s="62" t="s">
        <v>257</v>
      </c>
      <c r="G85" s="62" t="s">
        <v>257</v>
      </c>
      <c r="H85" s="64">
        <v>8.8800000000000008</v>
      </c>
      <c r="I85" s="64">
        <v>31185.91</v>
      </c>
      <c r="J85" s="64">
        <v>785.45</v>
      </c>
      <c r="K85" s="64">
        <v>1424.76</v>
      </c>
      <c r="L85" s="64">
        <v>48.93</v>
      </c>
      <c r="M85" s="64">
        <v>8.4700000000000006</v>
      </c>
      <c r="N85" s="65">
        <v>120.3</v>
      </c>
      <c r="O85" s="62">
        <v>4</v>
      </c>
      <c r="P85" s="62"/>
      <c r="Q85" s="62" t="s">
        <v>258</v>
      </c>
      <c r="R85" s="61"/>
      <c r="S85" s="61"/>
    </row>
    <row r="86" spans="1:19" ht="13.8" customHeight="1" x14ac:dyDescent="0.3">
      <c r="A86" s="66" t="s">
        <v>264</v>
      </c>
      <c r="B86" s="67">
        <f>IFERROR(INDEX('Boulder Sample Log'!A$5:A$204,MATCH(A86,'Boulder Sample Log'!E$5:E$204,0)),"")</f>
        <v>46115</v>
      </c>
      <c r="C86" s="66">
        <v>95</v>
      </c>
      <c r="D86" s="66" t="s">
        <v>256</v>
      </c>
      <c r="E86" s="66">
        <v>4</v>
      </c>
      <c r="F86" s="66" t="s">
        <v>257</v>
      </c>
      <c r="G86" s="66" t="s">
        <v>257</v>
      </c>
      <c r="H86" s="68">
        <v>7.48</v>
      </c>
      <c r="I86" s="68">
        <v>31860.17</v>
      </c>
      <c r="J86" s="68">
        <v>526.5</v>
      </c>
      <c r="K86" s="68">
        <v>1439.83</v>
      </c>
      <c r="L86" s="68">
        <v>45.92</v>
      </c>
      <c r="M86" s="68">
        <v>8.6</v>
      </c>
      <c r="N86" s="69">
        <v>120.4</v>
      </c>
      <c r="O86" s="66">
        <v>4</v>
      </c>
      <c r="P86" s="66"/>
      <c r="Q86" s="66" t="s">
        <v>258</v>
      </c>
      <c r="R86" s="61"/>
      <c r="S86" s="61"/>
    </row>
    <row r="87" spans="1:19" ht="13.8" customHeight="1" x14ac:dyDescent="0.3">
      <c r="A87" s="62" t="s">
        <v>264</v>
      </c>
      <c r="B87" s="63">
        <f>IFERROR(INDEX('Boulder Sample Log'!A$5:A$204,MATCH(A87,'Boulder Sample Log'!E$5:E$204,0)),"")</f>
        <v>46115</v>
      </c>
      <c r="C87" s="62">
        <v>96</v>
      </c>
      <c r="D87" s="62" t="s">
        <v>256</v>
      </c>
      <c r="E87" s="62">
        <v>4</v>
      </c>
      <c r="F87" s="62" t="s">
        <v>257</v>
      </c>
      <c r="G87" s="62" t="s">
        <v>257</v>
      </c>
      <c r="H87" s="64">
        <v>8.11</v>
      </c>
      <c r="I87" s="64">
        <v>33986.78</v>
      </c>
      <c r="J87" s="64">
        <v>526.55999999999995</v>
      </c>
      <c r="K87" s="64">
        <v>1819.47</v>
      </c>
      <c r="L87" s="64">
        <v>39.450000000000003</v>
      </c>
      <c r="M87" s="64">
        <v>17.920000000000002</v>
      </c>
      <c r="N87" s="65">
        <v>120.2</v>
      </c>
      <c r="O87" s="62">
        <v>4</v>
      </c>
      <c r="P87" s="62"/>
      <c r="Q87" s="62" t="s">
        <v>258</v>
      </c>
      <c r="R87" s="61"/>
      <c r="S87" s="61"/>
    </row>
    <row r="88" spans="1:19" ht="13.8" customHeight="1" x14ac:dyDescent="0.3">
      <c r="A88" s="66" t="s">
        <v>264</v>
      </c>
      <c r="B88" s="67">
        <f>IFERROR(INDEX('Boulder Sample Log'!A$5:A$204,MATCH(A88,'Boulder Sample Log'!E$5:E$204,0)),"")</f>
        <v>46115</v>
      </c>
      <c r="C88" s="66">
        <v>97</v>
      </c>
      <c r="D88" s="66" t="s">
        <v>256</v>
      </c>
      <c r="E88" s="66">
        <v>4</v>
      </c>
      <c r="F88" s="66" t="s">
        <v>257</v>
      </c>
      <c r="G88" s="66" t="s">
        <v>257</v>
      </c>
      <c r="H88" s="68">
        <v>6.35</v>
      </c>
      <c r="I88" s="68">
        <v>29426.31</v>
      </c>
      <c r="J88" s="68">
        <v>530.33000000000004</v>
      </c>
      <c r="K88" s="68">
        <v>2074.58</v>
      </c>
      <c r="L88" s="68">
        <v>42.36</v>
      </c>
      <c r="M88" s="68">
        <v>20.14</v>
      </c>
      <c r="N88" s="69">
        <v>120.5</v>
      </c>
      <c r="O88" s="66">
        <v>4</v>
      </c>
      <c r="P88" s="66"/>
      <c r="Q88" s="66" t="s">
        <v>258</v>
      </c>
      <c r="R88" s="61"/>
      <c r="S88" s="61"/>
    </row>
    <row r="89" spans="1:19" ht="13.8" customHeight="1" x14ac:dyDescent="0.3">
      <c r="A89" s="62" t="s">
        <v>264</v>
      </c>
      <c r="B89" s="63">
        <f>IFERROR(INDEX('Boulder Sample Log'!A$5:A$204,MATCH(A89,'Boulder Sample Log'!E$5:E$204,0)),"")</f>
        <v>46115</v>
      </c>
      <c r="C89" s="62">
        <v>98</v>
      </c>
      <c r="D89" s="62" t="s">
        <v>256</v>
      </c>
      <c r="E89" s="62">
        <v>5</v>
      </c>
      <c r="F89" s="62" t="s">
        <v>257</v>
      </c>
      <c r="G89" s="62" t="s">
        <v>257</v>
      </c>
      <c r="H89" s="64">
        <v>8.18</v>
      </c>
      <c r="I89" s="64">
        <v>33203.97</v>
      </c>
      <c r="J89" s="64">
        <v>629.44000000000005</v>
      </c>
      <c r="K89" s="64">
        <v>790.19</v>
      </c>
      <c r="L89" s="64">
        <v>54.27</v>
      </c>
      <c r="M89" s="64">
        <v>18.61</v>
      </c>
      <c r="N89" s="65">
        <v>120.4</v>
      </c>
      <c r="O89" s="62">
        <v>4</v>
      </c>
      <c r="P89" s="62"/>
      <c r="Q89" s="62" t="s">
        <v>258</v>
      </c>
      <c r="R89" s="61"/>
      <c r="S89" s="61"/>
    </row>
    <row r="90" spans="1:19" ht="13.8" customHeight="1" x14ac:dyDescent="0.3">
      <c r="A90" s="66" t="s">
        <v>264</v>
      </c>
      <c r="B90" s="67">
        <f>IFERROR(INDEX('Boulder Sample Log'!A$5:A$204,MATCH(A90,'Boulder Sample Log'!E$5:E$204,0)),"")</f>
        <v>46115</v>
      </c>
      <c r="C90" s="66">
        <v>99</v>
      </c>
      <c r="D90" s="66" t="s">
        <v>256</v>
      </c>
      <c r="E90" s="66">
        <v>5</v>
      </c>
      <c r="F90" s="66" t="s">
        <v>257</v>
      </c>
      <c r="G90" s="66" t="s">
        <v>257</v>
      </c>
      <c r="H90" s="68">
        <v>6.87</v>
      </c>
      <c r="I90" s="68">
        <v>33979.07</v>
      </c>
      <c r="J90" s="68">
        <v>621.30999999999995</v>
      </c>
      <c r="K90" s="68">
        <v>1440.04</v>
      </c>
      <c r="L90" s="68">
        <v>59.19</v>
      </c>
      <c r="M90" s="68">
        <v>16.239999999999998</v>
      </c>
      <c r="N90" s="69">
        <v>122.9</v>
      </c>
      <c r="O90" s="66">
        <v>4</v>
      </c>
      <c r="P90" s="66"/>
      <c r="Q90" s="66" t="s">
        <v>258</v>
      </c>
      <c r="R90" s="61"/>
      <c r="S90" s="61"/>
    </row>
    <row r="91" spans="1:19" ht="13.8" customHeight="1" x14ac:dyDescent="0.3">
      <c r="A91" s="62" t="s">
        <v>264</v>
      </c>
      <c r="B91" s="63">
        <f>IFERROR(INDEX('Boulder Sample Log'!A$5:A$204,MATCH(A91,'Boulder Sample Log'!E$5:E$204,0)),"")</f>
        <v>46115</v>
      </c>
      <c r="C91" s="62">
        <v>100</v>
      </c>
      <c r="D91" s="62" t="s">
        <v>256</v>
      </c>
      <c r="E91" s="62">
        <v>5</v>
      </c>
      <c r="F91" s="62" t="s">
        <v>257</v>
      </c>
      <c r="G91" s="62" t="s">
        <v>257</v>
      </c>
      <c r="H91" s="64">
        <v>7.89</v>
      </c>
      <c r="I91" s="64">
        <v>34066.94</v>
      </c>
      <c r="J91" s="64">
        <v>600.73</v>
      </c>
      <c r="K91" s="64">
        <v>872.43</v>
      </c>
      <c r="L91" s="64">
        <v>58.91</v>
      </c>
      <c r="M91" s="64">
        <v>18.989999999999998</v>
      </c>
      <c r="N91" s="65">
        <v>120.3</v>
      </c>
      <c r="O91" s="62">
        <v>4</v>
      </c>
      <c r="P91" s="62"/>
      <c r="Q91" s="62" t="s">
        <v>258</v>
      </c>
      <c r="R91" s="61"/>
      <c r="S91" s="61"/>
    </row>
    <row r="92" spans="1:19" ht="13.8" customHeight="1" x14ac:dyDescent="0.3">
      <c r="A92" s="66" t="s">
        <v>264</v>
      </c>
      <c r="B92" s="67">
        <f>IFERROR(INDEX('Boulder Sample Log'!A$5:A$204,MATCH(A92,'Boulder Sample Log'!E$5:E$204,0)),"")</f>
        <v>46115</v>
      </c>
      <c r="C92" s="66">
        <v>116</v>
      </c>
      <c r="D92" s="66" t="s">
        <v>259</v>
      </c>
      <c r="E92" s="66" t="s">
        <v>260</v>
      </c>
      <c r="F92" s="66" t="s">
        <v>257</v>
      </c>
      <c r="G92" s="66" t="s">
        <v>257</v>
      </c>
      <c r="H92" s="68">
        <v>5.78</v>
      </c>
      <c r="I92" s="68">
        <v>24935.61</v>
      </c>
      <c r="J92" s="68">
        <v>451.63</v>
      </c>
      <c r="K92" s="68">
        <v>267.04000000000002</v>
      </c>
      <c r="L92" s="68">
        <v>32.22</v>
      </c>
      <c r="M92" s="66" t="s">
        <v>257</v>
      </c>
      <c r="N92" s="69">
        <v>120.2</v>
      </c>
      <c r="O92" s="66">
        <v>4</v>
      </c>
      <c r="P92" s="66" t="s">
        <v>121</v>
      </c>
      <c r="Q92" s="66" t="s">
        <v>258</v>
      </c>
      <c r="R92" s="61"/>
      <c r="S92" s="61"/>
    </row>
    <row r="93" spans="1:19" ht="13.8" customHeight="1" x14ac:dyDescent="0.3">
      <c r="A93" s="62" t="s">
        <v>264</v>
      </c>
      <c r="B93" s="63">
        <f>IFERROR(INDEX('Boulder Sample Log'!A$5:A$204,MATCH(A93,'Boulder Sample Log'!E$5:E$204,0)),"")</f>
        <v>46115</v>
      </c>
      <c r="C93" s="62">
        <v>117</v>
      </c>
      <c r="D93" s="62" t="s">
        <v>259</v>
      </c>
      <c r="E93" s="62" t="s">
        <v>260</v>
      </c>
      <c r="F93" s="62" t="s">
        <v>257</v>
      </c>
      <c r="G93" s="62" t="s">
        <v>257</v>
      </c>
      <c r="H93" s="62" t="s">
        <v>257</v>
      </c>
      <c r="I93" s="64">
        <v>20592.52</v>
      </c>
      <c r="J93" s="64">
        <v>352.88</v>
      </c>
      <c r="K93" s="64">
        <v>167.22</v>
      </c>
      <c r="L93" s="64">
        <v>21.23</v>
      </c>
      <c r="M93" s="62" t="s">
        <v>257</v>
      </c>
      <c r="N93" s="65">
        <v>120.6</v>
      </c>
      <c r="O93" s="62">
        <v>4</v>
      </c>
      <c r="P93" s="62" t="s">
        <v>121</v>
      </c>
      <c r="Q93" s="62" t="s">
        <v>258</v>
      </c>
      <c r="R93" s="61"/>
      <c r="S93" s="61"/>
    </row>
    <row r="94" spans="1:19" ht="13.8" customHeight="1" x14ac:dyDescent="0.3">
      <c r="A94" s="66" t="s">
        <v>264</v>
      </c>
      <c r="B94" s="67">
        <f>IFERROR(INDEX('Boulder Sample Log'!A$5:A$204,MATCH(A94,'Boulder Sample Log'!E$5:E$204,0)),"")</f>
        <v>46115</v>
      </c>
      <c r="C94" s="66">
        <v>118</v>
      </c>
      <c r="D94" s="66" t="s">
        <v>259</v>
      </c>
      <c r="E94" s="66" t="s">
        <v>260</v>
      </c>
      <c r="F94" s="66" t="s">
        <v>257</v>
      </c>
      <c r="G94" s="66" t="s">
        <v>257</v>
      </c>
      <c r="H94" s="68">
        <v>3.75</v>
      </c>
      <c r="I94" s="68">
        <v>24818.81</v>
      </c>
      <c r="J94" s="68">
        <v>432.11</v>
      </c>
      <c r="K94" s="68">
        <v>247.39</v>
      </c>
      <c r="L94" s="68">
        <v>30.63</v>
      </c>
      <c r="M94" s="66" t="s">
        <v>257</v>
      </c>
      <c r="N94" s="69">
        <v>120</v>
      </c>
      <c r="O94" s="66">
        <v>4</v>
      </c>
      <c r="P94" s="66" t="s">
        <v>121</v>
      </c>
      <c r="Q94" s="66" t="s">
        <v>258</v>
      </c>
      <c r="R94" s="61"/>
      <c r="S94" s="61"/>
    </row>
    <row r="95" spans="1:19" ht="13.8" customHeight="1" x14ac:dyDescent="0.3">
      <c r="A95" s="62" t="s">
        <v>265</v>
      </c>
      <c r="B95" s="63">
        <f>IFERROR(INDEX('Boulder Sample Log'!A$5:A$204,MATCH(A95,'Boulder Sample Log'!E$5:E$204,0)),"")</f>
        <v>46115</v>
      </c>
      <c r="C95" s="62">
        <v>101</v>
      </c>
      <c r="D95" s="62" t="s">
        <v>256</v>
      </c>
      <c r="E95" s="62">
        <v>1</v>
      </c>
      <c r="F95" s="64">
        <v>3.73</v>
      </c>
      <c r="G95" s="62" t="s">
        <v>257</v>
      </c>
      <c r="H95" s="64">
        <v>5.21</v>
      </c>
      <c r="I95" s="64">
        <v>30448.62</v>
      </c>
      <c r="J95" s="64">
        <v>463.15</v>
      </c>
      <c r="K95" s="64">
        <v>10198.08</v>
      </c>
      <c r="L95" s="64">
        <v>32.97</v>
      </c>
      <c r="M95" s="64">
        <v>8.24</v>
      </c>
      <c r="N95" s="65">
        <v>120.4</v>
      </c>
      <c r="O95" s="62">
        <v>4</v>
      </c>
      <c r="P95" s="62"/>
      <c r="Q95" s="62" t="s">
        <v>258</v>
      </c>
      <c r="R95" s="61"/>
      <c r="S95" s="61"/>
    </row>
    <row r="96" spans="1:19" ht="13.8" customHeight="1" x14ac:dyDescent="0.3">
      <c r="A96" s="66" t="s">
        <v>265</v>
      </c>
      <c r="B96" s="67">
        <f>IFERROR(INDEX('Boulder Sample Log'!A$5:A$204,MATCH(A96,'Boulder Sample Log'!E$5:E$204,0)),"")</f>
        <v>46115</v>
      </c>
      <c r="C96" s="66">
        <v>102</v>
      </c>
      <c r="D96" s="66" t="s">
        <v>256</v>
      </c>
      <c r="E96" s="66">
        <v>1</v>
      </c>
      <c r="F96" s="68">
        <v>5.99</v>
      </c>
      <c r="G96" s="66" t="s">
        <v>257</v>
      </c>
      <c r="H96" s="68">
        <v>7.11</v>
      </c>
      <c r="I96" s="68">
        <v>30016.79</v>
      </c>
      <c r="J96" s="68">
        <v>445.37</v>
      </c>
      <c r="K96" s="68">
        <v>6293.67</v>
      </c>
      <c r="L96" s="68">
        <v>43.4</v>
      </c>
      <c r="M96" s="68">
        <v>30.04</v>
      </c>
      <c r="N96" s="69">
        <v>120.6</v>
      </c>
      <c r="O96" s="66">
        <v>4</v>
      </c>
      <c r="P96" s="66"/>
      <c r="Q96" s="66" t="s">
        <v>258</v>
      </c>
      <c r="R96" s="61"/>
      <c r="S96" s="61"/>
    </row>
    <row r="97" spans="1:19" ht="13.8" customHeight="1" x14ac:dyDescent="0.3">
      <c r="A97" s="62" t="s">
        <v>265</v>
      </c>
      <c r="B97" s="63">
        <f>IFERROR(INDEX('Boulder Sample Log'!A$5:A$204,MATCH(A97,'Boulder Sample Log'!E$5:E$204,0)),"")</f>
        <v>46115</v>
      </c>
      <c r="C97" s="62">
        <v>103</v>
      </c>
      <c r="D97" s="62" t="s">
        <v>256</v>
      </c>
      <c r="E97" s="62">
        <v>1</v>
      </c>
      <c r="F97" s="64">
        <v>2.89</v>
      </c>
      <c r="G97" s="62" t="s">
        <v>257</v>
      </c>
      <c r="H97" s="64">
        <v>8.16</v>
      </c>
      <c r="I97" s="64">
        <v>29577.17</v>
      </c>
      <c r="J97" s="64">
        <v>455.17</v>
      </c>
      <c r="K97" s="64">
        <v>7163.83</v>
      </c>
      <c r="L97" s="64">
        <v>48.41</v>
      </c>
      <c r="M97" s="64">
        <v>29.54</v>
      </c>
      <c r="N97" s="65">
        <v>120.3</v>
      </c>
      <c r="O97" s="62">
        <v>4</v>
      </c>
      <c r="P97" s="62"/>
      <c r="Q97" s="62" t="s">
        <v>258</v>
      </c>
      <c r="R97" s="61"/>
      <c r="S97" s="61"/>
    </row>
    <row r="98" spans="1:19" ht="13.8" customHeight="1" x14ac:dyDescent="0.3">
      <c r="A98" s="66" t="s">
        <v>265</v>
      </c>
      <c r="B98" s="67">
        <f>IFERROR(INDEX('Boulder Sample Log'!A$5:A$204,MATCH(A98,'Boulder Sample Log'!E$5:E$204,0)),"")</f>
        <v>46115</v>
      </c>
      <c r="C98" s="66">
        <v>104</v>
      </c>
      <c r="D98" s="66" t="s">
        <v>256</v>
      </c>
      <c r="E98" s="66">
        <v>2</v>
      </c>
      <c r="F98" s="68">
        <v>9.61</v>
      </c>
      <c r="G98" s="66" t="s">
        <v>257</v>
      </c>
      <c r="H98" s="68">
        <v>5.51</v>
      </c>
      <c r="I98" s="68">
        <v>40071.07</v>
      </c>
      <c r="J98" s="68">
        <v>877.87</v>
      </c>
      <c r="K98" s="68">
        <v>2631.17</v>
      </c>
      <c r="L98" s="68">
        <v>47.74</v>
      </c>
      <c r="M98" s="68">
        <v>11.17</v>
      </c>
      <c r="N98" s="69">
        <v>120.3</v>
      </c>
      <c r="O98" s="66">
        <v>4</v>
      </c>
      <c r="P98" s="66"/>
      <c r="Q98" s="66" t="s">
        <v>258</v>
      </c>
      <c r="R98" s="61"/>
      <c r="S98" s="61"/>
    </row>
    <row r="99" spans="1:19" ht="13.8" customHeight="1" x14ac:dyDescent="0.3">
      <c r="A99" s="62" t="s">
        <v>265</v>
      </c>
      <c r="B99" s="63">
        <f>IFERROR(INDEX('Boulder Sample Log'!A$5:A$204,MATCH(A99,'Boulder Sample Log'!E$5:E$204,0)),"")</f>
        <v>46115</v>
      </c>
      <c r="C99" s="62">
        <v>105</v>
      </c>
      <c r="D99" s="62" t="s">
        <v>256</v>
      </c>
      <c r="E99" s="62">
        <v>2</v>
      </c>
      <c r="F99" s="64">
        <v>5.28</v>
      </c>
      <c r="G99" s="62" t="s">
        <v>257</v>
      </c>
      <c r="H99" s="64">
        <v>5.75</v>
      </c>
      <c r="I99" s="64">
        <v>39061.339999999997</v>
      </c>
      <c r="J99" s="64">
        <v>846</v>
      </c>
      <c r="K99" s="64">
        <v>2527.9</v>
      </c>
      <c r="L99" s="64">
        <v>40.47</v>
      </c>
      <c r="M99" s="64">
        <v>7.49</v>
      </c>
      <c r="N99" s="65">
        <v>120.4</v>
      </c>
      <c r="O99" s="62">
        <v>4</v>
      </c>
      <c r="P99" s="62"/>
      <c r="Q99" s="62" t="s">
        <v>258</v>
      </c>
      <c r="R99" s="61"/>
      <c r="S99" s="61"/>
    </row>
    <row r="100" spans="1:19" ht="13.8" customHeight="1" x14ac:dyDescent="0.3">
      <c r="A100" s="66" t="s">
        <v>265</v>
      </c>
      <c r="B100" s="67">
        <f>IFERROR(INDEX('Boulder Sample Log'!A$5:A$204,MATCH(A100,'Boulder Sample Log'!E$5:E$204,0)),"")</f>
        <v>46115</v>
      </c>
      <c r="C100" s="66">
        <v>106</v>
      </c>
      <c r="D100" s="66" t="s">
        <v>256</v>
      </c>
      <c r="E100" s="66">
        <v>2</v>
      </c>
      <c r="F100" s="68">
        <v>8.4499999999999993</v>
      </c>
      <c r="G100" s="66" t="s">
        <v>257</v>
      </c>
      <c r="H100" s="68">
        <v>7.83</v>
      </c>
      <c r="I100" s="68">
        <v>38764.43</v>
      </c>
      <c r="J100" s="68">
        <v>844.57</v>
      </c>
      <c r="K100" s="68">
        <v>2418.69</v>
      </c>
      <c r="L100" s="68">
        <v>45.08</v>
      </c>
      <c r="M100" s="68">
        <v>11.6</v>
      </c>
      <c r="N100" s="69">
        <v>120.3</v>
      </c>
      <c r="O100" s="66">
        <v>4</v>
      </c>
      <c r="P100" s="66"/>
      <c r="Q100" s="66" t="s">
        <v>258</v>
      </c>
      <c r="R100" s="61"/>
      <c r="S100" s="61"/>
    </row>
    <row r="101" spans="1:19" ht="13.8" customHeight="1" x14ac:dyDescent="0.3">
      <c r="A101" s="62" t="s">
        <v>265</v>
      </c>
      <c r="B101" s="63">
        <f>IFERROR(INDEX('Boulder Sample Log'!A$5:A$204,MATCH(A101,'Boulder Sample Log'!E$5:E$204,0)),"")</f>
        <v>46115</v>
      </c>
      <c r="C101" s="62">
        <v>107</v>
      </c>
      <c r="D101" s="62" t="s">
        <v>256</v>
      </c>
      <c r="E101" s="62">
        <v>3</v>
      </c>
      <c r="F101" s="64">
        <v>10.29</v>
      </c>
      <c r="G101" s="62" t="s">
        <v>257</v>
      </c>
      <c r="H101" s="64">
        <v>7.7</v>
      </c>
      <c r="I101" s="64">
        <v>33228.42</v>
      </c>
      <c r="J101" s="64">
        <v>449.74</v>
      </c>
      <c r="K101" s="64">
        <v>10759.92</v>
      </c>
      <c r="L101" s="64">
        <v>33.03</v>
      </c>
      <c r="M101" s="64">
        <v>7.23</v>
      </c>
      <c r="N101" s="65">
        <v>120.6</v>
      </c>
      <c r="O101" s="62">
        <v>4</v>
      </c>
      <c r="P101" s="62"/>
      <c r="Q101" s="62" t="s">
        <v>258</v>
      </c>
      <c r="R101" s="61"/>
      <c r="S101" s="61"/>
    </row>
    <row r="102" spans="1:19" ht="13.8" customHeight="1" x14ac:dyDescent="0.3">
      <c r="A102" s="66" t="s">
        <v>265</v>
      </c>
      <c r="B102" s="67">
        <f>IFERROR(INDEX('Boulder Sample Log'!A$5:A$204,MATCH(A102,'Boulder Sample Log'!E$5:E$204,0)),"")</f>
        <v>46115</v>
      </c>
      <c r="C102" s="66">
        <v>108</v>
      </c>
      <c r="D102" s="66" t="s">
        <v>256</v>
      </c>
      <c r="E102" s="66">
        <v>3</v>
      </c>
      <c r="F102" s="66" t="s">
        <v>257</v>
      </c>
      <c r="G102" s="66" t="s">
        <v>257</v>
      </c>
      <c r="H102" s="68">
        <v>4.5599999999999996</v>
      </c>
      <c r="I102" s="68">
        <v>27483.81</v>
      </c>
      <c r="J102" s="68">
        <v>276.62</v>
      </c>
      <c r="K102" s="68">
        <v>12740.26</v>
      </c>
      <c r="L102" s="68">
        <v>23.75</v>
      </c>
      <c r="M102" s="66" t="s">
        <v>257</v>
      </c>
      <c r="N102" s="69">
        <v>122.8</v>
      </c>
      <c r="O102" s="66">
        <v>4</v>
      </c>
      <c r="P102" s="66"/>
      <c r="Q102" s="66" t="s">
        <v>258</v>
      </c>
      <c r="R102" s="61"/>
      <c r="S102" s="61"/>
    </row>
    <row r="103" spans="1:19" ht="13.8" customHeight="1" x14ac:dyDescent="0.3">
      <c r="A103" s="62" t="s">
        <v>265</v>
      </c>
      <c r="B103" s="63">
        <f>IFERROR(INDEX('Boulder Sample Log'!A$5:A$204,MATCH(A103,'Boulder Sample Log'!E$5:E$204,0)),"")</f>
        <v>46115</v>
      </c>
      <c r="C103" s="62">
        <v>109</v>
      </c>
      <c r="D103" s="62" t="s">
        <v>256</v>
      </c>
      <c r="E103" s="62">
        <v>3</v>
      </c>
      <c r="F103" s="64">
        <v>4.92</v>
      </c>
      <c r="G103" s="62" t="s">
        <v>257</v>
      </c>
      <c r="H103" s="64">
        <v>7.2</v>
      </c>
      <c r="I103" s="64">
        <v>29640.43</v>
      </c>
      <c r="J103" s="64">
        <v>372.15</v>
      </c>
      <c r="K103" s="64">
        <v>14835.21</v>
      </c>
      <c r="L103" s="64">
        <v>22.77</v>
      </c>
      <c r="M103" s="64">
        <v>7.27</v>
      </c>
      <c r="N103" s="65">
        <v>120.3</v>
      </c>
      <c r="O103" s="62">
        <v>4</v>
      </c>
      <c r="P103" s="62"/>
      <c r="Q103" s="62" t="s">
        <v>258</v>
      </c>
      <c r="R103" s="61"/>
      <c r="S103" s="61"/>
    </row>
    <row r="104" spans="1:19" ht="13.8" customHeight="1" x14ac:dyDescent="0.3">
      <c r="A104" s="66" t="s">
        <v>265</v>
      </c>
      <c r="B104" s="67">
        <f>IFERROR(INDEX('Boulder Sample Log'!A$5:A$204,MATCH(A104,'Boulder Sample Log'!E$5:E$204,0)),"")</f>
        <v>46115</v>
      </c>
      <c r="C104" s="66">
        <v>110</v>
      </c>
      <c r="D104" s="66" t="s">
        <v>256</v>
      </c>
      <c r="E104" s="66">
        <v>4</v>
      </c>
      <c r="F104" s="68">
        <v>57.54</v>
      </c>
      <c r="G104" s="66" t="s">
        <v>257</v>
      </c>
      <c r="H104" s="68">
        <v>11.08</v>
      </c>
      <c r="I104" s="68">
        <v>45696.639999999999</v>
      </c>
      <c r="J104" s="66" t="s">
        <v>257</v>
      </c>
      <c r="K104" s="68">
        <v>21038.36</v>
      </c>
      <c r="L104" s="66" t="s">
        <v>257</v>
      </c>
      <c r="M104" s="66" t="s">
        <v>257</v>
      </c>
      <c r="N104" s="69">
        <v>120.4</v>
      </c>
      <c r="O104" s="66">
        <v>4</v>
      </c>
      <c r="P104" s="66"/>
      <c r="Q104" s="66" t="s">
        <v>258</v>
      </c>
      <c r="R104" s="61"/>
      <c r="S104" s="61"/>
    </row>
    <row r="105" spans="1:19" ht="13.8" customHeight="1" x14ac:dyDescent="0.3">
      <c r="A105" s="62" t="s">
        <v>265</v>
      </c>
      <c r="B105" s="63">
        <f>IFERROR(INDEX('Boulder Sample Log'!A$5:A$204,MATCH(A105,'Boulder Sample Log'!E$5:E$204,0)),"")</f>
        <v>46115</v>
      </c>
      <c r="C105" s="62">
        <v>111</v>
      </c>
      <c r="D105" s="62" t="s">
        <v>256</v>
      </c>
      <c r="E105" s="62">
        <v>4</v>
      </c>
      <c r="F105" s="64">
        <v>92.37</v>
      </c>
      <c r="G105" s="62" t="s">
        <v>257</v>
      </c>
      <c r="H105" s="64">
        <v>8.73</v>
      </c>
      <c r="I105" s="64">
        <v>19875.25</v>
      </c>
      <c r="J105" s="62" t="s">
        <v>257</v>
      </c>
      <c r="K105" s="64">
        <v>19429.150000000001</v>
      </c>
      <c r="L105" s="62" t="s">
        <v>257</v>
      </c>
      <c r="M105" s="62" t="s">
        <v>257</v>
      </c>
      <c r="N105" s="65">
        <v>123.1</v>
      </c>
      <c r="O105" s="62">
        <v>4</v>
      </c>
      <c r="P105" s="62"/>
      <c r="Q105" s="62" t="s">
        <v>258</v>
      </c>
      <c r="R105" s="61"/>
      <c r="S105" s="61"/>
    </row>
    <row r="106" spans="1:19" ht="13.8" customHeight="1" x14ac:dyDescent="0.3">
      <c r="A106" s="66" t="s">
        <v>265</v>
      </c>
      <c r="B106" s="67">
        <f>IFERROR(INDEX('Boulder Sample Log'!A$5:A$204,MATCH(A106,'Boulder Sample Log'!E$5:E$204,0)),"")</f>
        <v>46115</v>
      </c>
      <c r="C106" s="66">
        <v>112</v>
      </c>
      <c r="D106" s="66" t="s">
        <v>256</v>
      </c>
      <c r="E106" s="66">
        <v>4</v>
      </c>
      <c r="F106" s="68">
        <v>90.95</v>
      </c>
      <c r="G106" s="66" t="s">
        <v>257</v>
      </c>
      <c r="H106" s="68">
        <v>8.01</v>
      </c>
      <c r="I106" s="68">
        <v>26766.46</v>
      </c>
      <c r="J106" s="66" t="s">
        <v>257</v>
      </c>
      <c r="K106" s="68">
        <v>17798</v>
      </c>
      <c r="L106" s="66" t="s">
        <v>257</v>
      </c>
      <c r="M106" s="66" t="s">
        <v>257</v>
      </c>
      <c r="N106" s="69">
        <v>120.7</v>
      </c>
      <c r="O106" s="66">
        <v>4</v>
      </c>
      <c r="P106" s="66"/>
      <c r="Q106" s="66" t="s">
        <v>258</v>
      </c>
      <c r="R106" s="61"/>
      <c r="S106" s="61"/>
    </row>
    <row r="107" spans="1:19" ht="13.8" customHeight="1" x14ac:dyDescent="0.3">
      <c r="A107" s="62" t="s">
        <v>265</v>
      </c>
      <c r="B107" s="63">
        <f>IFERROR(INDEX('Boulder Sample Log'!A$5:A$204,MATCH(A107,'Boulder Sample Log'!E$5:E$204,0)),"")</f>
        <v>46115</v>
      </c>
      <c r="C107" s="62">
        <v>113</v>
      </c>
      <c r="D107" s="62" t="s">
        <v>256</v>
      </c>
      <c r="E107" s="62">
        <v>5</v>
      </c>
      <c r="F107" s="62" t="s">
        <v>257</v>
      </c>
      <c r="G107" s="62" t="s">
        <v>257</v>
      </c>
      <c r="H107" s="64">
        <v>7.21</v>
      </c>
      <c r="I107" s="64">
        <v>27104.33</v>
      </c>
      <c r="J107" s="64">
        <v>378.82</v>
      </c>
      <c r="K107" s="64">
        <v>1240.3499999999999</v>
      </c>
      <c r="L107" s="64">
        <v>25.98</v>
      </c>
      <c r="M107" s="62" t="s">
        <v>257</v>
      </c>
      <c r="N107" s="65">
        <v>120.1</v>
      </c>
      <c r="O107" s="62">
        <v>4</v>
      </c>
      <c r="P107" s="62"/>
      <c r="Q107" s="62" t="s">
        <v>258</v>
      </c>
      <c r="R107" s="61"/>
      <c r="S107" s="61"/>
    </row>
    <row r="108" spans="1:19" ht="13.8" customHeight="1" x14ac:dyDescent="0.3">
      <c r="A108" s="66" t="s">
        <v>265</v>
      </c>
      <c r="B108" s="67">
        <f>IFERROR(INDEX('Boulder Sample Log'!A$5:A$204,MATCH(A108,'Boulder Sample Log'!E$5:E$204,0)),"")</f>
        <v>46115</v>
      </c>
      <c r="C108" s="66">
        <v>114</v>
      </c>
      <c r="D108" s="66" t="s">
        <v>256</v>
      </c>
      <c r="E108" s="66">
        <v>5</v>
      </c>
      <c r="F108" s="66" t="s">
        <v>257</v>
      </c>
      <c r="G108" s="66" t="s">
        <v>257</v>
      </c>
      <c r="H108" s="68">
        <v>5.74</v>
      </c>
      <c r="I108" s="68">
        <v>27783.34</v>
      </c>
      <c r="J108" s="68">
        <v>398.07</v>
      </c>
      <c r="K108" s="68">
        <v>1569.11</v>
      </c>
      <c r="L108" s="68">
        <v>28.22</v>
      </c>
      <c r="M108" s="66" t="s">
        <v>257</v>
      </c>
      <c r="N108" s="69">
        <v>120.4</v>
      </c>
      <c r="O108" s="66">
        <v>4</v>
      </c>
      <c r="P108" s="66"/>
      <c r="Q108" s="66" t="s">
        <v>258</v>
      </c>
      <c r="R108" s="61"/>
      <c r="S108" s="61"/>
    </row>
    <row r="109" spans="1:19" ht="13.8" customHeight="1" x14ac:dyDescent="0.3">
      <c r="A109" s="62" t="s">
        <v>265</v>
      </c>
      <c r="B109" s="63">
        <f>IFERROR(INDEX('Boulder Sample Log'!A$5:A$204,MATCH(A109,'Boulder Sample Log'!E$5:E$204,0)),"")</f>
        <v>46115</v>
      </c>
      <c r="C109" s="62">
        <v>115</v>
      </c>
      <c r="D109" s="62" t="s">
        <v>256</v>
      </c>
      <c r="E109" s="62">
        <v>5</v>
      </c>
      <c r="F109" s="62" t="s">
        <v>257</v>
      </c>
      <c r="G109" s="62" t="s">
        <v>257</v>
      </c>
      <c r="H109" s="64">
        <v>5.82</v>
      </c>
      <c r="I109" s="64">
        <v>27110.68</v>
      </c>
      <c r="J109" s="64">
        <v>414.48</v>
      </c>
      <c r="K109" s="64">
        <v>1436.27</v>
      </c>
      <c r="L109" s="64">
        <v>27.6</v>
      </c>
      <c r="M109" s="62" t="s">
        <v>257</v>
      </c>
      <c r="N109" s="65">
        <v>123</v>
      </c>
      <c r="O109" s="62">
        <v>4</v>
      </c>
      <c r="P109" s="62"/>
      <c r="Q109" s="62" t="s">
        <v>258</v>
      </c>
      <c r="R109" s="61"/>
      <c r="S109" s="61"/>
    </row>
    <row r="110" spans="1:19" ht="13.8" customHeight="1" x14ac:dyDescent="0.3">
      <c r="A110" s="66" t="s">
        <v>265</v>
      </c>
      <c r="B110" s="67">
        <f>IFERROR(INDEX('Boulder Sample Log'!A$5:A$204,MATCH(A110,'Boulder Sample Log'!E$5:E$204,0)),"")</f>
        <v>46115</v>
      </c>
      <c r="C110" s="66">
        <v>119</v>
      </c>
      <c r="D110" s="66" t="s">
        <v>259</v>
      </c>
      <c r="E110" s="66" t="s">
        <v>260</v>
      </c>
      <c r="F110" s="68">
        <v>6.86</v>
      </c>
      <c r="G110" s="66" t="s">
        <v>257</v>
      </c>
      <c r="H110" s="68">
        <v>8.74</v>
      </c>
      <c r="I110" s="68">
        <v>31641.21</v>
      </c>
      <c r="J110" s="68">
        <v>606.37</v>
      </c>
      <c r="K110" s="68">
        <v>2078.8200000000002</v>
      </c>
      <c r="L110" s="68">
        <v>43.08</v>
      </c>
      <c r="M110" s="68">
        <v>15.74</v>
      </c>
      <c r="N110" s="69">
        <v>120.4</v>
      </c>
      <c r="O110" s="66">
        <v>4</v>
      </c>
      <c r="P110" s="66" t="s">
        <v>123</v>
      </c>
      <c r="Q110" s="66" t="s">
        <v>258</v>
      </c>
      <c r="R110" s="61"/>
      <c r="S110" s="61"/>
    </row>
    <row r="111" spans="1:19" ht="13.8" customHeight="1" x14ac:dyDescent="0.3">
      <c r="A111" s="62" t="s">
        <v>265</v>
      </c>
      <c r="B111" s="63">
        <f>IFERROR(INDEX('Boulder Sample Log'!A$5:A$204,MATCH(A111,'Boulder Sample Log'!E$5:E$204,0)),"")</f>
        <v>46115</v>
      </c>
      <c r="C111" s="62">
        <v>120</v>
      </c>
      <c r="D111" s="62" t="s">
        <v>259</v>
      </c>
      <c r="E111" s="62" t="s">
        <v>260</v>
      </c>
      <c r="F111" s="62" t="s">
        <v>257</v>
      </c>
      <c r="G111" s="62" t="s">
        <v>257</v>
      </c>
      <c r="H111" s="64">
        <v>9.61</v>
      </c>
      <c r="I111" s="64">
        <v>29775.759999999998</v>
      </c>
      <c r="J111" s="64">
        <v>516.87</v>
      </c>
      <c r="K111" s="64">
        <v>2740.29</v>
      </c>
      <c r="L111" s="64">
        <v>38.880000000000003</v>
      </c>
      <c r="M111" s="64">
        <v>16.25</v>
      </c>
      <c r="N111" s="65">
        <v>120.4</v>
      </c>
      <c r="O111" s="62">
        <v>4</v>
      </c>
      <c r="P111" s="62" t="s">
        <v>123</v>
      </c>
      <c r="Q111" s="62" t="s">
        <v>258</v>
      </c>
      <c r="R111" s="61"/>
      <c r="S111" s="61"/>
    </row>
    <row r="112" spans="1:19" ht="13.8" customHeight="1" x14ac:dyDescent="0.3">
      <c r="A112" s="66" t="s">
        <v>265</v>
      </c>
      <c r="B112" s="67">
        <f>IFERROR(INDEX('Boulder Sample Log'!A$5:A$204,MATCH(A112,'Boulder Sample Log'!E$5:E$204,0)),"")</f>
        <v>46115</v>
      </c>
      <c r="C112" s="66">
        <v>121</v>
      </c>
      <c r="D112" s="66" t="s">
        <v>259</v>
      </c>
      <c r="E112" s="66" t="s">
        <v>260</v>
      </c>
      <c r="F112" s="68">
        <v>4.21</v>
      </c>
      <c r="G112" s="66" t="s">
        <v>257</v>
      </c>
      <c r="H112" s="68">
        <v>8.31</v>
      </c>
      <c r="I112" s="68">
        <v>29193.02</v>
      </c>
      <c r="J112" s="68">
        <v>532.69000000000005</v>
      </c>
      <c r="K112" s="68">
        <v>2811.07</v>
      </c>
      <c r="L112" s="68">
        <v>33.32</v>
      </c>
      <c r="M112" s="68">
        <v>10</v>
      </c>
      <c r="N112" s="69">
        <v>120.6</v>
      </c>
      <c r="O112" s="66">
        <v>4</v>
      </c>
      <c r="P112" s="66" t="s">
        <v>123</v>
      </c>
      <c r="Q112" s="66" t="s">
        <v>258</v>
      </c>
      <c r="R112" s="61"/>
      <c r="S112" s="61"/>
    </row>
    <row r="113" spans="1:19" ht="13.8" customHeight="1" x14ac:dyDescent="0.3">
      <c r="A113" s="62" t="s">
        <v>266</v>
      </c>
      <c r="B113" s="63">
        <f>IFERROR(INDEX('Boulder Sample Log'!A$5:A$204,MATCH(A113,'Boulder Sample Log'!E$5:E$204,0)),"")</f>
        <v>46118</v>
      </c>
      <c r="C113" s="62">
        <v>128</v>
      </c>
      <c r="D113" s="62" t="s">
        <v>256</v>
      </c>
      <c r="E113" s="62">
        <v>1</v>
      </c>
      <c r="F113" s="62" t="s">
        <v>257</v>
      </c>
      <c r="G113" s="62" t="s">
        <v>257</v>
      </c>
      <c r="H113" s="64">
        <v>16.46</v>
      </c>
      <c r="I113" s="64">
        <v>28365.58</v>
      </c>
      <c r="J113" s="64">
        <v>248.28</v>
      </c>
      <c r="K113" s="64">
        <v>665.8</v>
      </c>
      <c r="L113" s="64">
        <v>46.67</v>
      </c>
      <c r="M113" s="64">
        <v>15.96</v>
      </c>
      <c r="N113" s="65">
        <v>120.6</v>
      </c>
      <c r="O113" s="62">
        <v>4</v>
      </c>
      <c r="P113" s="62"/>
      <c r="Q113" s="62" t="s">
        <v>258</v>
      </c>
      <c r="R113" s="61"/>
      <c r="S113" s="61"/>
    </row>
    <row r="114" spans="1:19" ht="13.8" customHeight="1" x14ac:dyDescent="0.3">
      <c r="A114" s="66" t="s">
        <v>266</v>
      </c>
      <c r="B114" s="67">
        <f>IFERROR(INDEX('Boulder Sample Log'!A$5:A$204,MATCH(A114,'Boulder Sample Log'!E$5:E$204,0)),"")</f>
        <v>46118</v>
      </c>
      <c r="C114" s="66">
        <v>129</v>
      </c>
      <c r="D114" s="66" t="s">
        <v>256</v>
      </c>
      <c r="E114" s="66">
        <v>1</v>
      </c>
      <c r="F114" s="66" t="s">
        <v>257</v>
      </c>
      <c r="G114" s="66" t="s">
        <v>257</v>
      </c>
      <c r="H114" s="68">
        <v>24.56</v>
      </c>
      <c r="I114" s="68">
        <v>42021.75</v>
      </c>
      <c r="J114" s="68">
        <v>405.72</v>
      </c>
      <c r="K114" s="68">
        <v>888.45</v>
      </c>
      <c r="L114" s="68">
        <v>70.900000000000006</v>
      </c>
      <c r="M114" s="68">
        <v>32.53</v>
      </c>
      <c r="N114" s="69">
        <v>120.3</v>
      </c>
      <c r="O114" s="66">
        <v>4</v>
      </c>
      <c r="P114" s="66"/>
      <c r="Q114" s="66" t="s">
        <v>258</v>
      </c>
      <c r="R114" s="61"/>
      <c r="S114" s="61"/>
    </row>
    <row r="115" spans="1:19" ht="13.8" customHeight="1" x14ac:dyDescent="0.3">
      <c r="A115" s="62" t="s">
        <v>266</v>
      </c>
      <c r="B115" s="63">
        <f>IFERROR(INDEX('Boulder Sample Log'!A$5:A$204,MATCH(A115,'Boulder Sample Log'!E$5:E$204,0)),"")</f>
        <v>46118</v>
      </c>
      <c r="C115" s="62">
        <v>130</v>
      </c>
      <c r="D115" s="62" t="s">
        <v>256</v>
      </c>
      <c r="E115" s="62">
        <v>1</v>
      </c>
      <c r="F115" s="62" t="s">
        <v>257</v>
      </c>
      <c r="G115" s="62" t="s">
        <v>257</v>
      </c>
      <c r="H115" s="64">
        <v>17.93</v>
      </c>
      <c r="I115" s="64">
        <v>34084.370000000003</v>
      </c>
      <c r="J115" s="64">
        <v>295.95</v>
      </c>
      <c r="K115" s="64">
        <v>670.27</v>
      </c>
      <c r="L115" s="64">
        <v>55.28</v>
      </c>
      <c r="M115" s="64">
        <v>21.07</v>
      </c>
      <c r="N115" s="65">
        <v>120.6</v>
      </c>
      <c r="O115" s="62">
        <v>4</v>
      </c>
      <c r="P115" s="62"/>
      <c r="Q115" s="62" t="s">
        <v>258</v>
      </c>
      <c r="R115" s="61"/>
      <c r="S115" s="61"/>
    </row>
    <row r="116" spans="1:19" ht="13.8" customHeight="1" x14ac:dyDescent="0.3">
      <c r="A116" s="66" t="s">
        <v>266</v>
      </c>
      <c r="B116" s="67">
        <f>IFERROR(INDEX('Boulder Sample Log'!A$5:A$204,MATCH(A116,'Boulder Sample Log'!E$5:E$204,0)),"")</f>
        <v>46118</v>
      </c>
      <c r="C116" s="66">
        <v>131</v>
      </c>
      <c r="D116" s="66" t="s">
        <v>256</v>
      </c>
      <c r="E116" s="66">
        <v>2</v>
      </c>
      <c r="F116" s="66" t="s">
        <v>257</v>
      </c>
      <c r="G116" s="66" t="s">
        <v>257</v>
      </c>
      <c r="H116" s="68">
        <v>8.7799999999999994</v>
      </c>
      <c r="I116" s="68">
        <v>20539.71</v>
      </c>
      <c r="J116" s="68">
        <v>210.06</v>
      </c>
      <c r="K116" s="68">
        <v>345.18</v>
      </c>
      <c r="L116" s="68">
        <v>30.61</v>
      </c>
      <c r="M116" s="68">
        <v>7.21</v>
      </c>
      <c r="N116" s="69">
        <v>120.1</v>
      </c>
      <c r="O116" s="66">
        <v>4</v>
      </c>
      <c r="P116" s="66"/>
      <c r="Q116" s="66" t="s">
        <v>258</v>
      </c>
      <c r="R116" s="61"/>
      <c r="S116" s="61"/>
    </row>
    <row r="117" spans="1:19" ht="13.8" customHeight="1" x14ac:dyDescent="0.3">
      <c r="A117" s="62" t="s">
        <v>266</v>
      </c>
      <c r="B117" s="63">
        <f>IFERROR(INDEX('Boulder Sample Log'!A$5:A$204,MATCH(A117,'Boulder Sample Log'!E$5:E$204,0)),"")</f>
        <v>46118</v>
      </c>
      <c r="C117" s="62">
        <v>132</v>
      </c>
      <c r="D117" s="62" t="s">
        <v>256</v>
      </c>
      <c r="E117" s="62">
        <v>2</v>
      </c>
      <c r="F117" s="62" t="s">
        <v>257</v>
      </c>
      <c r="G117" s="62" t="s">
        <v>257</v>
      </c>
      <c r="H117" s="64">
        <v>11.02</v>
      </c>
      <c r="I117" s="64">
        <v>20321.95</v>
      </c>
      <c r="J117" s="64">
        <v>164.83</v>
      </c>
      <c r="K117" s="64">
        <v>324.45999999999998</v>
      </c>
      <c r="L117" s="64">
        <v>28.24</v>
      </c>
      <c r="M117" s="64">
        <v>8.8800000000000008</v>
      </c>
      <c r="N117" s="65">
        <v>120.5</v>
      </c>
      <c r="O117" s="62">
        <v>4</v>
      </c>
      <c r="P117" s="62"/>
      <c r="Q117" s="62" t="s">
        <v>258</v>
      </c>
      <c r="R117" s="61"/>
      <c r="S117" s="61"/>
    </row>
    <row r="118" spans="1:19" ht="13.8" customHeight="1" x14ac:dyDescent="0.3">
      <c r="A118" s="66" t="s">
        <v>266</v>
      </c>
      <c r="B118" s="67">
        <f>IFERROR(INDEX('Boulder Sample Log'!A$5:A$204,MATCH(A118,'Boulder Sample Log'!E$5:E$204,0)),"")</f>
        <v>46118</v>
      </c>
      <c r="C118" s="66">
        <v>133</v>
      </c>
      <c r="D118" s="66" t="s">
        <v>256</v>
      </c>
      <c r="E118" s="66">
        <v>2</v>
      </c>
      <c r="F118" s="66" t="s">
        <v>257</v>
      </c>
      <c r="G118" s="66" t="s">
        <v>257</v>
      </c>
      <c r="H118" s="68">
        <v>12.9</v>
      </c>
      <c r="I118" s="68">
        <v>20328.95</v>
      </c>
      <c r="J118" s="68">
        <v>159.08000000000001</v>
      </c>
      <c r="K118" s="68">
        <v>312.57</v>
      </c>
      <c r="L118" s="68">
        <v>25.32</v>
      </c>
      <c r="M118" s="68">
        <v>10.34</v>
      </c>
      <c r="N118" s="69">
        <v>120.4</v>
      </c>
      <c r="O118" s="66">
        <v>4</v>
      </c>
      <c r="P118" s="66"/>
      <c r="Q118" s="66" t="s">
        <v>258</v>
      </c>
      <c r="R118" s="61"/>
      <c r="S118" s="61"/>
    </row>
    <row r="119" spans="1:19" ht="13.8" customHeight="1" x14ac:dyDescent="0.3">
      <c r="A119" s="62" t="s">
        <v>266</v>
      </c>
      <c r="B119" s="63">
        <f>IFERROR(INDEX('Boulder Sample Log'!A$5:A$204,MATCH(A119,'Boulder Sample Log'!E$5:E$204,0)),"")</f>
        <v>46118</v>
      </c>
      <c r="C119" s="62">
        <v>134</v>
      </c>
      <c r="D119" s="62" t="s">
        <v>256</v>
      </c>
      <c r="E119" s="62">
        <v>3</v>
      </c>
      <c r="F119" s="62" t="s">
        <v>257</v>
      </c>
      <c r="G119" s="62" t="s">
        <v>257</v>
      </c>
      <c r="H119" s="64">
        <v>13.36</v>
      </c>
      <c r="I119" s="64">
        <v>24224.080000000002</v>
      </c>
      <c r="J119" s="64">
        <v>182.47</v>
      </c>
      <c r="K119" s="64">
        <v>405.26</v>
      </c>
      <c r="L119" s="64">
        <v>32.79</v>
      </c>
      <c r="M119" s="64">
        <v>14.54</v>
      </c>
      <c r="N119" s="65">
        <v>120.5</v>
      </c>
      <c r="O119" s="62">
        <v>4</v>
      </c>
      <c r="P119" s="62"/>
      <c r="Q119" s="62" t="s">
        <v>258</v>
      </c>
      <c r="R119" s="61"/>
      <c r="S119" s="61"/>
    </row>
    <row r="120" spans="1:19" ht="13.8" customHeight="1" x14ac:dyDescent="0.3">
      <c r="A120" s="66" t="s">
        <v>266</v>
      </c>
      <c r="B120" s="67">
        <f>IFERROR(INDEX('Boulder Sample Log'!A$5:A$204,MATCH(A120,'Boulder Sample Log'!E$5:E$204,0)),"")</f>
        <v>46118</v>
      </c>
      <c r="C120" s="66">
        <v>135</v>
      </c>
      <c r="D120" s="66" t="s">
        <v>256</v>
      </c>
      <c r="E120" s="66">
        <v>3</v>
      </c>
      <c r="F120" s="66" t="s">
        <v>257</v>
      </c>
      <c r="G120" s="66" t="s">
        <v>257</v>
      </c>
      <c r="H120" s="68">
        <v>18.399999999999999</v>
      </c>
      <c r="I120" s="68">
        <v>27852.93</v>
      </c>
      <c r="J120" s="68">
        <v>192.96</v>
      </c>
      <c r="K120" s="68">
        <v>392.6</v>
      </c>
      <c r="L120" s="68">
        <v>37.49</v>
      </c>
      <c r="M120" s="68">
        <v>17.47</v>
      </c>
      <c r="N120" s="69">
        <v>120.4</v>
      </c>
      <c r="O120" s="66">
        <v>4</v>
      </c>
      <c r="P120" s="66"/>
      <c r="Q120" s="66" t="s">
        <v>258</v>
      </c>
      <c r="R120" s="61"/>
      <c r="S120" s="61"/>
    </row>
    <row r="121" spans="1:19" ht="13.8" customHeight="1" x14ac:dyDescent="0.3">
      <c r="A121" s="62" t="s">
        <v>266</v>
      </c>
      <c r="B121" s="63">
        <f>IFERROR(INDEX('Boulder Sample Log'!A$5:A$204,MATCH(A121,'Boulder Sample Log'!E$5:E$204,0)),"")</f>
        <v>46118</v>
      </c>
      <c r="C121" s="62">
        <v>136</v>
      </c>
      <c r="D121" s="62" t="s">
        <v>256</v>
      </c>
      <c r="E121" s="62">
        <v>3</v>
      </c>
      <c r="F121" s="62" t="s">
        <v>257</v>
      </c>
      <c r="G121" s="62" t="s">
        <v>257</v>
      </c>
      <c r="H121" s="64">
        <v>13.62</v>
      </c>
      <c r="I121" s="64">
        <v>24536.54</v>
      </c>
      <c r="J121" s="64">
        <v>174.26</v>
      </c>
      <c r="K121" s="64">
        <v>472.31</v>
      </c>
      <c r="L121" s="64">
        <v>35.08</v>
      </c>
      <c r="M121" s="64">
        <v>12.4</v>
      </c>
      <c r="N121" s="65">
        <v>120.2</v>
      </c>
      <c r="O121" s="62">
        <v>4</v>
      </c>
      <c r="P121" s="62"/>
      <c r="Q121" s="62" t="s">
        <v>258</v>
      </c>
      <c r="R121" s="61"/>
      <c r="S121" s="61"/>
    </row>
    <row r="122" spans="1:19" ht="13.8" customHeight="1" x14ac:dyDescent="0.3">
      <c r="A122" s="66" t="s">
        <v>266</v>
      </c>
      <c r="B122" s="67">
        <f>IFERROR(INDEX('Boulder Sample Log'!A$5:A$204,MATCH(A122,'Boulder Sample Log'!E$5:E$204,0)),"")</f>
        <v>46118</v>
      </c>
      <c r="C122" s="66">
        <v>137</v>
      </c>
      <c r="D122" s="66" t="s">
        <v>256</v>
      </c>
      <c r="E122" s="66">
        <v>4</v>
      </c>
      <c r="F122" s="66" t="s">
        <v>257</v>
      </c>
      <c r="G122" s="66" t="s">
        <v>257</v>
      </c>
      <c r="H122" s="68">
        <v>11.7</v>
      </c>
      <c r="I122" s="68">
        <v>22286.799999999999</v>
      </c>
      <c r="J122" s="68">
        <v>200.65</v>
      </c>
      <c r="K122" s="68">
        <v>415.64</v>
      </c>
      <c r="L122" s="68">
        <v>41.24</v>
      </c>
      <c r="M122" s="68">
        <v>13.15</v>
      </c>
      <c r="N122" s="69">
        <v>120.2</v>
      </c>
      <c r="O122" s="66">
        <v>4</v>
      </c>
      <c r="P122" s="66"/>
      <c r="Q122" s="66" t="s">
        <v>258</v>
      </c>
      <c r="R122" s="61"/>
      <c r="S122" s="61"/>
    </row>
    <row r="123" spans="1:19" ht="13.8" customHeight="1" x14ac:dyDescent="0.3">
      <c r="A123" s="62" t="s">
        <v>266</v>
      </c>
      <c r="B123" s="63">
        <f>IFERROR(INDEX('Boulder Sample Log'!A$5:A$204,MATCH(A123,'Boulder Sample Log'!E$5:E$204,0)),"")</f>
        <v>46118</v>
      </c>
      <c r="C123" s="62">
        <v>138</v>
      </c>
      <c r="D123" s="62" t="s">
        <v>256</v>
      </c>
      <c r="E123" s="62">
        <v>4</v>
      </c>
      <c r="F123" s="62" t="s">
        <v>257</v>
      </c>
      <c r="G123" s="62" t="s">
        <v>257</v>
      </c>
      <c r="H123" s="64">
        <v>9.7100000000000009</v>
      </c>
      <c r="I123" s="64">
        <v>20840.689999999999</v>
      </c>
      <c r="J123" s="64">
        <v>230.1</v>
      </c>
      <c r="K123" s="64">
        <v>416.1</v>
      </c>
      <c r="L123" s="64">
        <v>37.68</v>
      </c>
      <c r="M123" s="64">
        <v>10.99</v>
      </c>
      <c r="N123" s="65">
        <v>120.4</v>
      </c>
      <c r="O123" s="62">
        <v>4</v>
      </c>
      <c r="P123" s="62"/>
      <c r="Q123" s="62" t="s">
        <v>258</v>
      </c>
      <c r="R123" s="61"/>
      <c r="S123" s="61"/>
    </row>
    <row r="124" spans="1:19" ht="13.8" customHeight="1" x14ac:dyDescent="0.3">
      <c r="A124" s="66" t="s">
        <v>266</v>
      </c>
      <c r="B124" s="67">
        <f>IFERROR(INDEX('Boulder Sample Log'!A$5:A$204,MATCH(A124,'Boulder Sample Log'!E$5:E$204,0)),"")</f>
        <v>46118</v>
      </c>
      <c r="C124" s="66">
        <v>139</v>
      </c>
      <c r="D124" s="66" t="s">
        <v>256</v>
      </c>
      <c r="E124" s="66">
        <v>4</v>
      </c>
      <c r="F124" s="66" t="s">
        <v>257</v>
      </c>
      <c r="G124" s="66" t="s">
        <v>257</v>
      </c>
      <c r="H124" s="68">
        <v>6.82</v>
      </c>
      <c r="I124" s="68">
        <v>22526.92</v>
      </c>
      <c r="J124" s="68">
        <v>167.03</v>
      </c>
      <c r="K124" s="68">
        <v>346.96</v>
      </c>
      <c r="L124" s="68">
        <v>37.36</v>
      </c>
      <c r="M124" s="68">
        <v>13.68</v>
      </c>
      <c r="N124" s="69">
        <v>120.3</v>
      </c>
      <c r="O124" s="66">
        <v>4</v>
      </c>
      <c r="P124" s="66"/>
      <c r="Q124" s="66" t="s">
        <v>258</v>
      </c>
      <c r="R124" s="61"/>
      <c r="S124" s="61"/>
    </row>
    <row r="125" spans="1:19" ht="13.8" customHeight="1" x14ac:dyDescent="0.3">
      <c r="A125" s="62" t="s">
        <v>266</v>
      </c>
      <c r="B125" s="63">
        <f>IFERROR(INDEX('Boulder Sample Log'!A$5:A$204,MATCH(A125,'Boulder Sample Log'!E$5:E$204,0)),"")</f>
        <v>46118</v>
      </c>
      <c r="C125" s="62">
        <v>140</v>
      </c>
      <c r="D125" s="62" t="s">
        <v>256</v>
      </c>
      <c r="E125" s="62">
        <v>5</v>
      </c>
      <c r="F125" s="62" t="s">
        <v>257</v>
      </c>
      <c r="G125" s="62" t="s">
        <v>257</v>
      </c>
      <c r="H125" s="64">
        <v>15.12</v>
      </c>
      <c r="I125" s="64">
        <v>32860.5</v>
      </c>
      <c r="J125" s="64">
        <v>270.29000000000002</v>
      </c>
      <c r="K125" s="64">
        <v>273.62</v>
      </c>
      <c r="L125" s="64">
        <v>62.27</v>
      </c>
      <c r="M125" s="64">
        <v>18.34</v>
      </c>
      <c r="N125" s="65">
        <v>120.4</v>
      </c>
      <c r="O125" s="62">
        <v>4</v>
      </c>
      <c r="P125" s="62"/>
      <c r="Q125" s="62" t="s">
        <v>258</v>
      </c>
      <c r="R125" s="61"/>
      <c r="S125" s="61"/>
    </row>
    <row r="126" spans="1:19" ht="13.8" customHeight="1" x14ac:dyDescent="0.3">
      <c r="A126" s="66" t="s">
        <v>266</v>
      </c>
      <c r="B126" s="67">
        <f>IFERROR(INDEX('Boulder Sample Log'!A$5:A$204,MATCH(A126,'Boulder Sample Log'!E$5:E$204,0)),"")</f>
        <v>46118</v>
      </c>
      <c r="C126" s="66">
        <v>141</v>
      </c>
      <c r="D126" s="66" t="s">
        <v>256</v>
      </c>
      <c r="E126" s="66">
        <v>5</v>
      </c>
      <c r="F126" s="66" t="s">
        <v>257</v>
      </c>
      <c r="G126" s="66" t="s">
        <v>257</v>
      </c>
      <c r="H126" s="68">
        <v>19.760000000000002</v>
      </c>
      <c r="I126" s="68">
        <v>30089.88</v>
      </c>
      <c r="J126" s="68">
        <v>252.8</v>
      </c>
      <c r="K126" s="68">
        <v>268.36</v>
      </c>
      <c r="L126" s="68">
        <v>53.4</v>
      </c>
      <c r="M126" s="68">
        <v>14.63</v>
      </c>
      <c r="N126" s="69">
        <v>120.4</v>
      </c>
      <c r="O126" s="66">
        <v>4</v>
      </c>
      <c r="P126" s="66"/>
      <c r="Q126" s="66" t="s">
        <v>258</v>
      </c>
      <c r="R126" s="61"/>
      <c r="S126" s="61"/>
    </row>
    <row r="127" spans="1:19" ht="13.8" customHeight="1" x14ac:dyDescent="0.3">
      <c r="A127" s="62" t="s">
        <v>266</v>
      </c>
      <c r="B127" s="63">
        <f>IFERROR(INDEX('Boulder Sample Log'!A$5:A$204,MATCH(A127,'Boulder Sample Log'!E$5:E$204,0)),"")</f>
        <v>46118</v>
      </c>
      <c r="C127" s="62">
        <v>142</v>
      </c>
      <c r="D127" s="62" t="s">
        <v>256</v>
      </c>
      <c r="E127" s="62">
        <v>5</v>
      </c>
      <c r="F127" s="62" t="s">
        <v>257</v>
      </c>
      <c r="G127" s="62" t="s">
        <v>257</v>
      </c>
      <c r="H127" s="64">
        <v>14.84</v>
      </c>
      <c r="I127" s="64">
        <v>30317.86</v>
      </c>
      <c r="J127" s="64">
        <v>227.73</v>
      </c>
      <c r="K127" s="64">
        <v>316.8</v>
      </c>
      <c r="L127" s="64">
        <v>55.06</v>
      </c>
      <c r="M127" s="64">
        <v>16.27</v>
      </c>
      <c r="N127" s="65">
        <v>120.7</v>
      </c>
      <c r="O127" s="62">
        <v>4</v>
      </c>
      <c r="P127" s="62"/>
      <c r="Q127" s="62" t="s">
        <v>258</v>
      </c>
      <c r="R127" s="61"/>
      <c r="S127" s="61"/>
    </row>
    <row r="128" spans="1:19" ht="13.8" customHeight="1" x14ac:dyDescent="0.3">
      <c r="A128" s="66" t="s">
        <v>267</v>
      </c>
      <c r="B128" s="67">
        <f>IFERROR(INDEX('Boulder Sample Log'!A$5:A$204,MATCH(A128,'Boulder Sample Log'!E$5:E$204,0)),"")</f>
        <v>46118</v>
      </c>
      <c r="C128" s="66">
        <v>143</v>
      </c>
      <c r="D128" s="66" t="s">
        <v>256</v>
      </c>
      <c r="E128" s="66">
        <v>1</v>
      </c>
      <c r="F128" s="66" t="s">
        <v>257</v>
      </c>
      <c r="G128" s="68">
        <v>16.260000000000002</v>
      </c>
      <c r="H128" s="68">
        <v>8.98</v>
      </c>
      <c r="I128" s="68">
        <v>5617.43</v>
      </c>
      <c r="J128" s="68">
        <v>64.58</v>
      </c>
      <c r="K128" s="68">
        <v>20751.900000000001</v>
      </c>
      <c r="L128" s="66" t="s">
        <v>257</v>
      </c>
      <c r="M128" s="68">
        <v>7.68</v>
      </c>
      <c r="N128" s="69">
        <v>120.3</v>
      </c>
      <c r="O128" s="66">
        <v>4</v>
      </c>
      <c r="P128" s="66"/>
      <c r="Q128" s="66" t="s">
        <v>258</v>
      </c>
      <c r="R128" s="61"/>
      <c r="S128" s="61"/>
    </row>
    <row r="129" spans="1:19" ht="13.8" customHeight="1" x14ac:dyDescent="0.3">
      <c r="A129" s="62" t="s">
        <v>267</v>
      </c>
      <c r="B129" s="63">
        <f>IFERROR(INDEX('Boulder Sample Log'!A$5:A$204,MATCH(A129,'Boulder Sample Log'!E$5:E$204,0)),"")</f>
        <v>46118</v>
      </c>
      <c r="C129" s="62">
        <v>144</v>
      </c>
      <c r="D129" s="62" t="s">
        <v>256</v>
      </c>
      <c r="E129" s="62">
        <v>1</v>
      </c>
      <c r="F129" s="62" t="s">
        <v>257</v>
      </c>
      <c r="G129" s="64">
        <v>16.329999999999998</v>
      </c>
      <c r="H129" s="64">
        <v>6.55</v>
      </c>
      <c r="I129" s="64">
        <v>5951.92</v>
      </c>
      <c r="J129" s="64">
        <v>66.790000000000006</v>
      </c>
      <c r="K129" s="64">
        <v>12690.56</v>
      </c>
      <c r="L129" s="62" t="s">
        <v>257</v>
      </c>
      <c r="M129" s="64">
        <v>8.9700000000000006</v>
      </c>
      <c r="N129" s="65">
        <v>120</v>
      </c>
      <c r="O129" s="62">
        <v>4</v>
      </c>
      <c r="P129" s="62"/>
      <c r="Q129" s="62" t="s">
        <v>258</v>
      </c>
      <c r="R129" s="61"/>
      <c r="S129" s="61"/>
    </row>
    <row r="130" spans="1:19" ht="13.8" customHeight="1" x14ac:dyDescent="0.3">
      <c r="A130" s="66" t="s">
        <v>267</v>
      </c>
      <c r="B130" s="67">
        <f>IFERROR(INDEX('Boulder Sample Log'!A$5:A$204,MATCH(A130,'Boulder Sample Log'!E$5:E$204,0)),"")</f>
        <v>46118</v>
      </c>
      <c r="C130" s="66">
        <v>145</v>
      </c>
      <c r="D130" s="66" t="s">
        <v>256</v>
      </c>
      <c r="E130" s="66">
        <v>1</v>
      </c>
      <c r="F130" s="66" t="s">
        <v>257</v>
      </c>
      <c r="G130" s="68">
        <v>12.92</v>
      </c>
      <c r="H130" s="68">
        <v>8.2100000000000009</v>
      </c>
      <c r="I130" s="68">
        <v>5114.05</v>
      </c>
      <c r="J130" s="66" t="s">
        <v>257</v>
      </c>
      <c r="K130" s="68">
        <v>11639.99</v>
      </c>
      <c r="L130" s="66" t="s">
        <v>257</v>
      </c>
      <c r="M130" s="66" t="s">
        <v>257</v>
      </c>
      <c r="N130" s="69">
        <v>122.9</v>
      </c>
      <c r="O130" s="66">
        <v>4</v>
      </c>
      <c r="P130" s="66"/>
      <c r="Q130" s="66" t="s">
        <v>258</v>
      </c>
      <c r="R130" s="61"/>
      <c r="S130" s="61"/>
    </row>
    <row r="131" spans="1:19" ht="13.8" customHeight="1" x14ac:dyDescent="0.3">
      <c r="A131" s="62" t="s">
        <v>267</v>
      </c>
      <c r="B131" s="63">
        <f>IFERROR(INDEX('Boulder Sample Log'!A$5:A$204,MATCH(A131,'Boulder Sample Log'!E$5:E$204,0)),"")</f>
        <v>46118</v>
      </c>
      <c r="C131" s="62">
        <v>146</v>
      </c>
      <c r="D131" s="62" t="s">
        <v>256</v>
      </c>
      <c r="E131" s="62">
        <v>2</v>
      </c>
      <c r="F131" s="62" t="s">
        <v>257</v>
      </c>
      <c r="G131" s="64">
        <v>10.15</v>
      </c>
      <c r="H131" s="64">
        <v>7.56</v>
      </c>
      <c r="I131" s="64">
        <v>5170.16</v>
      </c>
      <c r="J131" s="62" t="s">
        <v>257</v>
      </c>
      <c r="K131" s="64">
        <v>8006.38</v>
      </c>
      <c r="L131" s="62" t="s">
        <v>257</v>
      </c>
      <c r="M131" s="62" t="s">
        <v>257</v>
      </c>
      <c r="N131" s="65">
        <v>120.2</v>
      </c>
      <c r="O131" s="62">
        <v>4</v>
      </c>
      <c r="P131" s="62"/>
      <c r="Q131" s="62" t="s">
        <v>258</v>
      </c>
      <c r="R131" s="61"/>
      <c r="S131" s="61"/>
    </row>
    <row r="132" spans="1:19" ht="13.8" customHeight="1" x14ac:dyDescent="0.3">
      <c r="A132" s="66" t="s">
        <v>267</v>
      </c>
      <c r="B132" s="67">
        <f>IFERROR(INDEX('Boulder Sample Log'!A$5:A$204,MATCH(A132,'Boulder Sample Log'!E$5:E$204,0)),"")</f>
        <v>46118</v>
      </c>
      <c r="C132" s="66">
        <v>147</v>
      </c>
      <c r="D132" s="66" t="s">
        <v>256</v>
      </c>
      <c r="E132" s="66">
        <v>2</v>
      </c>
      <c r="F132" s="66" t="s">
        <v>257</v>
      </c>
      <c r="G132" s="68">
        <v>9.34</v>
      </c>
      <c r="H132" s="68">
        <v>7.67</v>
      </c>
      <c r="I132" s="68">
        <v>4788.5</v>
      </c>
      <c r="J132" s="66" t="s">
        <v>257</v>
      </c>
      <c r="K132" s="68">
        <v>8232.76</v>
      </c>
      <c r="L132" s="66" t="s">
        <v>257</v>
      </c>
      <c r="M132" s="66" t="s">
        <v>257</v>
      </c>
      <c r="N132" s="69">
        <v>120.6</v>
      </c>
      <c r="O132" s="66">
        <v>4</v>
      </c>
      <c r="P132" s="66"/>
      <c r="Q132" s="66" t="s">
        <v>258</v>
      </c>
      <c r="R132" s="61"/>
      <c r="S132" s="61"/>
    </row>
    <row r="133" spans="1:19" ht="13.8" customHeight="1" x14ac:dyDescent="0.3">
      <c r="A133" s="62" t="s">
        <v>267</v>
      </c>
      <c r="B133" s="63">
        <f>IFERROR(INDEX('Boulder Sample Log'!A$5:A$204,MATCH(A133,'Boulder Sample Log'!E$5:E$204,0)),"")</f>
        <v>46118</v>
      </c>
      <c r="C133" s="62">
        <v>148</v>
      </c>
      <c r="D133" s="62" t="s">
        <v>256</v>
      </c>
      <c r="E133" s="62">
        <v>2</v>
      </c>
      <c r="F133" s="62" t="s">
        <v>257</v>
      </c>
      <c r="G133" s="64">
        <v>9.1300000000000008</v>
      </c>
      <c r="H133" s="64">
        <v>8.4700000000000006</v>
      </c>
      <c r="I133" s="64">
        <v>4573.12</v>
      </c>
      <c r="J133" s="62" t="s">
        <v>257</v>
      </c>
      <c r="K133" s="64">
        <v>9298.34</v>
      </c>
      <c r="L133" s="62" t="s">
        <v>257</v>
      </c>
      <c r="M133" s="64">
        <v>3.91</v>
      </c>
      <c r="N133" s="65">
        <v>120.4</v>
      </c>
      <c r="O133" s="62">
        <v>4</v>
      </c>
      <c r="P133" s="62"/>
      <c r="Q133" s="62" t="s">
        <v>258</v>
      </c>
      <c r="R133" s="61"/>
      <c r="S133" s="61"/>
    </row>
    <row r="134" spans="1:19" ht="13.8" customHeight="1" x14ac:dyDescent="0.3">
      <c r="A134" s="66" t="s">
        <v>267</v>
      </c>
      <c r="B134" s="67">
        <f>IFERROR(INDEX('Boulder Sample Log'!A$5:A$204,MATCH(A134,'Boulder Sample Log'!E$5:E$204,0)),"")</f>
        <v>46118</v>
      </c>
      <c r="C134" s="66">
        <v>149</v>
      </c>
      <c r="D134" s="66" t="s">
        <v>256</v>
      </c>
      <c r="E134" s="66">
        <v>3</v>
      </c>
      <c r="F134" s="66" t="s">
        <v>257</v>
      </c>
      <c r="G134" s="68">
        <v>31.91</v>
      </c>
      <c r="H134" s="68">
        <v>9.4700000000000006</v>
      </c>
      <c r="I134" s="68">
        <v>3332.64</v>
      </c>
      <c r="J134" s="68">
        <v>47.68</v>
      </c>
      <c r="K134" s="68">
        <v>14751.13</v>
      </c>
      <c r="L134" s="68">
        <v>2.92</v>
      </c>
      <c r="M134" s="66" t="s">
        <v>257</v>
      </c>
      <c r="N134" s="69">
        <v>120.3</v>
      </c>
      <c r="O134" s="66">
        <v>4</v>
      </c>
      <c r="P134" s="66"/>
      <c r="Q134" s="66" t="s">
        <v>258</v>
      </c>
      <c r="R134" s="61"/>
      <c r="S134" s="61"/>
    </row>
    <row r="135" spans="1:19" ht="13.8" customHeight="1" x14ac:dyDescent="0.3">
      <c r="A135" s="62" t="s">
        <v>267</v>
      </c>
      <c r="B135" s="63">
        <f>IFERROR(INDEX('Boulder Sample Log'!A$5:A$204,MATCH(A135,'Boulder Sample Log'!E$5:E$204,0)),"")</f>
        <v>46118</v>
      </c>
      <c r="C135" s="62">
        <v>150</v>
      </c>
      <c r="D135" s="62" t="s">
        <v>256</v>
      </c>
      <c r="E135" s="62">
        <v>3</v>
      </c>
      <c r="F135" s="62" t="s">
        <v>257</v>
      </c>
      <c r="G135" s="64">
        <v>34.479999999999997</v>
      </c>
      <c r="H135" s="64">
        <v>6.17</v>
      </c>
      <c r="I135" s="64">
        <v>2703.42</v>
      </c>
      <c r="J135" s="62" t="s">
        <v>257</v>
      </c>
      <c r="K135" s="64">
        <v>9328.84</v>
      </c>
      <c r="L135" s="62" t="s">
        <v>257</v>
      </c>
      <c r="M135" s="62" t="s">
        <v>257</v>
      </c>
      <c r="N135" s="65">
        <v>120.5</v>
      </c>
      <c r="O135" s="62">
        <v>4</v>
      </c>
      <c r="P135" s="62"/>
      <c r="Q135" s="62" t="s">
        <v>258</v>
      </c>
      <c r="R135" s="61"/>
      <c r="S135" s="61"/>
    </row>
    <row r="136" spans="1:19" ht="13.8" customHeight="1" x14ac:dyDescent="0.3">
      <c r="A136" s="66" t="s">
        <v>267</v>
      </c>
      <c r="B136" s="67">
        <f>IFERROR(INDEX('Boulder Sample Log'!A$5:A$204,MATCH(A136,'Boulder Sample Log'!E$5:E$204,0)),"")</f>
        <v>46118</v>
      </c>
      <c r="C136" s="66">
        <v>151</v>
      </c>
      <c r="D136" s="66" t="s">
        <v>256</v>
      </c>
      <c r="E136" s="66">
        <v>3</v>
      </c>
      <c r="F136" s="66" t="s">
        <v>257</v>
      </c>
      <c r="G136" s="68">
        <v>31.82</v>
      </c>
      <c r="H136" s="68">
        <v>9.1</v>
      </c>
      <c r="I136" s="68">
        <v>2709.28</v>
      </c>
      <c r="J136" s="68">
        <v>44.68</v>
      </c>
      <c r="K136" s="68">
        <v>14084.78</v>
      </c>
      <c r="L136" s="66" t="s">
        <v>257</v>
      </c>
      <c r="M136" s="68">
        <v>3.89</v>
      </c>
      <c r="N136" s="69">
        <v>120.2</v>
      </c>
      <c r="O136" s="66">
        <v>4</v>
      </c>
      <c r="P136" s="66"/>
      <c r="Q136" s="66" t="s">
        <v>258</v>
      </c>
      <c r="R136" s="61"/>
      <c r="S136" s="61"/>
    </row>
    <row r="137" spans="1:19" ht="13.8" customHeight="1" x14ac:dyDescent="0.3">
      <c r="A137" s="62" t="s">
        <v>267</v>
      </c>
      <c r="B137" s="63">
        <f>IFERROR(INDEX('Boulder Sample Log'!A$5:A$204,MATCH(A137,'Boulder Sample Log'!E$5:E$204,0)),"")</f>
        <v>46118</v>
      </c>
      <c r="C137" s="62">
        <v>152</v>
      </c>
      <c r="D137" s="62" t="s">
        <v>256</v>
      </c>
      <c r="E137" s="62">
        <v>4</v>
      </c>
      <c r="F137" s="62" t="s">
        <v>257</v>
      </c>
      <c r="G137" s="64">
        <v>31.78</v>
      </c>
      <c r="H137" s="64">
        <v>5.99</v>
      </c>
      <c r="I137" s="64">
        <v>3941.56</v>
      </c>
      <c r="J137" s="64">
        <v>44.68</v>
      </c>
      <c r="K137" s="64">
        <v>12183.78</v>
      </c>
      <c r="L137" s="64">
        <v>4.33</v>
      </c>
      <c r="M137" s="62" t="s">
        <v>257</v>
      </c>
      <c r="N137" s="65">
        <v>120.4</v>
      </c>
      <c r="O137" s="62">
        <v>4</v>
      </c>
      <c r="P137" s="62"/>
      <c r="Q137" s="62" t="s">
        <v>258</v>
      </c>
      <c r="R137" s="61"/>
      <c r="S137" s="61"/>
    </row>
    <row r="138" spans="1:19" ht="13.8" customHeight="1" x14ac:dyDescent="0.3">
      <c r="A138" s="66" t="s">
        <v>267</v>
      </c>
      <c r="B138" s="67">
        <f>IFERROR(INDEX('Boulder Sample Log'!A$5:A$204,MATCH(A138,'Boulder Sample Log'!E$5:E$204,0)),"")</f>
        <v>46118</v>
      </c>
      <c r="C138" s="66">
        <v>153</v>
      </c>
      <c r="D138" s="66" t="s">
        <v>256</v>
      </c>
      <c r="E138" s="66">
        <v>4</v>
      </c>
      <c r="F138" s="66" t="s">
        <v>257</v>
      </c>
      <c r="G138" s="68">
        <v>38.76</v>
      </c>
      <c r="H138" s="68">
        <v>4.3600000000000003</v>
      </c>
      <c r="I138" s="68">
        <v>2872.94</v>
      </c>
      <c r="J138" s="68">
        <v>102.41</v>
      </c>
      <c r="K138" s="68">
        <v>14214.92</v>
      </c>
      <c r="L138" s="68">
        <v>9.2200000000000006</v>
      </c>
      <c r="M138" s="66" t="s">
        <v>257</v>
      </c>
      <c r="N138" s="69">
        <v>120.5</v>
      </c>
      <c r="O138" s="66">
        <v>4</v>
      </c>
      <c r="P138" s="66"/>
      <c r="Q138" s="66" t="s">
        <v>258</v>
      </c>
      <c r="R138" s="61"/>
      <c r="S138" s="61"/>
    </row>
    <row r="139" spans="1:19" ht="13.8" customHeight="1" x14ac:dyDescent="0.3">
      <c r="A139" s="62" t="s">
        <v>267</v>
      </c>
      <c r="B139" s="63">
        <f>IFERROR(INDEX('Boulder Sample Log'!A$5:A$204,MATCH(A139,'Boulder Sample Log'!E$5:E$204,0)),"")</f>
        <v>46118</v>
      </c>
      <c r="C139" s="62">
        <v>154</v>
      </c>
      <c r="D139" s="62" t="s">
        <v>256</v>
      </c>
      <c r="E139" s="62">
        <v>4</v>
      </c>
      <c r="F139" s="62" t="s">
        <v>257</v>
      </c>
      <c r="G139" s="64">
        <v>36.369999999999997</v>
      </c>
      <c r="H139" s="64">
        <v>7.55</v>
      </c>
      <c r="I139" s="64">
        <v>3799.18</v>
      </c>
      <c r="J139" s="64">
        <v>61.82</v>
      </c>
      <c r="K139" s="64">
        <v>11775.82</v>
      </c>
      <c r="L139" s="64">
        <v>3.13</v>
      </c>
      <c r="M139" s="62" t="s">
        <v>257</v>
      </c>
      <c r="N139" s="65">
        <v>120.4</v>
      </c>
      <c r="O139" s="62">
        <v>4</v>
      </c>
      <c r="P139" s="62"/>
      <c r="Q139" s="62" t="s">
        <v>258</v>
      </c>
      <c r="R139" s="61"/>
      <c r="S139" s="61"/>
    </row>
    <row r="140" spans="1:19" ht="13.8" customHeight="1" x14ac:dyDescent="0.3">
      <c r="A140" s="66" t="s">
        <v>267</v>
      </c>
      <c r="B140" s="67">
        <f>IFERROR(INDEX('Boulder Sample Log'!A$5:A$204,MATCH(A140,'Boulder Sample Log'!E$5:E$204,0)),"")</f>
        <v>46118</v>
      </c>
      <c r="C140" s="66">
        <v>155</v>
      </c>
      <c r="D140" s="66" t="s">
        <v>256</v>
      </c>
      <c r="E140" s="66">
        <v>5</v>
      </c>
      <c r="F140" s="66" t="s">
        <v>257</v>
      </c>
      <c r="G140" s="68">
        <v>25.86</v>
      </c>
      <c r="H140" s="68">
        <v>5.4</v>
      </c>
      <c r="I140" s="68">
        <v>3057.23</v>
      </c>
      <c r="J140" s="68">
        <v>96.61</v>
      </c>
      <c r="K140" s="68">
        <v>15700.4</v>
      </c>
      <c r="L140" s="68">
        <v>5.09</v>
      </c>
      <c r="M140" s="66" t="s">
        <v>257</v>
      </c>
      <c r="N140" s="69">
        <v>122.9</v>
      </c>
      <c r="O140" s="66">
        <v>4</v>
      </c>
      <c r="P140" s="66"/>
      <c r="Q140" s="66" t="s">
        <v>258</v>
      </c>
      <c r="R140" s="61"/>
      <c r="S140" s="61"/>
    </row>
    <row r="141" spans="1:19" ht="13.8" customHeight="1" x14ac:dyDescent="0.3">
      <c r="A141" s="62" t="s">
        <v>267</v>
      </c>
      <c r="B141" s="63">
        <f>IFERROR(INDEX('Boulder Sample Log'!A$5:A$204,MATCH(A141,'Boulder Sample Log'!E$5:E$204,0)),"")</f>
        <v>46118</v>
      </c>
      <c r="C141" s="62">
        <v>156</v>
      </c>
      <c r="D141" s="62" t="s">
        <v>256</v>
      </c>
      <c r="E141" s="62">
        <v>5</v>
      </c>
      <c r="F141" s="62" t="s">
        <v>257</v>
      </c>
      <c r="G141" s="64">
        <v>35.97</v>
      </c>
      <c r="H141" s="64">
        <v>5.27</v>
      </c>
      <c r="I141" s="64">
        <v>2357.94</v>
      </c>
      <c r="J141" s="64">
        <v>73.8</v>
      </c>
      <c r="K141" s="64">
        <v>10160.86</v>
      </c>
      <c r="L141" s="64">
        <v>3.01</v>
      </c>
      <c r="M141" s="62" t="s">
        <v>257</v>
      </c>
      <c r="N141" s="65">
        <v>120.4</v>
      </c>
      <c r="O141" s="62">
        <v>4</v>
      </c>
      <c r="P141" s="62"/>
      <c r="Q141" s="62" t="s">
        <v>258</v>
      </c>
      <c r="R141" s="61"/>
      <c r="S141" s="61"/>
    </row>
    <row r="142" spans="1:19" ht="13.8" customHeight="1" x14ac:dyDescent="0.3">
      <c r="A142" s="66" t="s">
        <v>267</v>
      </c>
      <c r="B142" s="67">
        <f>IFERROR(INDEX('Boulder Sample Log'!A$5:A$204,MATCH(A142,'Boulder Sample Log'!E$5:E$204,0)),"")</f>
        <v>46118</v>
      </c>
      <c r="C142" s="66">
        <v>159</v>
      </c>
      <c r="D142" s="66" t="s">
        <v>256</v>
      </c>
      <c r="E142" s="66">
        <v>5</v>
      </c>
      <c r="F142" s="66" t="s">
        <v>257</v>
      </c>
      <c r="G142" s="68">
        <v>33.869999999999997</v>
      </c>
      <c r="H142" s="68">
        <v>5.82</v>
      </c>
      <c r="I142" s="68">
        <v>2176.7800000000002</v>
      </c>
      <c r="J142" s="68">
        <v>97.93</v>
      </c>
      <c r="K142" s="68">
        <v>11609.8</v>
      </c>
      <c r="L142" s="68">
        <v>7.95</v>
      </c>
      <c r="M142" s="66" t="s">
        <v>257</v>
      </c>
      <c r="N142" s="69">
        <v>120.4</v>
      </c>
      <c r="O142" s="66">
        <v>4</v>
      </c>
      <c r="P142" s="66"/>
      <c r="Q142" s="66" t="s">
        <v>258</v>
      </c>
      <c r="R142" s="61"/>
      <c r="S142" s="61"/>
    </row>
    <row r="143" spans="1:19" ht="13.8" customHeight="1" x14ac:dyDescent="0.3">
      <c r="A143" s="62" t="s">
        <v>268</v>
      </c>
      <c r="B143" s="63">
        <f>IFERROR(INDEX('Boulder Sample Log'!A$5:A$204,MATCH(A143,'Boulder Sample Log'!E$5:E$204,0)),"")</f>
        <v>46118</v>
      </c>
      <c r="C143" s="62">
        <v>160</v>
      </c>
      <c r="D143" s="62" t="s">
        <v>256</v>
      </c>
      <c r="E143" s="62">
        <v>1</v>
      </c>
      <c r="F143" s="64">
        <v>8.08</v>
      </c>
      <c r="G143" s="64">
        <v>345.33</v>
      </c>
      <c r="H143" s="64">
        <v>8.11</v>
      </c>
      <c r="I143" s="64">
        <v>40914.43</v>
      </c>
      <c r="J143" s="62" t="s">
        <v>257</v>
      </c>
      <c r="K143" s="64">
        <v>25814.83</v>
      </c>
      <c r="L143" s="64">
        <v>3.92</v>
      </c>
      <c r="M143" s="62" t="s">
        <v>257</v>
      </c>
      <c r="N143" s="65">
        <v>120.3</v>
      </c>
      <c r="O143" s="62">
        <v>4</v>
      </c>
      <c r="P143" s="62"/>
      <c r="Q143" s="62" t="s">
        <v>258</v>
      </c>
      <c r="R143" s="61"/>
      <c r="S143" s="61"/>
    </row>
    <row r="144" spans="1:19" ht="13.8" customHeight="1" x14ac:dyDescent="0.3">
      <c r="A144" s="66" t="s">
        <v>268</v>
      </c>
      <c r="B144" s="67">
        <f>IFERROR(INDEX('Boulder Sample Log'!A$5:A$204,MATCH(A144,'Boulder Sample Log'!E$5:E$204,0)),"")</f>
        <v>46118</v>
      </c>
      <c r="C144" s="66">
        <v>161</v>
      </c>
      <c r="D144" s="66" t="s">
        <v>256</v>
      </c>
      <c r="E144" s="66">
        <v>1</v>
      </c>
      <c r="F144" s="68">
        <v>4.1399999999999997</v>
      </c>
      <c r="G144" s="68">
        <v>538.80999999999995</v>
      </c>
      <c r="H144" s="68">
        <v>8.2200000000000006</v>
      </c>
      <c r="I144" s="68">
        <v>40706.120000000003</v>
      </c>
      <c r="J144" s="66" t="s">
        <v>257</v>
      </c>
      <c r="K144" s="68">
        <v>27994.06</v>
      </c>
      <c r="L144" s="66" t="s">
        <v>257</v>
      </c>
      <c r="M144" s="66" t="s">
        <v>257</v>
      </c>
      <c r="N144" s="69">
        <v>120.6</v>
      </c>
      <c r="O144" s="66">
        <v>4</v>
      </c>
      <c r="P144" s="66"/>
      <c r="Q144" s="66" t="s">
        <v>258</v>
      </c>
      <c r="R144" s="61"/>
      <c r="S144" s="61"/>
    </row>
    <row r="145" spans="1:19" ht="13.8" customHeight="1" x14ac:dyDescent="0.3">
      <c r="A145" s="62" t="s">
        <v>268</v>
      </c>
      <c r="B145" s="63">
        <f>IFERROR(INDEX('Boulder Sample Log'!A$5:A$204,MATCH(A145,'Boulder Sample Log'!E$5:E$204,0)),"")</f>
        <v>46118</v>
      </c>
      <c r="C145" s="62">
        <v>162</v>
      </c>
      <c r="D145" s="62" t="s">
        <v>256</v>
      </c>
      <c r="E145" s="62">
        <v>1</v>
      </c>
      <c r="F145" s="64">
        <v>5.78</v>
      </c>
      <c r="G145" s="64">
        <v>628.55999999999995</v>
      </c>
      <c r="H145" s="64">
        <v>7.78</v>
      </c>
      <c r="I145" s="64">
        <v>38994.46</v>
      </c>
      <c r="J145" s="62" t="s">
        <v>257</v>
      </c>
      <c r="K145" s="64">
        <v>22806.75</v>
      </c>
      <c r="L145" s="62" t="s">
        <v>257</v>
      </c>
      <c r="M145" s="62" t="s">
        <v>257</v>
      </c>
      <c r="N145" s="65">
        <v>120.5</v>
      </c>
      <c r="O145" s="62">
        <v>4</v>
      </c>
      <c r="P145" s="62"/>
      <c r="Q145" s="62" t="s">
        <v>258</v>
      </c>
      <c r="R145" s="61"/>
      <c r="S145" s="61"/>
    </row>
    <row r="146" spans="1:19" ht="13.8" customHeight="1" x14ac:dyDescent="0.3">
      <c r="A146" s="66" t="s">
        <v>268</v>
      </c>
      <c r="B146" s="67">
        <f>IFERROR(INDEX('Boulder Sample Log'!A$5:A$204,MATCH(A146,'Boulder Sample Log'!E$5:E$204,0)),"")</f>
        <v>46118</v>
      </c>
      <c r="C146" s="66">
        <v>163</v>
      </c>
      <c r="D146" s="66" t="s">
        <v>256</v>
      </c>
      <c r="E146" s="66">
        <v>2</v>
      </c>
      <c r="F146" s="68">
        <v>4.8899999999999997</v>
      </c>
      <c r="G146" s="68">
        <v>234.31</v>
      </c>
      <c r="H146" s="68">
        <v>6.56</v>
      </c>
      <c r="I146" s="68">
        <v>37629.32</v>
      </c>
      <c r="J146" s="68">
        <v>85.02</v>
      </c>
      <c r="K146" s="68">
        <v>22340.94</v>
      </c>
      <c r="L146" s="68">
        <v>10.07</v>
      </c>
      <c r="M146" s="66" t="s">
        <v>257</v>
      </c>
      <c r="N146" s="69">
        <v>120.2</v>
      </c>
      <c r="O146" s="66">
        <v>4</v>
      </c>
      <c r="P146" s="66"/>
      <c r="Q146" s="66" t="s">
        <v>258</v>
      </c>
      <c r="R146" s="61"/>
      <c r="S146" s="61"/>
    </row>
    <row r="147" spans="1:19" ht="13.8" customHeight="1" x14ac:dyDescent="0.3">
      <c r="A147" s="62" t="s">
        <v>268</v>
      </c>
      <c r="B147" s="63">
        <f>IFERROR(INDEX('Boulder Sample Log'!A$5:A$204,MATCH(A147,'Boulder Sample Log'!E$5:E$204,0)),"")</f>
        <v>46118</v>
      </c>
      <c r="C147" s="62">
        <v>164</v>
      </c>
      <c r="D147" s="62" t="s">
        <v>256</v>
      </c>
      <c r="E147" s="62">
        <v>2</v>
      </c>
      <c r="F147" s="64">
        <v>18.61</v>
      </c>
      <c r="G147" s="64">
        <v>523.63</v>
      </c>
      <c r="H147" s="64">
        <v>8.31</v>
      </c>
      <c r="I147" s="64">
        <v>31987.39</v>
      </c>
      <c r="J147" s="64">
        <v>56.77</v>
      </c>
      <c r="K147" s="64">
        <v>19049.7</v>
      </c>
      <c r="L147" s="64">
        <v>3.47</v>
      </c>
      <c r="M147" s="62" t="s">
        <v>257</v>
      </c>
      <c r="N147" s="65">
        <v>120.2</v>
      </c>
      <c r="O147" s="62">
        <v>4</v>
      </c>
      <c r="P147" s="62"/>
      <c r="Q147" s="62" t="s">
        <v>258</v>
      </c>
      <c r="R147" s="61"/>
      <c r="S147" s="61"/>
    </row>
    <row r="148" spans="1:19" ht="13.8" customHeight="1" x14ac:dyDescent="0.3">
      <c r="A148" s="66" t="s">
        <v>268</v>
      </c>
      <c r="B148" s="67">
        <f>IFERROR(INDEX('Boulder Sample Log'!A$5:A$204,MATCH(A148,'Boulder Sample Log'!E$5:E$204,0)),"")</f>
        <v>46118</v>
      </c>
      <c r="C148" s="66">
        <v>165</v>
      </c>
      <c r="D148" s="66" t="s">
        <v>256</v>
      </c>
      <c r="E148" s="66">
        <v>2</v>
      </c>
      <c r="F148" s="68">
        <v>28.41</v>
      </c>
      <c r="G148" s="68">
        <v>385.62</v>
      </c>
      <c r="H148" s="68">
        <v>7.68</v>
      </c>
      <c r="I148" s="68">
        <v>34343.480000000003</v>
      </c>
      <c r="J148" s="68">
        <v>137.75</v>
      </c>
      <c r="K148" s="68">
        <v>17286.28</v>
      </c>
      <c r="L148" s="68">
        <v>12.4</v>
      </c>
      <c r="M148" s="66" t="s">
        <v>257</v>
      </c>
      <c r="N148" s="69">
        <v>120.4</v>
      </c>
      <c r="O148" s="66">
        <v>4</v>
      </c>
      <c r="P148" s="66"/>
      <c r="Q148" s="66" t="s">
        <v>258</v>
      </c>
      <c r="R148" s="61"/>
      <c r="S148" s="61"/>
    </row>
    <row r="149" spans="1:19" ht="13.8" customHeight="1" x14ac:dyDescent="0.3">
      <c r="A149" s="62" t="s">
        <v>268</v>
      </c>
      <c r="B149" s="63">
        <f>IFERROR(INDEX('Boulder Sample Log'!A$5:A$204,MATCH(A149,'Boulder Sample Log'!E$5:E$204,0)),"")</f>
        <v>46118</v>
      </c>
      <c r="C149" s="62">
        <v>166</v>
      </c>
      <c r="D149" s="62" t="s">
        <v>256</v>
      </c>
      <c r="E149" s="62">
        <v>3</v>
      </c>
      <c r="F149" s="64">
        <v>19</v>
      </c>
      <c r="G149" s="64">
        <v>357.51</v>
      </c>
      <c r="H149" s="64">
        <v>8.94</v>
      </c>
      <c r="I149" s="64">
        <v>36102.839999999997</v>
      </c>
      <c r="J149" s="64">
        <v>142.47999999999999</v>
      </c>
      <c r="K149" s="64">
        <v>17747.099999999999</v>
      </c>
      <c r="L149" s="64">
        <v>18</v>
      </c>
      <c r="M149" s="64">
        <v>9.16</v>
      </c>
      <c r="N149" s="65">
        <v>120.2</v>
      </c>
      <c r="O149" s="62">
        <v>4</v>
      </c>
      <c r="P149" s="62"/>
      <c r="Q149" s="62" t="s">
        <v>258</v>
      </c>
      <c r="R149" s="61"/>
      <c r="S149" s="61"/>
    </row>
    <row r="150" spans="1:19" ht="13.8" customHeight="1" x14ac:dyDescent="0.3">
      <c r="A150" s="66" t="s">
        <v>268</v>
      </c>
      <c r="B150" s="67">
        <f>IFERROR(INDEX('Boulder Sample Log'!A$5:A$204,MATCH(A150,'Boulder Sample Log'!E$5:E$204,0)),"")</f>
        <v>46118</v>
      </c>
      <c r="C150" s="66">
        <v>167</v>
      </c>
      <c r="D150" s="66" t="s">
        <v>256</v>
      </c>
      <c r="E150" s="66">
        <v>3</v>
      </c>
      <c r="F150" s="68">
        <v>12.42</v>
      </c>
      <c r="G150" s="68">
        <v>504.98</v>
      </c>
      <c r="H150" s="68">
        <v>7.25</v>
      </c>
      <c r="I150" s="68">
        <v>44552.88</v>
      </c>
      <c r="J150" s="68">
        <v>71.78</v>
      </c>
      <c r="K150" s="68">
        <v>36539.58</v>
      </c>
      <c r="L150" s="68">
        <v>23.79</v>
      </c>
      <c r="M150" s="68">
        <v>6.78</v>
      </c>
      <c r="N150" s="69">
        <v>120.4</v>
      </c>
      <c r="O150" s="66">
        <v>4</v>
      </c>
      <c r="P150" s="66"/>
      <c r="Q150" s="66" t="s">
        <v>258</v>
      </c>
      <c r="R150" s="61"/>
      <c r="S150" s="61"/>
    </row>
    <row r="151" spans="1:19" ht="13.8" customHeight="1" x14ac:dyDescent="0.3">
      <c r="A151" s="62" t="s">
        <v>268</v>
      </c>
      <c r="B151" s="63">
        <f>IFERROR(INDEX('Boulder Sample Log'!A$5:A$204,MATCH(A151,'Boulder Sample Log'!E$5:E$204,0)),"")</f>
        <v>46118</v>
      </c>
      <c r="C151" s="62">
        <v>168</v>
      </c>
      <c r="D151" s="62" t="s">
        <v>256</v>
      </c>
      <c r="E151" s="62">
        <v>3</v>
      </c>
      <c r="F151" s="64">
        <v>22.15</v>
      </c>
      <c r="G151" s="64">
        <v>442.31</v>
      </c>
      <c r="H151" s="64">
        <v>11</v>
      </c>
      <c r="I151" s="64">
        <v>41421.96</v>
      </c>
      <c r="J151" s="64">
        <v>33.53</v>
      </c>
      <c r="K151" s="64">
        <v>37424.28</v>
      </c>
      <c r="L151" s="64">
        <v>12.43</v>
      </c>
      <c r="M151" s="64">
        <v>8.91</v>
      </c>
      <c r="N151" s="65">
        <v>120.6</v>
      </c>
      <c r="O151" s="62">
        <v>4</v>
      </c>
      <c r="P151" s="62"/>
      <c r="Q151" s="62" t="s">
        <v>258</v>
      </c>
      <c r="R151" s="61"/>
      <c r="S151" s="61"/>
    </row>
    <row r="152" spans="1:19" ht="13.8" customHeight="1" x14ac:dyDescent="0.3">
      <c r="A152" s="66" t="s">
        <v>268</v>
      </c>
      <c r="B152" s="67">
        <f>IFERROR(INDEX('Boulder Sample Log'!A$5:A$204,MATCH(A152,'Boulder Sample Log'!E$5:E$204,0)),"")</f>
        <v>46118</v>
      </c>
      <c r="C152" s="66">
        <v>169</v>
      </c>
      <c r="D152" s="66" t="s">
        <v>256</v>
      </c>
      <c r="E152" s="66">
        <v>4</v>
      </c>
      <c r="F152" s="68">
        <v>43.01</v>
      </c>
      <c r="G152" s="68">
        <v>375.81</v>
      </c>
      <c r="H152" s="68">
        <v>6.28</v>
      </c>
      <c r="I152" s="68">
        <v>35042.28</v>
      </c>
      <c r="J152" s="66" t="s">
        <v>257</v>
      </c>
      <c r="K152" s="68">
        <v>20449.28</v>
      </c>
      <c r="L152" s="66" t="s">
        <v>257</v>
      </c>
      <c r="M152" s="66" t="s">
        <v>257</v>
      </c>
      <c r="N152" s="69">
        <v>120.4</v>
      </c>
      <c r="O152" s="66">
        <v>4</v>
      </c>
      <c r="P152" s="66"/>
      <c r="Q152" s="66" t="s">
        <v>258</v>
      </c>
      <c r="R152" s="61"/>
      <c r="S152" s="61"/>
    </row>
    <row r="153" spans="1:19" ht="13.8" customHeight="1" x14ac:dyDescent="0.3">
      <c r="A153" s="62" t="s">
        <v>268</v>
      </c>
      <c r="B153" s="63">
        <f>IFERROR(INDEX('Boulder Sample Log'!A$5:A$204,MATCH(A153,'Boulder Sample Log'!E$5:E$204,0)),"")</f>
        <v>46118</v>
      </c>
      <c r="C153" s="62">
        <v>170</v>
      </c>
      <c r="D153" s="62" t="s">
        <v>256</v>
      </c>
      <c r="E153" s="62">
        <v>4</v>
      </c>
      <c r="F153" s="64">
        <v>4.09</v>
      </c>
      <c r="G153" s="64">
        <v>423.35</v>
      </c>
      <c r="H153" s="64">
        <v>6.83</v>
      </c>
      <c r="I153" s="64">
        <v>41482.97</v>
      </c>
      <c r="J153" s="62" t="s">
        <v>257</v>
      </c>
      <c r="K153" s="64">
        <v>24444.03</v>
      </c>
      <c r="L153" s="64">
        <v>5.91</v>
      </c>
      <c r="M153" s="62" t="s">
        <v>257</v>
      </c>
      <c r="N153" s="65">
        <v>120.3</v>
      </c>
      <c r="O153" s="62">
        <v>4</v>
      </c>
      <c r="P153" s="62"/>
      <c r="Q153" s="62" t="s">
        <v>258</v>
      </c>
      <c r="R153" s="61"/>
      <c r="S153" s="61"/>
    </row>
    <row r="154" spans="1:19" ht="13.8" customHeight="1" x14ac:dyDescent="0.3">
      <c r="A154" s="66" t="s">
        <v>268</v>
      </c>
      <c r="B154" s="67">
        <f>IFERROR(INDEX('Boulder Sample Log'!A$5:A$204,MATCH(A154,'Boulder Sample Log'!E$5:E$204,0)),"")</f>
        <v>46118</v>
      </c>
      <c r="C154" s="66">
        <v>171</v>
      </c>
      <c r="D154" s="66" t="s">
        <v>256</v>
      </c>
      <c r="E154" s="66">
        <v>4</v>
      </c>
      <c r="F154" s="68">
        <v>16.21</v>
      </c>
      <c r="G154" s="68">
        <v>517.42999999999995</v>
      </c>
      <c r="H154" s="68">
        <v>8.92</v>
      </c>
      <c r="I154" s="68">
        <v>40103.43</v>
      </c>
      <c r="J154" s="66" t="s">
        <v>257</v>
      </c>
      <c r="K154" s="68">
        <v>21570.87</v>
      </c>
      <c r="L154" s="68">
        <v>11.72</v>
      </c>
      <c r="M154" s="66" t="s">
        <v>257</v>
      </c>
      <c r="N154" s="69">
        <v>120.8</v>
      </c>
      <c r="O154" s="66">
        <v>4</v>
      </c>
      <c r="P154" s="66"/>
      <c r="Q154" s="66" t="s">
        <v>258</v>
      </c>
      <c r="R154" s="61"/>
      <c r="S154" s="61"/>
    </row>
    <row r="155" spans="1:19" ht="13.8" customHeight="1" x14ac:dyDescent="0.3">
      <c r="A155" s="62" t="s">
        <v>268</v>
      </c>
      <c r="B155" s="63">
        <f>IFERROR(INDEX('Boulder Sample Log'!A$5:A$204,MATCH(A155,'Boulder Sample Log'!E$5:E$204,0)),"")</f>
        <v>46118</v>
      </c>
      <c r="C155" s="62">
        <v>172</v>
      </c>
      <c r="D155" s="62" t="s">
        <v>256</v>
      </c>
      <c r="E155" s="62">
        <v>5</v>
      </c>
      <c r="F155" s="64">
        <v>23.95</v>
      </c>
      <c r="G155" s="64">
        <v>19.18</v>
      </c>
      <c r="H155" s="64">
        <v>6.02</v>
      </c>
      <c r="I155" s="64">
        <v>59778.78</v>
      </c>
      <c r="J155" s="64">
        <v>457.41</v>
      </c>
      <c r="K155" s="64">
        <v>10818.79</v>
      </c>
      <c r="L155" s="64">
        <v>33.799999999999997</v>
      </c>
      <c r="M155" s="64">
        <v>15.99</v>
      </c>
      <c r="N155" s="65">
        <v>120</v>
      </c>
      <c r="O155" s="62">
        <v>4</v>
      </c>
      <c r="P155" s="62"/>
      <c r="Q155" s="62" t="s">
        <v>258</v>
      </c>
      <c r="R155" s="61"/>
      <c r="S155" s="61"/>
    </row>
    <row r="156" spans="1:19" ht="13.8" customHeight="1" x14ac:dyDescent="0.3">
      <c r="A156" s="66" t="s">
        <v>268</v>
      </c>
      <c r="B156" s="67">
        <f>IFERROR(INDEX('Boulder Sample Log'!A$5:A$204,MATCH(A156,'Boulder Sample Log'!E$5:E$204,0)),"")</f>
        <v>46118</v>
      </c>
      <c r="C156" s="66">
        <v>173</v>
      </c>
      <c r="D156" s="66" t="s">
        <v>256</v>
      </c>
      <c r="E156" s="66">
        <v>5</v>
      </c>
      <c r="F156" s="68">
        <v>8.51</v>
      </c>
      <c r="G156" s="68">
        <v>6.67</v>
      </c>
      <c r="H156" s="68">
        <v>9</v>
      </c>
      <c r="I156" s="68">
        <v>34973.81</v>
      </c>
      <c r="J156" s="68">
        <v>464.22</v>
      </c>
      <c r="K156" s="68">
        <v>14967.83</v>
      </c>
      <c r="L156" s="68">
        <v>31.38</v>
      </c>
      <c r="M156" s="68">
        <v>13.53</v>
      </c>
      <c r="N156" s="69">
        <v>120.4</v>
      </c>
      <c r="O156" s="66">
        <v>4</v>
      </c>
      <c r="P156" s="66"/>
      <c r="Q156" s="66" t="s">
        <v>258</v>
      </c>
      <c r="R156" s="61"/>
      <c r="S156" s="61"/>
    </row>
    <row r="157" spans="1:19" ht="13.8" customHeight="1" x14ac:dyDescent="0.3">
      <c r="A157" s="62" t="s">
        <v>268</v>
      </c>
      <c r="B157" s="63">
        <f>IFERROR(INDEX('Boulder Sample Log'!A$5:A$204,MATCH(A157,'Boulder Sample Log'!E$5:E$204,0)),"")</f>
        <v>46118</v>
      </c>
      <c r="C157" s="62">
        <v>174</v>
      </c>
      <c r="D157" s="62" t="s">
        <v>256</v>
      </c>
      <c r="E157" s="62">
        <v>5</v>
      </c>
      <c r="F157" s="64">
        <v>5.41</v>
      </c>
      <c r="G157" s="64">
        <v>6.4</v>
      </c>
      <c r="H157" s="64">
        <v>8.2899999999999991</v>
      </c>
      <c r="I157" s="64">
        <v>38627.199999999997</v>
      </c>
      <c r="J157" s="64">
        <v>477.71</v>
      </c>
      <c r="K157" s="64">
        <v>17784.16</v>
      </c>
      <c r="L157" s="64">
        <v>31.4</v>
      </c>
      <c r="M157" s="64">
        <v>10.15</v>
      </c>
      <c r="N157" s="65">
        <v>120.4</v>
      </c>
      <c r="O157" s="62">
        <v>4</v>
      </c>
      <c r="P157" s="62"/>
      <c r="Q157" s="62" t="s">
        <v>258</v>
      </c>
      <c r="R157" s="61"/>
      <c r="S157" s="61"/>
    </row>
    <row r="158" spans="1:19" ht="13.8" customHeight="1" x14ac:dyDescent="0.3">
      <c r="A158" s="66" t="s">
        <v>269</v>
      </c>
      <c r="B158" s="67">
        <f>IFERROR(INDEX('Boulder Sample Log'!A$5:A$204,MATCH(A158,'Boulder Sample Log'!E$5:E$204,0)),"")</f>
        <v>46118</v>
      </c>
      <c r="C158" s="66">
        <v>175</v>
      </c>
      <c r="D158" s="66" t="s">
        <v>256</v>
      </c>
      <c r="E158" s="66">
        <v>1</v>
      </c>
      <c r="F158" s="68">
        <v>5.73</v>
      </c>
      <c r="G158" s="66" t="s">
        <v>257</v>
      </c>
      <c r="H158" s="68">
        <v>6.4</v>
      </c>
      <c r="I158" s="68">
        <v>33879.71</v>
      </c>
      <c r="J158" s="68">
        <v>442.94</v>
      </c>
      <c r="K158" s="68">
        <v>5159.25</v>
      </c>
      <c r="L158" s="68">
        <v>42.16</v>
      </c>
      <c r="M158" s="68">
        <v>13.91</v>
      </c>
      <c r="N158" s="69">
        <v>120.3</v>
      </c>
      <c r="O158" s="66">
        <v>4</v>
      </c>
      <c r="P158" s="66"/>
      <c r="Q158" s="66" t="s">
        <v>258</v>
      </c>
      <c r="R158" s="61"/>
      <c r="S158" s="61"/>
    </row>
    <row r="159" spans="1:19" ht="13.8" customHeight="1" x14ac:dyDescent="0.3">
      <c r="A159" s="62" t="s">
        <v>269</v>
      </c>
      <c r="B159" s="63">
        <f>IFERROR(INDEX('Boulder Sample Log'!A$5:A$204,MATCH(A159,'Boulder Sample Log'!E$5:E$204,0)),"")</f>
        <v>46118</v>
      </c>
      <c r="C159" s="62">
        <v>176</v>
      </c>
      <c r="D159" s="62" t="s">
        <v>256</v>
      </c>
      <c r="E159" s="62">
        <v>1</v>
      </c>
      <c r="F159" s="64">
        <v>8.4700000000000006</v>
      </c>
      <c r="G159" s="62" t="s">
        <v>257</v>
      </c>
      <c r="H159" s="64">
        <v>7.89</v>
      </c>
      <c r="I159" s="64">
        <v>36671.39</v>
      </c>
      <c r="J159" s="64">
        <v>690.66</v>
      </c>
      <c r="K159" s="64">
        <v>8385.2800000000007</v>
      </c>
      <c r="L159" s="64">
        <v>44.2</v>
      </c>
      <c r="M159" s="64">
        <v>13.78</v>
      </c>
      <c r="N159" s="65">
        <v>120.3</v>
      </c>
      <c r="O159" s="62">
        <v>4</v>
      </c>
      <c r="P159" s="62"/>
      <c r="Q159" s="62" t="s">
        <v>258</v>
      </c>
      <c r="R159" s="61"/>
      <c r="S159" s="61"/>
    </row>
    <row r="160" spans="1:19" ht="13.8" customHeight="1" x14ac:dyDescent="0.3">
      <c r="A160" s="66" t="s">
        <v>269</v>
      </c>
      <c r="B160" s="67">
        <f>IFERROR(INDEX('Boulder Sample Log'!A$5:A$204,MATCH(A160,'Boulder Sample Log'!E$5:E$204,0)),"")</f>
        <v>46118</v>
      </c>
      <c r="C160" s="66">
        <v>177</v>
      </c>
      <c r="D160" s="66" t="s">
        <v>256</v>
      </c>
      <c r="E160" s="66">
        <v>1</v>
      </c>
      <c r="F160" s="68">
        <v>6.27</v>
      </c>
      <c r="G160" s="66" t="s">
        <v>257</v>
      </c>
      <c r="H160" s="68">
        <v>12.4</v>
      </c>
      <c r="I160" s="68">
        <v>42875.16</v>
      </c>
      <c r="J160" s="68">
        <v>660.84</v>
      </c>
      <c r="K160" s="68">
        <v>5063.3599999999997</v>
      </c>
      <c r="L160" s="68">
        <v>63.46</v>
      </c>
      <c r="M160" s="68">
        <v>13.81</v>
      </c>
      <c r="N160" s="69">
        <v>120.5</v>
      </c>
      <c r="O160" s="66">
        <v>4</v>
      </c>
      <c r="P160" s="66"/>
      <c r="Q160" s="66" t="s">
        <v>258</v>
      </c>
      <c r="R160" s="61"/>
      <c r="S160" s="61"/>
    </row>
    <row r="161" spans="1:19" ht="13.8" customHeight="1" x14ac:dyDescent="0.3">
      <c r="A161" s="62" t="s">
        <v>269</v>
      </c>
      <c r="B161" s="63">
        <f>IFERROR(INDEX('Boulder Sample Log'!A$5:A$204,MATCH(A161,'Boulder Sample Log'!E$5:E$204,0)),"")</f>
        <v>46118</v>
      </c>
      <c r="C161" s="62">
        <v>178</v>
      </c>
      <c r="D161" s="62" t="s">
        <v>256</v>
      </c>
      <c r="E161" s="62">
        <v>2</v>
      </c>
      <c r="F161" s="64">
        <v>7.69</v>
      </c>
      <c r="G161" s="62" t="s">
        <v>257</v>
      </c>
      <c r="H161" s="64">
        <v>8.1</v>
      </c>
      <c r="I161" s="64">
        <v>36024</v>
      </c>
      <c r="J161" s="64">
        <v>538.89</v>
      </c>
      <c r="K161" s="64">
        <v>14329.67</v>
      </c>
      <c r="L161" s="64">
        <v>47.62</v>
      </c>
      <c r="M161" s="64">
        <v>6.1</v>
      </c>
      <c r="N161" s="65">
        <v>120.7</v>
      </c>
      <c r="O161" s="62">
        <v>4</v>
      </c>
      <c r="P161" s="62"/>
      <c r="Q161" s="62" t="s">
        <v>258</v>
      </c>
      <c r="R161" s="61"/>
      <c r="S161" s="61"/>
    </row>
    <row r="162" spans="1:19" ht="13.8" customHeight="1" x14ac:dyDescent="0.3">
      <c r="A162" s="66" t="s">
        <v>269</v>
      </c>
      <c r="B162" s="67">
        <f>IFERROR(INDEX('Boulder Sample Log'!A$5:A$204,MATCH(A162,'Boulder Sample Log'!E$5:E$204,0)),"")</f>
        <v>46118</v>
      </c>
      <c r="C162" s="66">
        <v>179</v>
      </c>
      <c r="D162" s="66" t="s">
        <v>256</v>
      </c>
      <c r="E162" s="66">
        <v>2</v>
      </c>
      <c r="F162" s="68">
        <v>4.49</v>
      </c>
      <c r="G162" s="66" t="s">
        <v>257</v>
      </c>
      <c r="H162" s="68">
        <v>17.68</v>
      </c>
      <c r="I162" s="68">
        <v>40446.78</v>
      </c>
      <c r="J162" s="68">
        <v>635.55999999999995</v>
      </c>
      <c r="K162" s="68">
        <v>5048.8100000000004</v>
      </c>
      <c r="L162" s="68">
        <v>65.33</v>
      </c>
      <c r="M162" s="68">
        <v>9.81</v>
      </c>
      <c r="N162" s="69">
        <v>120.5</v>
      </c>
      <c r="O162" s="66">
        <v>4</v>
      </c>
      <c r="P162" s="66"/>
      <c r="Q162" s="66" t="s">
        <v>258</v>
      </c>
      <c r="R162" s="61"/>
      <c r="S162" s="61"/>
    </row>
    <row r="163" spans="1:19" ht="13.8" customHeight="1" x14ac:dyDescent="0.3">
      <c r="A163" s="62" t="s">
        <v>269</v>
      </c>
      <c r="B163" s="63">
        <f>IFERROR(INDEX('Boulder Sample Log'!A$5:A$204,MATCH(A163,'Boulder Sample Log'!E$5:E$204,0)),"")</f>
        <v>46118</v>
      </c>
      <c r="C163" s="62">
        <v>180</v>
      </c>
      <c r="D163" s="62" t="s">
        <v>256</v>
      </c>
      <c r="E163" s="62">
        <v>2</v>
      </c>
      <c r="F163" s="64">
        <v>12.04</v>
      </c>
      <c r="G163" s="62" t="s">
        <v>257</v>
      </c>
      <c r="H163" s="64">
        <v>22.31</v>
      </c>
      <c r="I163" s="64">
        <v>44727.14</v>
      </c>
      <c r="J163" s="64">
        <v>849.79</v>
      </c>
      <c r="K163" s="64">
        <v>10065.620000000001</v>
      </c>
      <c r="L163" s="64">
        <v>58.52</v>
      </c>
      <c r="M163" s="64">
        <v>13.15</v>
      </c>
      <c r="N163" s="65">
        <v>120.7</v>
      </c>
      <c r="O163" s="62">
        <v>4</v>
      </c>
      <c r="P163" s="62"/>
      <c r="Q163" s="62" t="s">
        <v>258</v>
      </c>
      <c r="R163" s="61"/>
      <c r="S163" s="61"/>
    </row>
    <row r="164" spans="1:19" ht="13.8" customHeight="1" x14ac:dyDescent="0.3">
      <c r="A164" s="66" t="s">
        <v>269</v>
      </c>
      <c r="B164" s="67">
        <f>IFERROR(INDEX('Boulder Sample Log'!A$5:A$204,MATCH(A164,'Boulder Sample Log'!E$5:E$204,0)),"")</f>
        <v>46118</v>
      </c>
      <c r="C164" s="66">
        <v>181</v>
      </c>
      <c r="D164" s="66" t="s">
        <v>256</v>
      </c>
      <c r="E164" s="66">
        <v>3</v>
      </c>
      <c r="F164" s="66" t="s">
        <v>257</v>
      </c>
      <c r="G164" s="66" t="s">
        <v>257</v>
      </c>
      <c r="H164" s="68">
        <v>7.11</v>
      </c>
      <c r="I164" s="68">
        <v>42686.720000000001</v>
      </c>
      <c r="J164" s="68">
        <v>631.48</v>
      </c>
      <c r="K164" s="68">
        <v>800.27</v>
      </c>
      <c r="L164" s="68">
        <v>53.12</v>
      </c>
      <c r="M164" s="68">
        <v>13.68</v>
      </c>
      <c r="N164" s="69">
        <v>120.6</v>
      </c>
      <c r="O164" s="66">
        <v>4</v>
      </c>
      <c r="P164" s="66"/>
      <c r="Q164" s="66" t="s">
        <v>258</v>
      </c>
      <c r="R164" s="61"/>
      <c r="S164" s="61"/>
    </row>
    <row r="165" spans="1:19" ht="13.8" customHeight="1" x14ac:dyDescent="0.3">
      <c r="A165" s="62" t="s">
        <v>269</v>
      </c>
      <c r="B165" s="63">
        <f>IFERROR(INDEX('Boulder Sample Log'!A$5:A$204,MATCH(A165,'Boulder Sample Log'!E$5:E$204,0)),"")</f>
        <v>46118</v>
      </c>
      <c r="C165" s="62">
        <v>182</v>
      </c>
      <c r="D165" s="62" t="s">
        <v>256</v>
      </c>
      <c r="E165" s="62">
        <v>3</v>
      </c>
      <c r="F165" s="64">
        <v>3.1</v>
      </c>
      <c r="G165" s="62" t="s">
        <v>257</v>
      </c>
      <c r="H165" s="64">
        <v>7.99</v>
      </c>
      <c r="I165" s="64">
        <v>41390.870000000003</v>
      </c>
      <c r="J165" s="64">
        <v>592.53</v>
      </c>
      <c r="K165" s="64">
        <v>814.5</v>
      </c>
      <c r="L165" s="64">
        <v>47.17</v>
      </c>
      <c r="M165" s="64">
        <v>14.97</v>
      </c>
      <c r="N165" s="65">
        <v>120.5</v>
      </c>
      <c r="O165" s="62">
        <v>4</v>
      </c>
      <c r="P165" s="62"/>
      <c r="Q165" s="62" t="s">
        <v>258</v>
      </c>
      <c r="R165" s="61"/>
      <c r="S165" s="61"/>
    </row>
    <row r="166" spans="1:19" ht="13.8" customHeight="1" x14ac:dyDescent="0.3">
      <c r="A166" s="66" t="s">
        <v>269</v>
      </c>
      <c r="B166" s="67">
        <f>IFERROR(INDEX('Boulder Sample Log'!A$5:A$204,MATCH(A166,'Boulder Sample Log'!E$5:E$204,0)),"")</f>
        <v>46118</v>
      </c>
      <c r="C166" s="66">
        <v>183</v>
      </c>
      <c r="D166" s="66" t="s">
        <v>256</v>
      </c>
      <c r="E166" s="66">
        <v>3</v>
      </c>
      <c r="F166" s="68">
        <v>4.1900000000000004</v>
      </c>
      <c r="G166" s="66" t="s">
        <v>257</v>
      </c>
      <c r="H166" s="68">
        <v>8.5399999999999991</v>
      </c>
      <c r="I166" s="68">
        <v>43922.85</v>
      </c>
      <c r="J166" s="68">
        <v>595.54</v>
      </c>
      <c r="K166" s="68">
        <v>1236.02</v>
      </c>
      <c r="L166" s="68">
        <v>59.24</v>
      </c>
      <c r="M166" s="68">
        <v>14.81</v>
      </c>
      <c r="N166" s="69">
        <v>120.4</v>
      </c>
      <c r="O166" s="66">
        <v>4</v>
      </c>
      <c r="P166" s="66"/>
      <c r="Q166" s="66" t="s">
        <v>258</v>
      </c>
      <c r="R166" s="61"/>
      <c r="S166" s="61"/>
    </row>
    <row r="167" spans="1:19" ht="13.8" customHeight="1" x14ac:dyDescent="0.3">
      <c r="A167" s="62" t="s">
        <v>269</v>
      </c>
      <c r="B167" s="63">
        <f>IFERROR(INDEX('Boulder Sample Log'!A$5:A$204,MATCH(A167,'Boulder Sample Log'!E$5:E$204,0)),"")</f>
        <v>46118</v>
      </c>
      <c r="C167" s="62">
        <v>184</v>
      </c>
      <c r="D167" s="62" t="s">
        <v>256</v>
      </c>
      <c r="E167" s="62">
        <v>4</v>
      </c>
      <c r="F167" s="64">
        <v>7.54</v>
      </c>
      <c r="G167" s="62" t="s">
        <v>257</v>
      </c>
      <c r="H167" s="64">
        <v>7.94</v>
      </c>
      <c r="I167" s="64">
        <v>35527.480000000003</v>
      </c>
      <c r="J167" s="64">
        <v>465.22</v>
      </c>
      <c r="K167" s="64">
        <v>13587.69</v>
      </c>
      <c r="L167" s="64">
        <v>36.369999999999997</v>
      </c>
      <c r="M167" s="64">
        <v>8.4</v>
      </c>
      <c r="N167" s="65">
        <v>120.3</v>
      </c>
      <c r="O167" s="62">
        <v>4</v>
      </c>
      <c r="P167" s="62"/>
      <c r="Q167" s="62" t="s">
        <v>258</v>
      </c>
      <c r="R167" s="61"/>
      <c r="S167" s="61"/>
    </row>
    <row r="168" spans="1:19" ht="13.8" customHeight="1" x14ac:dyDescent="0.3">
      <c r="A168" s="66" t="s">
        <v>269</v>
      </c>
      <c r="B168" s="67">
        <f>IFERROR(INDEX('Boulder Sample Log'!A$5:A$204,MATCH(A168,'Boulder Sample Log'!E$5:E$204,0)),"")</f>
        <v>46118</v>
      </c>
      <c r="C168" s="66">
        <v>185</v>
      </c>
      <c r="D168" s="66" t="s">
        <v>256</v>
      </c>
      <c r="E168" s="66">
        <v>4</v>
      </c>
      <c r="F168" s="68">
        <v>5.55</v>
      </c>
      <c r="G168" s="66" t="s">
        <v>257</v>
      </c>
      <c r="H168" s="68">
        <v>6.42</v>
      </c>
      <c r="I168" s="68">
        <v>33680.71</v>
      </c>
      <c r="J168" s="68">
        <v>450</v>
      </c>
      <c r="K168" s="68">
        <v>11557.74</v>
      </c>
      <c r="L168" s="68">
        <v>39.409999999999997</v>
      </c>
      <c r="M168" s="66" t="s">
        <v>257</v>
      </c>
      <c r="N168" s="69">
        <v>120.5</v>
      </c>
      <c r="O168" s="66">
        <v>4</v>
      </c>
      <c r="P168" s="66"/>
      <c r="Q168" s="66" t="s">
        <v>258</v>
      </c>
      <c r="R168" s="61"/>
      <c r="S168" s="61"/>
    </row>
    <row r="169" spans="1:19" ht="13.8" customHeight="1" x14ac:dyDescent="0.3">
      <c r="A169" s="62" t="s">
        <v>269</v>
      </c>
      <c r="B169" s="63">
        <f>IFERROR(INDEX('Boulder Sample Log'!A$5:A$204,MATCH(A169,'Boulder Sample Log'!E$5:E$204,0)),"")</f>
        <v>46118</v>
      </c>
      <c r="C169" s="62">
        <v>186</v>
      </c>
      <c r="D169" s="62" t="s">
        <v>256</v>
      </c>
      <c r="E169" s="62">
        <v>4</v>
      </c>
      <c r="F169" s="64">
        <v>7.53</v>
      </c>
      <c r="G169" s="62" t="s">
        <v>257</v>
      </c>
      <c r="H169" s="64">
        <v>7.39</v>
      </c>
      <c r="I169" s="64">
        <v>34301.64</v>
      </c>
      <c r="J169" s="64">
        <v>595.11</v>
      </c>
      <c r="K169" s="64">
        <v>11040.63</v>
      </c>
      <c r="L169" s="64">
        <v>36.770000000000003</v>
      </c>
      <c r="M169" s="64">
        <v>7.74</v>
      </c>
      <c r="N169" s="65">
        <v>120.8</v>
      </c>
      <c r="O169" s="62">
        <v>4</v>
      </c>
      <c r="P169" s="62"/>
      <c r="Q169" s="62" t="s">
        <v>258</v>
      </c>
      <c r="R169" s="61"/>
      <c r="S169" s="61"/>
    </row>
    <row r="170" spans="1:19" ht="13.8" customHeight="1" x14ac:dyDescent="0.3">
      <c r="A170" s="66" t="s">
        <v>269</v>
      </c>
      <c r="B170" s="67">
        <f>IFERROR(INDEX('Boulder Sample Log'!A$5:A$204,MATCH(A170,'Boulder Sample Log'!E$5:E$204,0)),"")</f>
        <v>46118</v>
      </c>
      <c r="C170" s="66">
        <v>187</v>
      </c>
      <c r="D170" s="66" t="s">
        <v>256</v>
      </c>
      <c r="E170" s="66">
        <v>5</v>
      </c>
      <c r="F170" s="68">
        <v>6.32</v>
      </c>
      <c r="G170" s="66" t="s">
        <v>257</v>
      </c>
      <c r="H170" s="68">
        <v>7.34</v>
      </c>
      <c r="I170" s="68">
        <v>38623.199999999997</v>
      </c>
      <c r="J170" s="68">
        <v>603.13</v>
      </c>
      <c r="K170" s="68">
        <v>11430.06</v>
      </c>
      <c r="L170" s="68">
        <v>45.87</v>
      </c>
      <c r="M170" s="68">
        <v>9.83</v>
      </c>
      <c r="N170" s="69">
        <v>120</v>
      </c>
      <c r="O170" s="66">
        <v>4</v>
      </c>
      <c r="P170" s="66"/>
      <c r="Q170" s="66" t="s">
        <v>258</v>
      </c>
      <c r="R170" s="61"/>
      <c r="S170" s="61"/>
    </row>
    <row r="171" spans="1:19" ht="13.8" customHeight="1" x14ac:dyDescent="0.3">
      <c r="A171" s="62" t="s">
        <v>269</v>
      </c>
      <c r="B171" s="63">
        <f>IFERROR(INDEX('Boulder Sample Log'!A$5:A$204,MATCH(A171,'Boulder Sample Log'!E$5:E$204,0)),"")</f>
        <v>46118</v>
      </c>
      <c r="C171" s="62">
        <v>188</v>
      </c>
      <c r="D171" s="62" t="s">
        <v>256</v>
      </c>
      <c r="E171" s="62">
        <v>5</v>
      </c>
      <c r="F171" s="64">
        <v>7.44</v>
      </c>
      <c r="G171" s="62" t="s">
        <v>257</v>
      </c>
      <c r="H171" s="64">
        <v>5.44</v>
      </c>
      <c r="I171" s="64">
        <v>39900.61</v>
      </c>
      <c r="J171" s="64">
        <v>674.86</v>
      </c>
      <c r="K171" s="64">
        <v>3568.75</v>
      </c>
      <c r="L171" s="64">
        <v>53.07</v>
      </c>
      <c r="M171" s="62" t="s">
        <v>257</v>
      </c>
      <c r="N171" s="65">
        <v>120.4</v>
      </c>
      <c r="O171" s="62">
        <v>4</v>
      </c>
      <c r="P171" s="62"/>
      <c r="Q171" s="62" t="s">
        <v>258</v>
      </c>
      <c r="R171" s="61"/>
      <c r="S171" s="61"/>
    </row>
    <row r="172" spans="1:19" ht="13.8" customHeight="1" x14ac:dyDescent="0.3">
      <c r="A172" s="66" t="s">
        <v>269</v>
      </c>
      <c r="B172" s="67">
        <f>IFERROR(INDEX('Boulder Sample Log'!A$5:A$204,MATCH(A172,'Boulder Sample Log'!E$5:E$204,0)),"")</f>
        <v>46118</v>
      </c>
      <c r="C172" s="66">
        <v>189</v>
      </c>
      <c r="D172" s="66" t="s">
        <v>256</v>
      </c>
      <c r="E172" s="66">
        <v>5</v>
      </c>
      <c r="F172" s="68">
        <v>2.62</v>
      </c>
      <c r="G172" s="66" t="s">
        <v>257</v>
      </c>
      <c r="H172" s="68">
        <v>5.0999999999999996</v>
      </c>
      <c r="I172" s="68">
        <v>36390.589999999997</v>
      </c>
      <c r="J172" s="68">
        <v>660.93</v>
      </c>
      <c r="K172" s="68">
        <v>3511.11</v>
      </c>
      <c r="L172" s="68">
        <v>56.71</v>
      </c>
      <c r="M172" s="68">
        <v>9.4</v>
      </c>
      <c r="N172" s="69">
        <v>120.3</v>
      </c>
      <c r="O172" s="66">
        <v>4</v>
      </c>
      <c r="P172" s="66"/>
      <c r="Q172" s="66" t="s">
        <v>258</v>
      </c>
      <c r="R172" s="61"/>
      <c r="S172" s="61"/>
    </row>
    <row r="173" spans="1:19" ht="13.8" customHeight="1" x14ac:dyDescent="0.3">
      <c r="A173" s="62" t="s">
        <v>270</v>
      </c>
      <c r="B173" s="63">
        <f>IFERROR(INDEX('Boulder Sample Log'!A$5:A$204,MATCH(A173,'Boulder Sample Log'!E$5:E$204,0)),"")</f>
        <v>46118</v>
      </c>
      <c r="C173" s="62">
        <v>190</v>
      </c>
      <c r="D173" s="62" t="s">
        <v>256</v>
      </c>
      <c r="E173" s="62">
        <v>1</v>
      </c>
      <c r="F173" s="64">
        <v>10.01</v>
      </c>
      <c r="G173" s="64">
        <v>1.47</v>
      </c>
      <c r="H173" s="64">
        <v>10.210000000000001</v>
      </c>
      <c r="I173" s="64">
        <v>32571.39</v>
      </c>
      <c r="J173" s="64">
        <v>494.33</v>
      </c>
      <c r="K173" s="64">
        <v>3870.6</v>
      </c>
      <c r="L173" s="64">
        <v>29.75</v>
      </c>
      <c r="M173" s="64">
        <v>8.2799999999999994</v>
      </c>
      <c r="N173" s="65">
        <v>120.7</v>
      </c>
      <c r="O173" s="62">
        <v>4</v>
      </c>
      <c r="P173" s="62"/>
      <c r="Q173" s="62" t="s">
        <v>258</v>
      </c>
      <c r="R173" s="61"/>
      <c r="S173" s="61"/>
    </row>
    <row r="174" spans="1:19" ht="13.8" customHeight="1" x14ac:dyDescent="0.3">
      <c r="A174" s="66" t="s">
        <v>270</v>
      </c>
      <c r="B174" s="67">
        <f>IFERROR(INDEX('Boulder Sample Log'!A$5:A$204,MATCH(A174,'Boulder Sample Log'!E$5:E$204,0)),"")</f>
        <v>46118</v>
      </c>
      <c r="C174" s="66">
        <v>191</v>
      </c>
      <c r="D174" s="66" t="s">
        <v>256</v>
      </c>
      <c r="E174" s="66">
        <v>1</v>
      </c>
      <c r="F174" s="68">
        <v>29.93</v>
      </c>
      <c r="G174" s="68">
        <v>17.670000000000002</v>
      </c>
      <c r="H174" s="68">
        <v>19.46</v>
      </c>
      <c r="I174" s="68">
        <v>49028.98</v>
      </c>
      <c r="J174" s="68">
        <v>385.23</v>
      </c>
      <c r="K174" s="68">
        <v>8881.73</v>
      </c>
      <c r="L174" s="68">
        <v>27.92</v>
      </c>
      <c r="M174" s="68">
        <v>16.59</v>
      </c>
      <c r="N174" s="69">
        <v>120.3</v>
      </c>
      <c r="O174" s="66">
        <v>4</v>
      </c>
      <c r="P174" s="66"/>
      <c r="Q174" s="66" t="s">
        <v>258</v>
      </c>
      <c r="R174" s="61"/>
      <c r="S174" s="61"/>
    </row>
    <row r="175" spans="1:19" ht="13.8" customHeight="1" x14ac:dyDescent="0.3">
      <c r="A175" s="62" t="s">
        <v>270</v>
      </c>
      <c r="B175" s="63">
        <f>IFERROR(INDEX('Boulder Sample Log'!A$5:A$204,MATCH(A175,'Boulder Sample Log'!E$5:E$204,0)),"")</f>
        <v>46118</v>
      </c>
      <c r="C175" s="62">
        <v>193</v>
      </c>
      <c r="D175" s="62" t="s">
        <v>256</v>
      </c>
      <c r="E175" s="62">
        <v>2</v>
      </c>
      <c r="F175" s="64">
        <v>12.06</v>
      </c>
      <c r="G175" s="64">
        <v>4.34</v>
      </c>
      <c r="H175" s="64">
        <v>9.42</v>
      </c>
      <c r="I175" s="64">
        <v>40961.440000000002</v>
      </c>
      <c r="J175" s="64">
        <v>499.32</v>
      </c>
      <c r="K175" s="64">
        <v>6054.32</v>
      </c>
      <c r="L175" s="64">
        <v>28.47</v>
      </c>
      <c r="M175" s="64">
        <v>11.42</v>
      </c>
      <c r="N175" s="65">
        <v>120.2</v>
      </c>
      <c r="O175" s="62">
        <v>4</v>
      </c>
      <c r="P175" s="62"/>
      <c r="Q175" s="62" t="s">
        <v>258</v>
      </c>
      <c r="R175" s="61"/>
      <c r="S175" s="61"/>
    </row>
    <row r="176" spans="1:19" ht="13.8" customHeight="1" x14ac:dyDescent="0.3">
      <c r="A176" s="66" t="s">
        <v>270</v>
      </c>
      <c r="B176" s="67">
        <f>IFERROR(INDEX('Boulder Sample Log'!A$5:A$204,MATCH(A176,'Boulder Sample Log'!E$5:E$204,0)),"")</f>
        <v>46118</v>
      </c>
      <c r="C176" s="66">
        <v>194</v>
      </c>
      <c r="D176" s="66" t="s">
        <v>256</v>
      </c>
      <c r="E176" s="66">
        <v>2</v>
      </c>
      <c r="F176" s="68">
        <v>12.07</v>
      </c>
      <c r="G176" s="68">
        <v>1.47</v>
      </c>
      <c r="H176" s="68">
        <v>7.88</v>
      </c>
      <c r="I176" s="68">
        <v>33609.730000000003</v>
      </c>
      <c r="J176" s="68">
        <v>526.44000000000005</v>
      </c>
      <c r="K176" s="68">
        <v>1806.67</v>
      </c>
      <c r="L176" s="68">
        <v>32.770000000000003</v>
      </c>
      <c r="M176" s="68">
        <v>4.68</v>
      </c>
      <c r="N176" s="69">
        <v>120.5</v>
      </c>
      <c r="O176" s="66">
        <v>4</v>
      </c>
      <c r="P176" s="66"/>
      <c r="Q176" s="66" t="s">
        <v>258</v>
      </c>
      <c r="R176" s="61"/>
      <c r="S176" s="61"/>
    </row>
    <row r="177" spans="1:19" ht="13.8" customHeight="1" x14ac:dyDescent="0.3">
      <c r="A177" s="62" t="s">
        <v>270</v>
      </c>
      <c r="B177" s="63">
        <f>IFERROR(INDEX('Boulder Sample Log'!A$5:A$204,MATCH(A177,'Boulder Sample Log'!E$5:E$204,0)),"")</f>
        <v>46118</v>
      </c>
      <c r="C177" s="62">
        <v>195</v>
      </c>
      <c r="D177" s="62" t="s">
        <v>256</v>
      </c>
      <c r="E177" s="62">
        <v>2</v>
      </c>
      <c r="F177" s="64">
        <v>9.99</v>
      </c>
      <c r="G177" s="64">
        <v>2.06</v>
      </c>
      <c r="H177" s="64">
        <v>8.8000000000000007</v>
      </c>
      <c r="I177" s="64">
        <v>35903.75</v>
      </c>
      <c r="J177" s="64">
        <v>492.13</v>
      </c>
      <c r="K177" s="64">
        <v>1756.12</v>
      </c>
      <c r="L177" s="64">
        <v>32.75</v>
      </c>
      <c r="M177" s="64">
        <v>8.1</v>
      </c>
      <c r="N177" s="65">
        <v>120.5</v>
      </c>
      <c r="O177" s="62">
        <v>4</v>
      </c>
      <c r="P177" s="62"/>
      <c r="Q177" s="62" t="s">
        <v>258</v>
      </c>
      <c r="R177" s="61"/>
      <c r="S177" s="61"/>
    </row>
    <row r="178" spans="1:19" ht="13.8" customHeight="1" x14ac:dyDescent="0.3">
      <c r="A178" s="66" t="s">
        <v>270</v>
      </c>
      <c r="B178" s="67">
        <f>IFERROR(INDEX('Boulder Sample Log'!A$5:A$204,MATCH(A178,'Boulder Sample Log'!E$5:E$204,0)),"")</f>
        <v>46118</v>
      </c>
      <c r="C178" s="66">
        <v>196</v>
      </c>
      <c r="D178" s="66" t="s">
        <v>256</v>
      </c>
      <c r="E178" s="66">
        <v>3</v>
      </c>
      <c r="F178" s="68">
        <v>19.27</v>
      </c>
      <c r="G178" s="68">
        <v>4.92</v>
      </c>
      <c r="H178" s="68">
        <v>9.26</v>
      </c>
      <c r="I178" s="68">
        <v>38418.35</v>
      </c>
      <c r="J178" s="68">
        <v>474.19</v>
      </c>
      <c r="K178" s="68">
        <v>1511.59</v>
      </c>
      <c r="L178" s="68">
        <v>22.76</v>
      </c>
      <c r="M178" s="68">
        <v>10.01</v>
      </c>
      <c r="N178" s="69">
        <v>120.3</v>
      </c>
      <c r="O178" s="66">
        <v>4</v>
      </c>
      <c r="P178" s="66"/>
      <c r="Q178" s="66" t="s">
        <v>258</v>
      </c>
      <c r="R178" s="61"/>
      <c r="S178" s="61"/>
    </row>
    <row r="179" spans="1:19" ht="13.8" customHeight="1" x14ac:dyDescent="0.3">
      <c r="A179" s="62" t="s">
        <v>270</v>
      </c>
      <c r="B179" s="63">
        <f>IFERROR(INDEX('Boulder Sample Log'!A$5:A$204,MATCH(A179,'Boulder Sample Log'!E$5:E$204,0)),"")</f>
        <v>46118</v>
      </c>
      <c r="C179" s="62">
        <v>197</v>
      </c>
      <c r="D179" s="62" t="s">
        <v>256</v>
      </c>
      <c r="E179" s="62">
        <v>3</v>
      </c>
      <c r="F179" s="64">
        <v>8.8000000000000007</v>
      </c>
      <c r="G179" s="62" t="s">
        <v>257</v>
      </c>
      <c r="H179" s="64">
        <v>9.34</v>
      </c>
      <c r="I179" s="64">
        <v>32478.26</v>
      </c>
      <c r="J179" s="64">
        <v>518.73</v>
      </c>
      <c r="K179" s="64">
        <v>2627.77</v>
      </c>
      <c r="L179" s="64">
        <v>34.68</v>
      </c>
      <c r="M179" s="64">
        <v>9.5500000000000007</v>
      </c>
      <c r="N179" s="65">
        <v>120.3</v>
      </c>
      <c r="O179" s="62">
        <v>4</v>
      </c>
      <c r="P179" s="62"/>
      <c r="Q179" s="62" t="s">
        <v>258</v>
      </c>
      <c r="R179" s="61"/>
      <c r="S179" s="61"/>
    </row>
    <row r="180" spans="1:19" ht="13.8" customHeight="1" x14ac:dyDescent="0.3">
      <c r="A180" s="66" t="s">
        <v>270</v>
      </c>
      <c r="B180" s="67">
        <f>IFERROR(INDEX('Boulder Sample Log'!A$5:A$204,MATCH(A180,'Boulder Sample Log'!E$5:E$204,0)),"")</f>
        <v>46118</v>
      </c>
      <c r="C180" s="66">
        <v>198</v>
      </c>
      <c r="D180" s="66" t="s">
        <v>256</v>
      </c>
      <c r="E180" s="66">
        <v>3</v>
      </c>
      <c r="F180" s="68">
        <v>11.78</v>
      </c>
      <c r="G180" s="68">
        <v>6.76</v>
      </c>
      <c r="H180" s="68">
        <v>9.07</v>
      </c>
      <c r="I180" s="68">
        <v>41612.300000000003</v>
      </c>
      <c r="J180" s="68">
        <v>429.98</v>
      </c>
      <c r="K180" s="68">
        <v>5064.53</v>
      </c>
      <c r="L180" s="68">
        <v>27.34</v>
      </c>
      <c r="M180" s="68">
        <v>6.17</v>
      </c>
      <c r="N180" s="69">
        <v>120.5</v>
      </c>
      <c r="O180" s="66">
        <v>4</v>
      </c>
      <c r="P180" s="66"/>
      <c r="Q180" s="66" t="s">
        <v>258</v>
      </c>
      <c r="R180" s="61"/>
      <c r="S180" s="61"/>
    </row>
    <row r="181" spans="1:19" ht="13.8" customHeight="1" x14ac:dyDescent="0.3">
      <c r="A181" s="62" t="s">
        <v>270</v>
      </c>
      <c r="B181" s="63">
        <f>IFERROR(INDEX('Boulder Sample Log'!A$5:A$204,MATCH(A181,'Boulder Sample Log'!E$5:E$204,0)),"")</f>
        <v>46118</v>
      </c>
      <c r="C181" s="62">
        <v>199</v>
      </c>
      <c r="D181" s="62" t="s">
        <v>256</v>
      </c>
      <c r="E181" s="62">
        <v>4</v>
      </c>
      <c r="F181" s="64">
        <v>12.24</v>
      </c>
      <c r="G181" s="64">
        <v>4.3099999999999996</v>
      </c>
      <c r="H181" s="64">
        <v>11</v>
      </c>
      <c r="I181" s="64">
        <v>41126.03</v>
      </c>
      <c r="J181" s="64">
        <v>502.28</v>
      </c>
      <c r="K181" s="64">
        <v>7288.76</v>
      </c>
      <c r="L181" s="64">
        <v>36.49</v>
      </c>
      <c r="M181" s="64">
        <v>11.36</v>
      </c>
      <c r="N181" s="65">
        <v>120.4</v>
      </c>
      <c r="O181" s="62">
        <v>4</v>
      </c>
      <c r="P181" s="62"/>
      <c r="Q181" s="62" t="s">
        <v>258</v>
      </c>
      <c r="R181" s="61"/>
      <c r="S181" s="61"/>
    </row>
    <row r="182" spans="1:19" ht="13.8" customHeight="1" x14ac:dyDescent="0.3">
      <c r="A182" s="66" t="s">
        <v>270</v>
      </c>
      <c r="B182" s="67">
        <f>IFERROR(INDEX('Boulder Sample Log'!A$5:A$204,MATCH(A182,'Boulder Sample Log'!E$5:E$204,0)),"")</f>
        <v>46118</v>
      </c>
      <c r="C182" s="66">
        <v>200</v>
      </c>
      <c r="D182" s="66" t="s">
        <v>256</v>
      </c>
      <c r="E182" s="66">
        <v>4</v>
      </c>
      <c r="F182" s="68">
        <v>10.34</v>
      </c>
      <c r="G182" s="66" t="s">
        <v>257</v>
      </c>
      <c r="H182" s="68">
        <v>9.01</v>
      </c>
      <c r="I182" s="68">
        <v>32888.53</v>
      </c>
      <c r="J182" s="68">
        <v>488.8</v>
      </c>
      <c r="K182" s="68">
        <v>4873.05</v>
      </c>
      <c r="L182" s="68">
        <v>31.15</v>
      </c>
      <c r="M182" s="68">
        <v>9.48</v>
      </c>
      <c r="N182" s="69">
        <v>120.5</v>
      </c>
      <c r="O182" s="66">
        <v>4</v>
      </c>
      <c r="P182" s="66"/>
      <c r="Q182" s="66" t="s">
        <v>258</v>
      </c>
      <c r="R182" s="61"/>
      <c r="S182" s="61"/>
    </row>
    <row r="183" spans="1:19" ht="13.8" customHeight="1" x14ac:dyDescent="0.3">
      <c r="A183" s="62" t="s">
        <v>270</v>
      </c>
      <c r="B183" s="63">
        <f>IFERROR(INDEX('Boulder Sample Log'!A$5:A$204,MATCH(A183,'Boulder Sample Log'!E$5:E$204,0)),"")</f>
        <v>46118</v>
      </c>
      <c r="C183" s="62">
        <v>201</v>
      </c>
      <c r="D183" s="62" t="s">
        <v>256</v>
      </c>
      <c r="E183" s="62">
        <v>4</v>
      </c>
      <c r="F183" s="62" t="s">
        <v>257</v>
      </c>
      <c r="G183" s="62" t="s">
        <v>257</v>
      </c>
      <c r="H183" s="62" t="s">
        <v>257</v>
      </c>
      <c r="I183" s="62" t="s">
        <v>257</v>
      </c>
      <c r="J183" s="64">
        <v>434.08</v>
      </c>
      <c r="K183" s="64">
        <v>5405.92</v>
      </c>
      <c r="L183" s="62" t="s">
        <v>257</v>
      </c>
      <c r="M183" s="62" t="s">
        <v>257</v>
      </c>
      <c r="N183" s="65">
        <v>124.3</v>
      </c>
      <c r="O183" s="62">
        <v>4</v>
      </c>
      <c r="P183" s="62" t="s">
        <v>271</v>
      </c>
      <c r="Q183" s="62" t="s">
        <v>258</v>
      </c>
      <c r="R183" s="61"/>
      <c r="S183" s="61"/>
    </row>
    <row r="184" spans="1:19" ht="13.8" customHeight="1" x14ac:dyDescent="0.3">
      <c r="A184" s="66" t="s">
        <v>270</v>
      </c>
      <c r="B184" s="67">
        <f>IFERROR(INDEX('Boulder Sample Log'!A$5:A$204,MATCH(A184,'Boulder Sample Log'!E$5:E$204,0)),"")</f>
        <v>46118</v>
      </c>
      <c r="C184" s="66">
        <v>202</v>
      </c>
      <c r="D184" s="66" t="s">
        <v>256</v>
      </c>
      <c r="E184" s="66">
        <v>5</v>
      </c>
      <c r="F184" s="68">
        <v>5.58</v>
      </c>
      <c r="G184" s="66" t="s">
        <v>257</v>
      </c>
      <c r="H184" s="68">
        <v>10.17</v>
      </c>
      <c r="I184" s="68">
        <v>31925.43</v>
      </c>
      <c r="J184" s="68">
        <v>532.14</v>
      </c>
      <c r="K184" s="68">
        <v>2721.96</v>
      </c>
      <c r="L184" s="68">
        <v>32.96</v>
      </c>
      <c r="M184" s="68">
        <v>5.94</v>
      </c>
      <c r="N184" s="69">
        <v>120.4</v>
      </c>
      <c r="O184" s="66">
        <v>4</v>
      </c>
      <c r="P184" s="66"/>
      <c r="Q184" s="66" t="s">
        <v>258</v>
      </c>
      <c r="R184" s="61"/>
      <c r="S184" s="61"/>
    </row>
    <row r="185" spans="1:19" ht="13.8" customHeight="1" x14ac:dyDescent="0.3">
      <c r="A185" s="62" t="s">
        <v>270</v>
      </c>
      <c r="B185" s="63">
        <f>IFERROR(INDEX('Boulder Sample Log'!A$5:A$204,MATCH(A185,'Boulder Sample Log'!E$5:E$204,0)),"")</f>
        <v>46118</v>
      </c>
      <c r="C185" s="62">
        <v>203</v>
      </c>
      <c r="D185" s="62" t="s">
        <v>256</v>
      </c>
      <c r="E185" s="62">
        <v>5</v>
      </c>
      <c r="F185" s="64">
        <v>49.12</v>
      </c>
      <c r="G185" s="64">
        <v>8.84</v>
      </c>
      <c r="H185" s="64">
        <v>10.95</v>
      </c>
      <c r="I185" s="64">
        <v>44823.71</v>
      </c>
      <c r="J185" s="64">
        <v>208.19</v>
      </c>
      <c r="K185" s="64">
        <v>7759.08</v>
      </c>
      <c r="L185" s="64">
        <v>14.09</v>
      </c>
      <c r="M185" s="64">
        <v>12.43</v>
      </c>
      <c r="N185" s="65">
        <v>122.8</v>
      </c>
      <c r="O185" s="62">
        <v>4</v>
      </c>
      <c r="P185" s="62"/>
      <c r="Q185" s="62" t="s">
        <v>258</v>
      </c>
      <c r="R185" s="61"/>
      <c r="S185" s="61"/>
    </row>
    <row r="186" spans="1:19" ht="13.8" customHeight="1" x14ac:dyDescent="0.3">
      <c r="A186" s="66" t="s">
        <v>270</v>
      </c>
      <c r="B186" s="67">
        <f>IFERROR(INDEX('Boulder Sample Log'!A$5:A$204,MATCH(A186,'Boulder Sample Log'!E$5:E$204,0)),"")</f>
        <v>46118</v>
      </c>
      <c r="C186" s="66">
        <v>204</v>
      </c>
      <c r="D186" s="66" t="s">
        <v>256</v>
      </c>
      <c r="E186" s="66">
        <v>5</v>
      </c>
      <c r="F186" s="68">
        <v>3.34</v>
      </c>
      <c r="G186" s="66" t="s">
        <v>257</v>
      </c>
      <c r="H186" s="68">
        <v>8.0299999999999994</v>
      </c>
      <c r="I186" s="68">
        <v>32259.4</v>
      </c>
      <c r="J186" s="68">
        <v>541.61</v>
      </c>
      <c r="K186" s="68">
        <v>3127.09</v>
      </c>
      <c r="L186" s="68">
        <v>38.49</v>
      </c>
      <c r="M186" s="68">
        <v>7.94</v>
      </c>
      <c r="N186" s="69">
        <v>120.6</v>
      </c>
      <c r="O186" s="66">
        <v>4</v>
      </c>
      <c r="P186" s="66"/>
      <c r="Q186" s="66" t="s">
        <v>258</v>
      </c>
      <c r="R186" s="61"/>
      <c r="S186" s="61"/>
    </row>
    <row r="187" spans="1:19" ht="13.8" customHeight="1" x14ac:dyDescent="0.3">
      <c r="A187" s="62" t="s">
        <v>270</v>
      </c>
      <c r="B187" s="63">
        <f>IFERROR(INDEX('Boulder Sample Log'!A$5:A$204,MATCH(A187,'Boulder Sample Log'!E$5:E$204,0)),"")</f>
        <v>46118</v>
      </c>
      <c r="C187" s="62">
        <v>205</v>
      </c>
      <c r="D187" s="62" t="s">
        <v>256</v>
      </c>
      <c r="E187" s="62">
        <v>5</v>
      </c>
      <c r="F187" s="64">
        <v>9.5399999999999991</v>
      </c>
      <c r="G187" s="62" t="s">
        <v>257</v>
      </c>
      <c r="H187" s="64">
        <v>5.6</v>
      </c>
      <c r="I187" s="64">
        <v>48191.72</v>
      </c>
      <c r="J187" s="64">
        <v>398.58</v>
      </c>
      <c r="K187" s="64">
        <v>2150.5</v>
      </c>
      <c r="L187" s="64">
        <v>30.15</v>
      </c>
      <c r="M187" s="64">
        <v>8.76</v>
      </c>
      <c r="N187" s="65">
        <v>120.7</v>
      </c>
      <c r="O187" s="62">
        <v>4</v>
      </c>
      <c r="P187" s="62" t="s">
        <v>272</v>
      </c>
      <c r="Q187" s="62" t="s">
        <v>258</v>
      </c>
    </row>
    <row r="188" spans="1:19" ht="13.8" customHeight="1" x14ac:dyDescent="0.3">
      <c r="A188" s="66" t="s">
        <v>273</v>
      </c>
      <c r="B188" s="67">
        <f>IFERROR(INDEX('Boulder Sample Log'!A$5:A$204,MATCH(A188,'Boulder Sample Log'!E$5:E$204,0)),"")</f>
        <v>46119</v>
      </c>
      <c r="C188" s="66">
        <v>219</v>
      </c>
      <c r="D188" s="66" t="s">
        <v>256</v>
      </c>
      <c r="E188" s="66">
        <v>1</v>
      </c>
      <c r="F188" s="68" t="s">
        <v>257</v>
      </c>
      <c r="G188" s="66">
        <v>8.75</v>
      </c>
      <c r="H188" s="68" t="s">
        <v>257</v>
      </c>
      <c r="I188" s="68">
        <v>394.29</v>
      </c>
      <c r="J188" s="68" t="s">
        <v>257</v>
      </c>
      <c r="K188" s="68">
        <v>517.21</v>
      </c>
      <c r="L188" s="68" t="s">
        <v>257</v>
      </c>
      <c r="M188" s="68" t="s">
        <v>257</v>
      </c>
      <c r="N188" s="69">
        <v>120.33</v>
      </c>
      <c r="O188" s="66">
        <v>4</v>
      </c>
      <c r="P188" s="66"/>
      <c r="Q188" s="66" t="s">
        <v>258</v>
      </c>
      <c r="R188" s="61"/>
      <c r="S188" s="61"/>
    </row>
    <row r="189" spans="1:19" ht="13.8" customHeight="1" x14ac:dyDescent="0.3">
      <c r="A189" s="62" t="s">
        <v>273</v>
      </c>
      <c r="B189" s="63">
        <f>IFERROR(INDEX('Boulder Sample Log'!A$5:A$204,MATCH(A189,'Boulder Sample Log'!E$5:E$204,0)),"")</f>
        <v>46119</v>
      </c>
      <c r="C189" s="62">
        <v>220</v>
      </c>
      <c r="D189" s="62" t="s">
        <v>256</v>
      </c>
      <c r="E189" s="62">
        <v>1</v>
      </c>
      <c r="F189" s="64" t="s">
        <v>257</v>
      </c>
      <c r="G189" s="62">
        <v>9.92</v>
      </c>
      <c r="H189" s="64" t="s">
        <v>257</v>
      </c>
      <c r="I189" s="64">
        <v>342.99</v>
      </c>
      <c r="J189" s="64" t="s">
        <v>257</v>
      </c>
      <c r="K189" s="64">
        <v>495.38</v>
      </c>
      <c r="L189" s="64" t="s">
        <v>257</v>
      </c>
      <c r="M189" s="64" t="s">
        <v>257</v>
      </c>
      <c r="N189" s="65">
        <v>120.34</v>
      </c>
      <c r="O189" s="62">
        <v>4</v>
      </c>
      <c r="P189" s="62"/>
      <c r="Q189" s="62" t="s">
        <v>258</v>
      </c>
      <c r="R189" s="61"/>
      <c r="S189" s="61"/>
    </row>
    <row r="190" spans="1:19" ht="13.8" customHeight="1" x14ac:dyDescent="0.3">
      <c r="A190" s="66" t="s">
        <v>273</v>
      </c>
      <c r="B190" s="67">
        <f>IFERROR(INDEX('Boulder Sample Log'!A$5:A$204,MATCH(A190,'Boulder Sample Log'!E$5:E$204,0)),"")</f>
        <v>46119</v>
      </c>
      <c r="C190" s="66">
        <v>221</v>
      </c>
      <c r="D190" s="66" t="s">
        <v>256</v>
      </c>
      <c r="E190" s="66">
        <v>1</v>
      </c>
      <c r="F190" s="68" t="s">
        <v>257</v>
      </c>
      <c r="G190" s="66">
        <v>9.44</v>
      </c>
      <c r="H190" s="68" t="s">
        <v>257</v>
      </c>
      <c r="I190" s="68">
        <v>611.62</v>
      </c>
      <c r="J190" s="68" t="s">
        <v>257</v>
      </c>
      <c r="K190" s="68">
        <v>415.16</v>
      </c>
      <c r="L190" s="68" t="s">
        <v>257</v>
      </c>
      <c r="M190" s="68" t="s">
        <v>257</v>
      </c>
      <c r="N190" s="69">
        <v>120.31</v>
      </c>
      <c r="O190" s="66">
        <v>4</v>
      </c>
      <c r="P190" s="66"/>
      <c r="Q190" s="66" t="s">
        <v>258</v>
      </c>
      <c r="R190" s="61"/>
      <c r="S190" s="61"/>
    </row>
    <row r="191" spans="1:19" ht="13.8" customHeight="1" x14ac:dyDescent="0.3">
      <c r="A191" s="62" t="s">
        <v>273</v>
      </c>
      <c r="B191" s="63">
        <f>IFERROR(INDEX('Boulder Sample Log'!A$5:A$204,MATCH(A191,'Boulder Sample Log'!E$5:E$204,0)),"")</f>
        <v>46119</v>
      </c>
      <c r="C191" s="62">
        <v>222</v>
      </c>
      <c r="D191" s="62" t="s">
        <v>256</v>
      </c>
      <c r="E191" s="62">
        <v>2</v>
      </c>
      <c r="F191" s="64" t="s">
        <v>257</v>
      </c>
      <c r="G191" s="62">
        <v>6.55</v>
      </c>
      <c r="H191" s="64" t="s">
        <v>257</v>
      </c>
      <c r="I191" s="64">
        <v>329.91</v>
      </c>
      <c r="J191" s="64" t="s">
        <v>257</v>
      </c>
      <c r="K191" s="64">
        <v>518.41</v>
      </c>
      <c r="L191" s="64" t="s">
        <v>257</v>
      </c>
      <c r="M191" s="64" t="s">
        <v>257</v>
      </c>
      <c r="N191" s="65">
        <v>120.52</v>
      </c>
      <c r="O191" s="62">
        <v>4</v>
      </c>
      <c r="P191" s="62"/>
      <c r="Q191" s="62" t="s">
        <v>258</v>
      </c>
      <c r="R191" s="61"/>
      <c r="S191" s="61"/>
    </row>
    <row r="192" spans="1:19" ht="13.8" customHeight="1" x14ac:dyDescent="0.3">
      <c r="A192" s="66" t="s">
        <v>273</v>
      </c>
      <c r="B192" s="67">
        <f>IFERROR(INDEX('Boulder Sample Log'!A$5:A$204,MATCH(A192,'Boulder Sample Log'!E$5:E$204,0)),"")</f>
        <v>46119</v>
      </c>
      <c r="C192" s="66">
        <v>223</v>
      </c>
      <c r="D192" s="66" t="s">
        <v>256</v>
      </c>
      <c r="E192" s="66">
        <v>2</v>
      </c>
      <c r="F192" s="68" t="s">
        <v>257</v>
      </c>
      <c r="G192" s="66">
        <v>6.82</v>
      </c>
      <c r="H192" s="68" t="s">
        <v>257</v>
      </c>
      <c r="I192" s="68">
        <v>268.39</v>
      </c>
      <c r="J192" s="68" t="s">
        <v>257</v>
      </c>
      <c r="K192" s="68">
        <v>773.73</v>
      </c>
      <c r="L192" s="68" t="s">
        <v>257</v>
      </c>
      <c r="M192" s="68" t="s">
        <v>257</v>
      </c>
      <c r="N192" s="69">
        <v>120.2</v>
      </c>
      <c r="O192" s="66">
        <v>4</v>
      </c>
      <c r="P192" s="66"/>
      <c r="Q192" s="66" t="s">
        <v>258</v>
      </c>
      <c r="R192" s="61"/>
      <c r="S192" s="61"/>
    </row>
    <row r="193" spans="1:19" ht="13.8" customHeight="1" x14ac:dyDescent="0.3">
      <c r="A193" s="62" t="s">
        <v>273</v>
      </c>
      <c r="B193" s="63">
        <f>IFERROR(INDEX('Boulder Sample Log'!A$5:A$204,MATCH(A193,'Boulder Sample Log'!E$5:E$204,0)),"")</f>
        <v>46119</v>
      </c>
      <c r="C193" s="62">
        <v>224</v>
      </c>
      <c r="D193" s="62" t="s">
        <v>256</v>
      </c>
      <c r="E193" s="62">
        <v>2</v>
      </c>
      <c r="F193" s="64" t="s">
        <v>257</v>
      </c>
      <c r="G193" s="62">
        <v>5.64</v>
      </c>
      <c r="H193" s="64" t="s">
        <v>257</v>
      </c>
      <c r="I193" s="64">
        <v>1267.17</v>
      </c>
      <c r="J193" s="64" t="s">
        <v>257</v>
      </c>
      <c r="K193" s="64">
        <v>1053.06</v>
      </c>
      <c r="L193" s="64" t="s">
        <v>257</v>
      </c>
      <c r="M193" s="64" t="s">
        <v>257</v>
      </c>
      <c r="N193" s="65">
        <v>120.18</v>
      </c>
      <c r="O193" s="62">
        <v>4</v>
      </c>
      <c r="P193" s="62"/>
      <c r="Q193" s="62" t="s">
        <v>258</v>
      </c>
      <c r="R193" s="61"/>
      <c r="S193" s="61"/>
    </row>
    <row r="194" spans="1:19" ht="13.8" customHeight="1" x14ac:dyDescent="0.3">
      <c r="A194" s="66" t="s">
        <v>273</v>
      </c>
      <c r="B194" s="67">
        <f>IFERROR(INDEX('Boulder Sample Log'!A$5:A$204,MATCH(A194,'Boulder Sample Log'!E$5:E$204,0)),"")</f>
        <v>46119</v>
      </c>
      <c r="C194" s="66">
        <v>225</v>
      </c>
      <c r="D194" s="66" t="s">
        <v>256</v>
      </c>
      <c r="E194" s="66">
        <v>3</v>
      </c>
      <c r="F194" s="68" t="s">
        <v>257</v>
      </c>
      <c r="G194" s="66">
        <v>6.97</v>
      </c>
      <c r="H194" s="68" t="s">
        <v>257</v>
      </c>
      <c r="I194" s="68">
        <v>792.81</v>
      </c>
      <c r="J194" s="68" t="s">
        <v>257</v>
      </c>
      <c r="K194" s="68">
        <v>483.02</v>
      </c>
      <c r="L194" s="68" t="s">
        <v>257</v>
      </c>
      <c r="M194" s="68" t="s">
        <v>257</v>
      </c>
      <c r="N194" s="69">
        <v>120.34</v>
      </c>
      <c r="O194" s="66">
        <v>4</v>
      </c>
      <c r="P194" s="66"/>
      <c r="Q194" s="66" t="s">
        <v>258</v>
      </c>
      <c r="R194" s="61"/>
      <c r="S194" s="61"/>
    </row>
    <row r="195" spans="1:19" ht="13.8" customHeight="1" x14ac:dyDescent="0.3">
      <c r="A195" s="62" t="s">
        <v>273</v>
      </c>
      <c r="B195" s="63">
        <f>IFERROR(INDEX('Boulder Sample Log'!A$5:A$204,MATCH(A195,'Boulder Sample Log'!E$5:E$204,0)),"")</f>
        <v>46119</v>
      </c>
      <c r="C195" s="62">
        <v>226</v>
      </c>
      <c r="D195" s="62" t="s">
        <v>256</v>
      </c>
      <c r="E195" s="62">
        <v>3</v>
      </c>
      <c r="F195" s="64" t="s">
        <v>257</v>
      </c>
      <c r="G195" s="62">
        <v>7.45</v>
      </c>
      <c r="H195" s="64" t="s">
        <v>257</v>
      </c>
      <c r="I195" s="64">
        <v>454.44</v>
      </c>
      <c r="J195" s="64" t="s">
        <v>257</v>
      </c>
      <c r="K195" s="64">
        <v>429.06</v>
      </c>
      <c r="L195" s="64" t="s">
        <v>257</v>
      </c>
      <c r="M195" s="64" t="s">
        <v>257</v>
      </c>
      <c r="N195" s="65">
        <v>120.46</v>
      </c>
      <c r="O195" s="62">
        <v>4</v>
      </c>
      <c r="P195" s="62"/>
      <c r="Q195" s="62" t="s">
        <v>258</v>
      </c>
      <c r="R195" s="61"/>
      <c r="S195" s="61"/>
    </row>
    <row r="196" spans="1:19" ht="13.8" customHeight="1" x14ac:dyDescent="0.3">
      <c r="A196" s="66" t="s">
        <v>273</v>
      </c>
      <c r="B196" s="67">
        <f>IFERROR(INDEX('Boulder Sample Log'!A$5:A$204,MATCH(A196,'Boulder Sample Log'!E$5:E$204,0)),"")</f>
        <v>46119</v>
      </c>
      <c r="C196" s="66">
        <v>227</v>
      </c>
      <c r="D196" s="66" t="s">
        <v>256</v>
      </c>
      <c r="E196" s="66">
        <v>3</v>
      </c>
      <c r="F196" s="68" t="s">
        <v>257</v>
      </c>
      <c r="G196" s="66" t="s">
        <v>257</v>
      </c>
      <c r="H196" s="68" t="s">
        <v>257</v>
      </c>
      <c r="I196" s="68" t="s">
        <v>257</v>
      </c>
      <c r="J196" s="68">
        <v>1443.86</v>
      </c>
      <c r="K196" s="68">
        <v>2373.79</v>
      </c>
      <c r="L196" s="68" t="s">
        <v>257</v>
      </c>
      <c r="M196" s="68" t="s">
        <v>257</v>
      </c>
      <c r="N196" s="69">
        <v>123</v>
      </c>
      <c r="O196" s="66">
        <v>4</v>
      </c>
      <c r="P196" s="66"/>
      <c r="Q196" s="66" t="s">
        <v>258</v>
      </c>
      <c r="R196" s="61"/>
      <c r="S196" s="61"/>
    </row>
    <row r="197" spans="1:19" ht="13.8" customHeight="1" x14ac:dyDescent="0.3">
      <c r="A197" s="62" t="s">
        <v>273</v>
      </c>
      <c r="B197" s="63">
        <f>IFERROR(INDEX('Boulder Sample Log'!A$5:A$204,MATCH(A197,'Boulder Sample Log'!E$5:E$204,0)),"")</f>
        <v>46119</v>
      </c>
      <c r="C197" s="62">
        <v>228</v>
      </c>
      <c r="D197" s="62" t="s">
        <v>256</v>
      </c>
      <c r="E197" s="62">
        <v>4</v>
      </c>
      <c r="F197" s="64" t="s">
        <v>257</v>
      </c>
      <c r="G197" s="62">
        <v>12.55</v>
      </c>
      <c r="H197" s="64">
        <v>5.97</v>
      </c>
      <c r="I197" s="64">
        <v>1147.42</v>
      </c>
      <c r="J197" s="64" t="s">
        <v>257</v>
      </c>
      <c r="K197" s="64">
        <v>460.63</v>
      </c>
      <c r="L197" s="64" t="s">
        <v>257</v>
      </c>
      <c r="M197" s="64" t="s">
        <v>257</v>
      </c>
      <c r="N197" s="65">
        <v>120.25</v>
      </c>
      <c r="O197" s="62">
        <v>4</v>
      </c>
      <c r="P197" s="62"/>
      <c r="Q197" s="62" t="s">
        <v>258</v>
      </c>
      <c r="R197" s="61"/>
      <c r="S197" s="61"/>
    </row>
    <row r="198" spans="1:19" ht="13.8" customHeight="1" x14ac:dyDescent="0.3">
      <c r="A198" s="66" t="s">
        <v>273</v>
      </c>
      <c r="B198" s="67">
        <f>IFERROR(INDEX('Boulder Sample Log'!A$5:A$204,MATCH(A198,'Boulder Sample Log'!E$5:E$204,0)),"")</f>
        <v>46119</v>
      </c>
      <c r="C198" s="66">
        <v>229</v>
      </c>
      <c r="D198" s="66" t="s">
        <v>256</v>
      </c>
      <c r="E198" s="66">
        <v>4</v>
      </c>
      <c r="F198" s="68" t="s">
        <v>257</v>
      </c>
      <c r="G198" s="66">
        <v>10.35</v>
      </c>
      <c r="H198" s="68">
        <v>4.9400000000000004</v>
      </c>
      <c r="I198" s="68">
        <v>981.99</v>
      </c>
      <c r="J198" s="68" t="s">
        <v>257</v>
      </c>
      <c r="K198" s="68">
        <v>473.57</v>
      </c>
      <c r="L198" s="68" t="s">
        <v>257</v>
      </c>
      <c r="M198" s="68" t="s">
        <v>257</v>
      </c>
      <c r="N198" s="69">
        <v>120.4</v>
      </c>
      <c r="O198" s="66">
        <v>4</v>
      </c>
      <c r="P198" s="66"/>
      <c r="Q198" s="66" t="s">
        <v>258</v>
      </c>
      <c r="R198" s="61"/>
      <c r="S198" s="61"/>
    </row>
    <row r="199" spans="1:19" ht="13.8" customHeight="1" x14ac:dyDescent="0.3">
      <c r="A199" s="62" t="s">
        <v>273</v>
      </c>
      <c r="B199" s="63">
        <f>IFERROR(INDEX('Boulder Sample Log'!A$5:A$204,MATCH(A199,'Boulder Sample Log'!E$5:E$204,0)),"")</f>
        <v>46119</v>
      </c>
      <c r="C199" s="62">
        <v>230</v>
      </c>
      <c r="D199" s="62" t="s">
        <v>256</v>
      </c>
      <c r="E199" s="62">
        <v>4</v>
      </c>
      <c r="F199" s="64" t="s">
        <v>257</v>
      </c>
      <c r="G199" s="62">
        <v>10.64</v>
      </c>
      <c r="H199" s="64">
        <v>4.28</v>
      </c>
      <c r="I199" s="64">
        <v>972.38</v>
      </c>
      <c r="J199" s="64" t="s">
        <v>257</v>
      </c>
      <c r="K199" s="64">
        <v>398.45</v>
      </c>
      <c r="L199" s="64" t="s">
        <v>257</v>
      </c>
      <c r="M199" s="64" t="s">
        <v>257</v>
      </c>
      <c r="N199" s="65">
        <v>120.43</v>
      </c>
      <c r="O199" s="62">
        <v>4</v>
      </c>
      <c r="P199" s="62"/>
      <c r="Q199" s="62" t="s">
        <v>258</v>
      </c>
      <c r="R199" s="61"/>
      <c r="S199" s="61"/>
    </row>
    <row r="200" spans="1:19" ht="13.8" customHeight="1" x14ac:dyDescent="0.3">
      <c r="A200" s="66" t="s">
        <v>273</v>
      </c>
      <c r="B200" s="67">
        <f>IFERROR(INDEX('Boulder Sample Log'!A$5:A$204,MATCH(A200,'Boulder Sample Log'!E$5:E$204,0)),"")</f>
        <v>46119</v>
      </c>
      <c r="C200" s="66">
        <v>231</v>
      </c>
      <c r="D200" s="66" t="s">
        <v>256</v>
      </c>
      <c r="E200" s="66">
        <v>5</v>
      </c>
      <c r="F200" s="68" t="s">
        <v>257</v>
      </c>
      <c r="G200" s="66">
        <v>8.24</v>
      </c>
      <c r="H200" s="68">
        <v>3.38</v>
      </c>
      <c r="I200" s="68">
        <v>749.13</v>
      </c>
      <c r="J200" s="68" t="s">
        <v>257</v>
      </c>
      <c r="K200" s="68">
        <v>475.58</v>
      </c>
      <c r="L200" s="68" t="s">
        <v>257</v>
      </c>
      <c r="M200" s="68" t="s">
        <v>257</v>
      </c>
      <c r="N200" s="69">
        <v>120.43</v>
      </c>
      <c r="O200" s="66">
        <v>4</v>
      </c>
      <c r="P200" s="66"/>
      <c r="Q200" s="66" t="s">
        <v>258</v>
      </c>
      <c r="R200" s="61"/>
      <c r="S200" s="61"/>
    </row>
    <row r="201" spans="1:19" ht="13.8" customHeight="1" x14ac:dyDescent="0.3">
      <c r="A201" s="62" t="s">
        <v>273</v>
      </c>
      <c r="B201" s="63">
        <f>IFERROR(INDEX('Boulder Sample Log'!A$5:A$204,MATCH(A201,'Boulder Sample Log'!E$5:E$204,0)),"")</f>
        <v>46119</v>
      </c>
      <c r="C201" s="62">
        <v>232</v>
      </c>
      <c r="D201" s="62" t="s">
        <v>256</v>
      </c>
      <c r="E201" s="62">
        <v>5</v>
      </c>
      <c r="F201" s="64" t="s">
        <v>257</v>
      </c>
      <c r="G201" s="62">
        <v>8.2200000000000006</v>
      </c>
      <c r="H201" s="64">
        <v>3.96</v>
      </c>
      <c r="I201" s="64">
        <v>841.56</v>
      </c>
      <c r="J201" s="64" t="s">
        <v>257</v>
      </c>
      <c r="K201" s="64">
        <v>444.05</v>
      </c>
      <c r="L201" s="64" t="s">
        <v>257</v>
      </c>
      <c r="M201" s="64" t="s">
        <v>257</v>
      </c>
      <c r="N201" s="65">
        <v>122.95</v>
      </c>
      <c r="O201" s="62">
        <v>4</v>
      </c>
      <c r="P201" s="62"/>
      <c r="Q201" s="62" t="s">
        <v>258</v>
      </c>
      <c r="R201" s="61"/>
      <c r="S201" s="61"/>
    </row>
    <row r="202" spans="1:19" ht="13.8" customHeight="1" x14ac:dyDescent="0.3">
      <c r="A202" s="66" t="s">
        <v>273</v>
      </c>
      <c r="B202" s="67">
        <f>IFERROR(INDEX('Boulder Sample Log'!A$5:A$204,MATCH(A202,'Boulder Sample Log'!E$5:E$204,0)),"")</f>
        <v>46119</v>
      </c>
      <c r="C202" s="66">
        <v>233</v>
      </c>
      <c r="D202" s="66" t="s">
        <v>256</v>
      </c>
      <c r="E202" s="66">
        <v>5</v>
      </c>
      <c r="F202" s="68" t="s">
        <v>257</v>
      </c>
      <c r="G202" s="66">
        <v>8.51</v>
      </c>
      <c r="H202" s="68">
        <v>3.17</v>
      </c>
      <c r="I202" s="68">
        <v>723</v>
      </c>
      <c r="J202" s="68" t="s">
        <v>257</v>
      </c>
      <c r="K202" s="68">
        <v>530.4</v>
      </c>
      <c r="L202" s="68" t="s">
        <v>257</v>
      </c>
      <c r="M202" s="68" t="s">
        <v>257</v>
      </c>
      <c r="N202" s="69">
        <v>120.45</v>
      </c>
      <c r="O202" s="66">
        <v>4</v>
      </c>
      <c r="P202" s="66"/>
      <c r="Q202" s="66" t="s">
        <v>258</v>
      </c>
      <c r="R202" s="61"/>
      <c r="S202" s="61"/>
    </row>
    <row r="203" spans="1:19" ht="13.8" customHeight="1" x14ac:dyDescent="0.3">
      <c r="A203" s="62" t="s">
        <v>274</v>
      </c>
      <c r="B203" s="63">
        <f>IFERROR(INDEX('Boulder Sample Log'!A$5:A$204,MATCH(A203,'Boulder Sample Log'!E$5:E$204,0)),"")</f>
        <v>46119</v>
      </c>
      <c r="C203" s="62">
        <v>234</v>
      </c>
      <c r="D203" s="62" t="s">
        <v>256</v>
      </c>
      <c r="E203" s="62">
        <v>1</v>
      </c>
      <c r="F203" s="64" t="s">
        <v>257</v>
      </c>
      <c r="G203" s="62">
        <v>16.47</v>
      </c>
      <c r="H203" s="64">
        <v>3.57</v>
      </c>
      <c r="I203" s="64">
        <v>3190.98</v>
      </c>
      <c r="J203" s="64" t="s">
        <v>257</v>
      </c>
      <c r="K203" s="64">
        <v>1437.82</v>
      </c>
      <c r="L203" s="64" t="s">
        <v>257</v>
      </c>
      <c r="M203" s="64" t="s">
        <v>257</v>
      </c>
      <c r="N203" s="65">
        <v>122.63</v>
      </c>
      <c r="O203" s="62">
        <v>4</v>
      </c>
      <c r="P203" s="62"/>
      <c r="Q203" s="62" t="s">
        <v>258</v>
      </c>
      <c r="R203" s="61"/>
      <c r="S203" s="61"/>
    </row>
    <row r="204" spans="1:19" ht="13.8" customHeight="1" x14ac:dyDescent="0.3">
      <c r="A204" s="66" t="s">
        <v>274</v>
      </c>
      <c r="B204" s="67">
        <f>IFERROR(INDEX('Boulder Sample Log'!A$5:A$204,MATCH(A204,'Boulder Sample Log'!E$5:E$204,0)),"")</f>
        <v>46119</v>
      </c>
      <c r="C204" s="66">
        <v>235</v>
      </c>
      <c r="D204" s="66" t="s">
        <v>256</v>
      </c>
      <c r="E204" s="66">
        <v>1</v>
      </c>
      <c r="F204" s="68" t="s">
        <v>257</v>
      </c>
      <c r="G204" s="66">
        <v>12.59</v>
      </c>
      <c r="H204" s="68">
        <v>32.29</v>
      </c>
      <c r="I204" s="68">
        <v>11779.2</v>
      </c>
      <c r="J204" s="68" t="s">
        <v>257</v>
      </c>
      <c r="K204" s="68">
        <v>7232.12</v>
      </c>
      <c r="L204" s="68" t="s">
        <v>257</v>
      </c>
      <c r="M204" s="68" t="s">
        <v>257</v>
      </c>
      <c r="N204" s="69">
        <v>120.16</v>
      </c>
      <c r="O204" s="66">
        <v>4</v>
      </c>
      <c r="P204" s="66"/>
      <c r="Q204" s="66" t="s">
        <v>258</v>
      </c>
      <c r="R204" s="61"/>
      <c r="S204" s="61"/>
    </row>
    <row r="205" spans="1:19" ht="13.8" customHeight="1" x14ac:dyDescent="0.3">
      <c r="A205" s="62" t="s">
        <v>274</v>
      </c>
      <c r="B205" s="63">
        <f>IFERROR(INDEX('Boulder Sample Log'!A$5:A$204,MATCH(A205,'Boulder Sample Log'!E$5:E$204,0)),"")</f>
        <v>46119</v>
      </c>
      <c r="C205" s="62">
        <v>236</v>
      </c>
      <c r="D205" s="62" t="s">
        <v>256</v>
      </c>
      <c r="E205" s="62">
        <v>1</v>
      </c>
      <c r="F205" s="64" t="s">
        <v>257</v>
      </c>
      <c r="G205" s="62">
        <v>15.23</v>
      </c>
      <c r="H205" s="64">
        <v>5.18</v>
      </c>
      <c r="I205" s="64">
        <v>3221.9</v>
      </c>
      <c r="J205" s="64" t="s">
        <v>257</v>
      </c>
      <c r="K205" s="64">
        <v>1490.23</v>
      </c>
      <c r="L205" s="64" t="s">
        <v>257</v>
      </c>
      <c r="M205" s="64" t="s">
        <v>257</v>
      </c>
      <c r="N205" s="65">
        <v>120.36</v>
      </c>
      <c r="O205" s="62">
        <v>4</v>
      </c>
      <c r="P205" s="62"/>
      <c r="Q205" s="62" t="s">
        <v>258</v>
      </c>
      <c r="R205" s="61"/>
      <c r="S205" s="61"/>
    </row>
    <row r="206" spans="1:19" ht="13.8" customHeight="1" x14ac:dyDescent="0.3">
      <c r="A206" s="66" t="s">
        <v>274</v>
      </c>
      <c r="B206" s="67">
        <f>IFERROR(INDEX('Boulder Sample Log'!A$5:A$204,MATCH(A206,'Boulder Sample Log'!E$5:E$204,0)),"")</f>
        <v>46119</v>
      </c>
      <c r="C206" s="66">
        <v>237</v>
      </c>
      <c r="D206" s="66" t="s">
        <v>256</v>
      </c>
      <c r="E206" s="66">
        <v>2</v>
      </c>
      <c r="F206" s="68">
        <v>21.35</v>
      </c>
      <c r="G206" s="66">
        <v>4.46</v>
      </c>
      <c r="H206" s="68">
        <v>19.59</v>
      </c>
      <c r="I206" s="68">
        <v>8041.36</v>
      </c>
      <c r="J206" s="68" t="s">
        <v>257</v>
      </c>
      <c r="K206" s="68">
        <v>11459.15</v>
      </c>
      <c r="L206" s="68" t="s">
        <v>257</v>
      </c>
      <c r="M206" s="68" t="s">
        <v>257</v>
      </c>
      <c r="N206" s="69">
        <v>120.48</v>
      </c>
      <c r="O206" s="66">
        <v>4</v>
      </c>
      <c r="P206" s="66"/>
      <c r="Q206" s="66" t="s">
        <v>258</v>
      </c>
      <c r="R206" s="61"/>
      <c r="S206" s="61"/>
    </row>
    <row r="207" spans="1:19" ht="13.8" customHeight="1" x14ac:dyDescent="0.3">
      <c r="A207" s="62" t="s">
        <v>274</v>
      </c>
      <c r="B207" s="63">
        <f>IFERROR(INDEX('Boulder Sample Log'!A$5:A$204,MATCH(A207,'Boulder Sample Log'!E$5:E$204,0)),"")</f>
        <v>46119</v>
      </c>
      <c r="C207" s="62">
        <v>238</v>
      </c>
      <c r="D207" s="62" t="s">
        <v>256</v>
      </c>
      <c r="E207" s="62">
        <v>2</v>
      </c>
      <c r="F207" s="64">
        <v>20.71</v>
      </c>
      <c r="G207" s="62">
        <v>15.52</v>
      </c>
      <c r="H207" s="64">
        <v>46.27</v>
      </c>
      <c r="I207" s="64">
        <v>15981.89</v>
      </c>
      <c r="J207" s="64" t="s">
        <v>257</v>
      </c>
      <c r="K207" s="64">
        <v>19538.98</v>
      </c>
      <c r="L207" s="64" t="s">
        <v>257</v>
      </c>
      <c r="M207" s="64" t="s">
        <v>257</v>
      </c>
      <c r="N207" s="65">
        <v>122.91</v>
      </c>
      <c r="O207" s="62">
        <v>4</v>
      </c>
      <c r="P207" s="62"/>
      <c r="Q207" s="62" t="s">
        <v>258</v>
      </c>
      <c r="R207" s="61"/>
      <c r="S207" s="61"/>
    </row>
    <row r="208" spans="1:19" ht="13.8" customHeight="1" x14ac:dyDescent="0.3">
      <c r="A208" s="66" t="s">
        <v>274</v>
      </c>
      <c r="B208" s="67">
        <f>IFERROR(INDEX('Boulder Sample Log'!A$5:A$204,MATCH(A208,'Boulder Sample Log'!E$5:E$204,0)),"")</f>
        <v>46119</v>
      </c>
      <c r="C208" s="66">
        <v>239</v>
      </c>
      <c r="D208" s="66" t="s">
        <v>256</v>
      </c>
      <c r="E208" s="66">
        <v>2</v>
      </c>
      <c r="F208" s="68">
        <v>21.22</v>
      </c>
      <c r="G208" s="66">
        <v>14.62</v>
      </c>
      <c r="H208" s="68">
        <v>40.22</v>
      </c>
      <c r="I208" s="68">
        <v>10516.02</v>
      </c>
      <c r="J208" s="68" t="s">
        <v>257</v>
      </c>
      <c r="K208" s="68">
        <v>14740.68</v>
      </c>
      <c r="L208" s="68" t="s">
        <v>257</v>
      </c>
      <c r="M208" s="68" t="s">
        <v>257</v>
      </c>
      <c r="N208" s="69">
        <v>120.4</v>
      </c>
      <c r="O208" s="66">
        <v>4</v>
      </c>
      <c r="P208" s="66"/>
      <c r="Q208" s="66" t="s">
        <v>258</v>
      </c>
      <c r="R208" s="61"/>
      <c r="S208" s="61"/>
    </row>
    <row r="209" spans="1:19" ht="13.8" customHeight="1" x14ac:dyDescent="0.3">
      <c r="A209" s="62" t="s">
        <v>274</v>
      </c>
      <c r="B209" s="63">
        <f>IFERROR(INDEX('Boulder Sample Log'!A$5:A$204,MATCH(A209,'Boulder Sample Log'!E$5:E$204,0)),"")</f>
        <v>46119</v>
      </c>
      <c r="C209" s="62">
        <v>240</v>
      </c>
      <c r="D209" s="62" t="s">
        <v>256</v>
      </c>
      <c r="E209" s="62">
        <v>3</v>
      </c>
      <c r="F209" s="64" t="s">
        <v>257</v>
      </c>
      <c r="G209" s="62">
        <v>46.18</v>
      </c>
      <c r="H209" s="64">
        <v>14.94</v>
      </c>
      <c r="I209" s="64">
        <v>18567.259999999998</v>
      </c>
      <c r="J209" s="64" t="s">
        <v>257</v>
      </c>
      <c r="K209" s="64">
        <v>8866.58</v>
      </c>
      <c r="L209" s="64" t="s">
        <v>257</v>
      </c>
      <c r="M209" s="64" t="s">
        <v>257</v>
      </c>
      <c r="N209" s="65">
        <v>120.25</v>
      </c>
      <c r="O209" s="62">
        <v>4</v>
      </c>
      <c r="P209" s="62"/>
      <c r="Q209" s="62" t="s">
        <v>258</v>
      </c>
      <c r="R209" s="61"/>
      <c r="S209" s="61"/>
    </row>
    <row r="210" spans="1:19" ht="13.8" customHeight="1" x14ac:dyDescent="0.3">
      <c r="A210" s="66" t="s">
        <v>274</v>
      </c>
      <c r="B210" s="67">
        <f>IFERROR(INDEX('Boulder Sample Log'!A$5:A$204,MATCH(A210,'Boulder Sample Log'!E$5:E$204,0)),"")</f>
        <v>46119</v>
      </c>
      <c r="C210" s="66">
        <v>241</v>
      </c>
      <c r="D210" s="66" t="s">
        <v>256</v>
      </c>
      <c r="E210" s="66">
        <v>3</v>
      </c>
      <c r="F210" s="68" t="s">
        <v>257</v>
      </c>
      <c r="G210" s="66">
        <v>31.83</v>
      </c>
      <c r="H210" s="68">
        <v>13.73</v>
      </c>
      <c r="I210" s="68">
        <v>11798.39</v>
      </c>
      <c r="J210" s="68" t="s">
        <v>257</v>
      </c>
      <c r="K210" s="68">
        <v>7054.14</v>
      </c>
      <c r="L210" s="68" t="s">
        <v>257</v>
      </c>
      <c r="M210" s="68" t="s">
        <v>257</v>
      </c>
      <c r="N210" s="69">
        <v>120.38</v>
      </c>
      <c r="O210" s="66">
        <v>4</v>
      </c>
      <c r="P210" s="66"/>
      <c r="Q210" s="66" t="s">
        <v>258</v>
      </c>
      <c r="R210" s="61"/>
      <c r="S210" s="61"/>
    </row>
    <row r="211" spans="1:19" ht="13.8" customHeight="1" x14ac:dyDescent="0.3">
      <c r="A211" s="62" t="s">
        <v>274</v>
      </c>
      <c r="B211" s="63">
        <f>IFERROR(INDEX('Boulder Sample Log'!A$5:A$204,MATCH(A211,'Boulder Sample Log'!E$5:E$204,0)),"")</f>
        <v>46119</v>
      </c>
      <c r="C211" s="62">
        <v>242</v>
      </c>
      <c r="D211" s="62" t="s">
        <v>256</v>
      </c>
      <c r="E211" s="62">
        <v>3</v>
      </c>
      <c r="F211" s="64" t="s">
        <v>257</v>
      </c>
      <c r="G211" s="62">
        <v>41.22</v>
      </c>
      <c r="H211" s="64">
        <v>13.6</v>
      </c>
      <c r="I211" s="64">
        <v>10310.14</v>
      </c>
      <c r="J211" s="64" t="s">
        <v>257</v>
      </c>
      <c r="K211" s="64">
        <v>6659.89</v>
      </c>
      <c r="L211" s="64" t="s">
        <v>257</v>
      </c>
      <c r="M211" s="64" t="s">
        <v>257</v>
      </c>
      <c r="N211" s="65">
        <v>120.24</v>
      </c>
      <c r="O211" s="62">
        <v>4</v>
      </c>
      <c r="P211" s="62"/>
      <c r="Q211" s="62" t="s">
        <v>258</v>
      </c>
      <c r="R211" s="61"/>
      <c r="S211" s="61"/>
    </row>
    <row r="212" spans="1:19" ht="13.8" customHeight="1" x14ac:dyDescent="0.3">
      <c r="A212" s="66" t="s">
        <v>274</v>
      </c>
      <c r="B212" s="67">
        <f>IFERROR(INDEX('Boulder Sample Log'!A$5:A$204,MATCH(A212,'Boulder Sample Log'!E$5:E$204,0)),"")</f>
        <v>46119</v>
      </c>
      <c r="C212" s="66">
        <v>243</v>
      </c>
      <c r="D212" s="66" t="s">
        <v>256</v>
      </c>
      <c r="E212" s="66">
        <v>4</v>
      </c>
      <c r="F212" s="68" t="s">
        <v>257</v>
      </c>
      <c r="G212" s="66">
        <v>35.81</v>
      </c>
      <c r="H212" s="68">
        <v>16.510000000000002</v>
      </c>
      <c r="I212" s="68">
        <v>55797.48</v>
      </c>
      <c r="J212" s="68">
        <v>309.35000000000002</v>
      </c>
      <c r="K212" s="68">
        <v>12552.9</v>
      </c>
      <c r="L212" s="68">
        <v>22.88</v>
      </c>
      <c r="M212" s="68">
        <v>39.46</v>
      </c>
      <c r="N212" s="69">
        <v>120.47</v>
      </c>
      <c r="O212" s="66">
        <v>4</v>
      </c>
      <c r="P212" s="66"/>
      <c r="Q212" s="66" t="s">
        <v>258</v>
      </c>
      <c r="R212" s="61"/>
      <c r="S212" s="61"/>
    </row>
    <row r="213" spans="1:19" ht="13.8" customHeight="1" x14ac:dyDescent="0.3">
      <c r="A213" s="62" t="s">
        <v>274</v>
      </c>
      <c r="B213" s="63">
        <f>IFERROR(INDEX('Boulder Sample Log'!A$5:A$204,MATCH(A213,'Boulder Sample Log'!E$5:E$204,0)),"")</f>
        <v>46119</v>
      </c>
      <c r="C213" s="62">
        <v>244</v>
      </c>
      <c r="D213" s="62" t="s">
        <v>256</v>
      </c>
      <c r="E213" s="62">
        <v>4</v>
      </c>
      <c r="F213" s="64" t="s">
        <v>257</v>
      </c>
      <c r="G213" s="62">
        <v>11.55</v>
      </c>
      <c r="H213" s="64">
        <v>20.49</v>
      </c>
      <c r="I213" s="64">
        <v>38882.21</v>
      </c>
      <c r="J213" s="64">
        <v>257.39999999999998</v>
      </c>
      <c r="K213" s="64">
        <v>15412.71</v>
      </c>
      <c r="L213" s="64">
        <v>16.72</v>
      </c>
      <c r="M213" s="64">
        <v>5.22</v>
      </c>
      <c r="N213" s="65">
        <v>120.5</v>
      </c>
      <c r="O213" s="62">
        <v>4</v>
      </c>
      <c r="P213" s="62"/>
      <c r="Q213" s="62" t="s">
        <v>258</v>
      </c>
      <c r="R213" s="61"/>
      <c r="S213" s="61"/>
    </row>
    <row r="214" spans="1:19" ht="13.8" customHeight="1" x14ac:dyDescent="0.3">
      <c r="A214" s="66" t="s">
        <v>274</v>
      </c>
      <c r="B214" s="67">
        <f>IFERROR(INDEX('Boulder Sample Log'!A$5:A$204,MATCH(A214,'Boulder Sample Log'!E$5:E$204,0)),"")</f>
        <v>46119</v>
      </c>
      <c r="C214" s="66">
        <v>245</v>
      </c>
      <c r="D214" s="66" t="s">
        <v>256</v>
      </c>
      <c r="E214" s="66">
        <v>4</v>
      </c>
      <c r="F214" s="68" t="s">
        <v>257</v>
      </c>
      <c r="G214" s="66">
        <v>20.79</v>
      </c>
      <c r="H214" s="68">
        <v>18.97</v>
      </c>
      <c r="I214" s="68">
        <v>34379.629999999997</v>
      </c>
      <c r="J214" s="68" t="s">
        <v>257</v>
      </c>
      <c r="K214" s="68">
        <v>13788.52</v>
      </c>
      <c r="L214" s="68" t="s">
        <v>257</v>
      </c>
      <c r="M214" s="68">
        <v>7.87</v>
      </c>
      <c r="N214" s="69">
        <v>120.58</v>
      </c>
      <c r="O214" s="66">
        <v>4</v>
      </c>
      <c r="P214" s="66"/>
      <c r="Q214" s="66" t="s">
        <v>258</v>
      </c>
      <c r="R214" s="61"/>
      <c r="S214" s="61"/>
    </row>
    <row r="215" spans="1:19" ht="13.8" customHeight="1" x14ac:dyDescent="0.3">
      <c r="A215" s="62" t="s">
        <v>274</v>
      </c>
      <c r="B215" s="63">
        <f>IFERROR(INDEX('Boulder Sample Log'!A$5:A$204,MATCH(A215,'Boulder Sample Log'!E$5:E$204,0)),"")</f>
        <v>46119</v>
      </c>
      <c r="C215" s="62">
        <v>246</v>
      </c>
      <c r="D215" s="62" t="s">
        <v>256</v>
      </c>
      <c r="E215" s="62">
        <v>5</v>
      </c>
      <c r="F215" s="64" t="s">
        <v>257</v>
      </c>
      <c r="G215" s="62">
        <v>8.76</v>
      </c>
      <c r="H215" s="64">
        <v>9.8800000000000008</v>
      </c>
      <c r="I215" s="64">
        <v>4904.2700000000004</v>
      </c>
      <c r="J215" s="64" t="s">
        <v>257</v>
      </c>
      <c r="K215" s="64">
        <v>3757.4</v>
      </c>
      <c r="L215" s="64" t="s">
        <v>257</v>
      </c>
      <c r="M215" s="64">
        <v>8.5299999999999994</v>
      </c>
      <c r="N215" s="65">
        <v>94.1</v>
      </c>
      <c r="O215" s="62">
        <v>4</v>
      </c>
      <c r="P215" s="62" t="s">
        <v>275</v>
      </c>
      <c r="Q215" s="62" t="s">
        <v>258</v>
      </c>
      <c r="R215" s="61"/>
      <c r="S215" s="61"/>
    </row>
    <row r="216" spans="1:19" ht="13.8" customHeight="1" x14ac:dyDescent="0.3">
      <c r="A216" s="66" t="s">
        <v>274</v>
      </c>
      <c r="B216" s="67">
        <f>IFERROR(INDEX('Boulder Sample Log'!A$5:A$204,MATCH(A216,'Boulder Sample Log'!E$5:E$204,0)),"")</f>
        <v>46119</v>
      </c>
      <c r="C216" s="66">
        <v>247</v>
      </c>
      <c r="D216" s="66" t="s">
        <v>256</v>
      </c>
      <c r="E216" s="66">
        <v>5</v>
      </c>
      <c r="F216" s="68">
        <v>2.65</v>
      </c>
      <c r="G216" s="66">
        <v>9.56</v>
      </c>
      <c r="H216" s="68">
        <v>12.53</v>
      </c>
      <c r="I216" s="68">
        <v>5728.15</v>
      </c>
      <c r="J216" s="68" t="s">
        <v>257</v>
      </c>
      <c r="K216" s="68">
        <v>3711.43</v>
      </c>
      <c r="L216" s="68" t="s">
        <v>257</v>
      </c>
      <c r="M216" s="68">
        <v>8</v>
      </c>
      <c r="N216" s="69">
        <v>120.24</v>
      </c>
      <c r="O216" s="66">
        <v>4</v>
      </c>
      <c r="P216" s="66"/>
      <c r="Q216" s="66" t="s">
        <v>258</v>
      </c>
      <c r="R216" s="61"/>
      <c r="S216" s="61"/>
    </row>
    <row r="217" spans="1:19" ht="13.8" customHeight="1" x14ac:dyDescent="0.3">
      <c r="A217" s="62" t="s">
        <v>274</v>
      </c>
      <c r="B217" s="63">
        <f>IFERROR(INDEX('Boulder Sample Log'!A$5:A$204,MATCH(A217,'Boulder Sample Log'!E$5:E$204,0)),"")</f>
        <v>46119</v>
      </c>
      <c r="C217" s="62">
        <v>248</v>
      </c>
      <c r="D217" s="62" t="s">
        <v>256</v>
      </c>
      <c r="E217" s="62">
        <v>5</v>
      </c>
      <c r="F217" s="64">
        <v>2.6</v>
      </c>
      <c r="G217" s="62">
        <v>10.8</v>
      </c>
      <c r="H217" s="64">
        <v>9.67</v>
      </c>
      <c r="I217" s="64">
        <v>5595.8</v>
      </c>
      <c r="J217" s="64" t="s">
        <v>257</v>
      </c>
      <c r="K217" s="64">
        <v>4761.4799999999996</v>
      </c>
      <c r="L217" s="64" t="s">
        <v>257</v>
      </c>
      <c r="M217" s="64">
        <v>8.82</v>
      </c>
      <c r="N217" s="65">
        <v>120.34</v>
      </c>
      <c r="O217" s="62">
        <v>4</v>
      </c>
      <c r="P217" s="62"/>
      <c r="Q217" s="62" t="s">
        <v>258</v>
      </c>
      <c r="R217" s="61"/>
      <c r="S217" s="61"/>
    </row>
    <row r="218" spans="1:19" ht="13.8" customHeight="1" x14ac:dyDescent="0.3">
      <c r="A218" s="66" t="s">
        <v>274</v>
      </c>
      <c r="B218" s="67">
        <f>IFERROR(INDEX('Boulder Sample Log'!A$5:A$204,MATCH(A218,'Boulder Sample Log'!E$5:E$204,0)),"")</f>
        <v>46119</v>
      </c>
      <c r="C218" s="66">
        <v>249</v>
      </c>
      <c r="D218" s="66" t="s">
        <v>256</v>
      </c>
      <c r="E218" s="66">
        <v>6</v>
      </c>
      <c r="F218" s="68" t="s">
        <v>257</v>
      </c>
      <c r="G218" s="66">
        <v>11.29</v>
      </c>
      <c r="H218" s="68">
        <v>12.69</v>
      </c>
      <c r="I218" s="68">
        <v>6665.19</v>
      </c>
      <c r="J218" s="68" t="s">
        <v>257</v>
      </c>
      <c r="K218" s="68">
        <v>4511.32</v>
      </c>
      <c r="L218" s="68" t="s">
        <v>257</v>
      </c>
      <c r="M218" s="68">
        <v>5.75</v>
      </c>
      <c r="N218" s="69">
        <v>120.51</v>
      </c>
      <c r="O218" s="66">
        <v>4</v>
      </c>
      <c r="P218" s="66"/>
      <c r="Q218" s="66" t="s">
        <v>258</v>
      </c>
      <c r="R218" s="61"/>
      <c r="S218" s="61"/>
    </row>
    <row r="219" spans="1:19" ht="13.8" customHeight="1" x14ac:dyDescent="0.3">
      <c r="A219" s="62" t="s">
        <v>276</v>
      </c>
      <c r="B219" s="63">
        <f>IFERROR(INDEX('Boulder Sample Log'!A$5:A$204,MATCH(A219,'Boulder Sample Log'!E$5:E$204,0)),"")</f>
        <v>46119</v>
      </c>
      <c r="C219" s="62">
        <v>250</v>
      </c>
      <c r="D219" s="62" t="s">
        <v>256</v>
      </c>
      <c r="E219" s="62">
        <v>1</v>
      </c>
      <c r="F219" s="64">
        <v>5.91</v>
      </c>
      <c r="G219" s="62">
        <v>2.14</v>
      </c>
      <c r="H219" s="64">
        <v>9.91</v>
      </c>
      <c r="I219" s="64">
        <v>25440.99</v>
      </c>
      <c r="J219" s="64">
        <v>400.87</v>
      </c>
      <c r="K219" s="64">
        <v>4861.4399999999996</v>
      </c>
      <c r="L219" s="64">
        <v>27.87</v>
      </c>
      <c r="M219" s="64">
        <v>5.64</v>
      </c>
      <c r="N219" s="65">
        <v>120.45</v>
      </c>
      <c r="O219" s="62">
        <v>4</v>
      </c>
      <c r="P219" s="62"/>
      <c r="Q219" s="62" t="s">
        <v>258</v>
      </c>
      <c r="R219" s="61"/>
      <c r="S219" s="61"/>
    </row>
    <row r="220" spans="1:19" ht="13.8" customHeight="1" x14ac:dyDescent="0.3">
      <c r="A220" s="66" t="s">
        <v>276</v>
      </c>
      <c r="B220" s="67">
        <f>IFERROR(INDEX('Boulder Sample Log'!A$5:A$204,MATCH(A220,'Boulder Sample Log'!E$5:E$204,0)),"")</f>
        <v>46119</v>
      </c>
      <c r="C220" s="66">
        <v>251</v>
      </c>
      <c r="D220" s="66" t="s">
        <v>256</v>
      </c>
      <c r="E220" s="66">
        <v>1</v>
      </c>
      <c r="F220" s="68" t="s">
        <v>257</v>
      </c>
      <c r="G220" s="66">
        <v>1.92</v>
      </c>
      <c r="H220" s="68">
        <v>4.74</v>
      </c>
      <c r="I220" s="68">
        <v>21650.45</v>
      </c>
      <c r="J220" s="68">
        <v>293.83999999999997</v>
      </c>
      <c r="K220" s="68">
        <v>2703.06</v>
      </c>
      <c r="L220" s="68">
        <v>12.13</v>
      </c>
      <c r="M220" s="68" t="s">
        <v>257</v>
      </c>
      <c r="N220" s="69">
        <v>122.79</v>
      </c>
      <c r="O220" s="66">
        <v>4</v>
      </c>
      <c r="P220" s="66"/>
      <c r="Q220" s="66" t="s">
        <v>258</v>
      </c>
      <c r="R220" s="61"/>
      <c r="S220" s="61"/>
    </row>
    <row r="221" spans="1:19" ht="13.8" customHeight="1" x14ac:dyDescent="0.3">
      <c r="A221" s="62" t="s">
        <v>276</v>
      </c>
      <c r="B221" s="63">
        <f>IFERROR(INDEX('Boulder Sample Log'!A$5:A$204,MATCH(A221,'Boulder Sample Log'!E$5:E$204,0)),"")</f>
        <v>46119</v>
      </c>
      <c r="C221" s="62">
        <v>252</v>
      </c>
      <c r="D221" s="62" t="s">
        <v>256</v>
      </c>
      <c r="E221" s="62">
        <v>1</v>
      </c>
      <c r="F221" s="64" t="s">
        <v>257</v>
      </c>
      <c r="G221" s="62" t="s">
        <v>257</v>
      </c>
      <c r="H221" s="64">
        <v>7.77</v>
      </c>
      <c r="I221" s="64">
        <v>24965.94</v>
      </c>
      <c r="J221" s="64">
        <v>369.95</v>
      </c>
      <c r="K221" s="64">
        <v>3521.6</v>
      </c>
      <c r="L221" s="64">
        <v>24.57</v>
      </c>
      <c r="M221" s="64">
        <v>5.2</v>
      </c>
      <c r="N221" s="65">
        <v>120.49</v>
      </c>
      <c r="O221" s="62">
        <v>4</v>
      </c>
      <c r="P221" s="62"/>
      <c r="Q221" s="62" t="s">
        <v>258</v>
      </c>
      <c r="R221" s="61"/>
      <c r="S221" s="61"/>
    </row>
    <row r="222" spans="1:19" ht="13.8" customHeight="1" x14ac:dyDescent="0.3">
      <c r="A222" s="66" t="s">
        <v>276</v>
      </c>
      <c r="B222" s="67">
        <f>IFERROR(INDEX('Boulder Sample Log'!A$5:A$204,MATCH(A222,'Boulder Sample Log'!E$5:E$204,0)),"")</f>
        <v>46119</v>
      </c>
      <c r="C222" s="66">
        <v>253</v>
      </c>
      <c r="D222" s="66" t="s">
        <v>256</v>
      </c>
      <c r="E222" s="66">
        <v>2</v>
      </c>
      <c r="F222" s="68" t="s">
        <v>257</v>
      </c>
      <c r="G222" s="66">
        <v>1.4</v>
      </c>
      <c r="H222" s="68">
        <v>7.76</v>
      </c>
      <c r="I222" s="68">
        <v>26508.28</v>
      </c>
      <c r="J222" s="68">
        <v>421.17</v>
      </c>
      <c r="K222" s="68">
        <v>3691.16</v>
      </c>
      <c r="L222" s="68">
        <v>29.5</v>
      </c>
      <c r="M222" s="68">
        <v>12.17</v>
      </c>
      <c r="N222" s="69">
        <v>120.5</v>
      </c>
      <c r="O222" s="66">
        <v>4</v>
      </c>
      <c r="P222" s="66"/>
      <c r="Q222" s="66" t="s">
        <v>258</v>
      </c>
      <c r="R222" s="61"/>
      <c r="S222" s="61"/>
    </row>
    <row r="223" spans="1:19" ht="13.8" customHeight="1" x14ac:dyDescent="0.3">
      <c r="A223" s="62" t="s">
        <v>276</v>
      </c>
      <c r="B223" s="63">
        <f>IFERROR(INDEX('Boulder Sample Log'!A$5:A$204,MATCH(A223,'Boulder Sample Log'!E$5:E$204,0)),"")</f>
        <v>46119</v>
      </c>
      <c r="C223" s="62">
        <v>254</v>
      </c>
      <c r="D223" s="62" t="s">
        <v>256</v>
      </c>
      <c r="E223" s="62">
        <v>2</v>
      </c>
      <c r="F223" s="64" t="s">
        <v>257</v>
      </c>
      <c r="G223" s="62">
        <v>1.19</v>
      </c>
      <c r="H223" s="64">
        <v>8.0399999999999991</v>
      </c>
      <c r="I223" s="64">
        <v>27127.43</v>
      </c>
      <c r="J223" s="64">
        <v>471.82</v>
      </c>
      <c r="K223" s="64">
        <v>2797.57</v>
      </c>
      <c r="L223" s="64">
        <v>30.87</v>
      </c>
      <c r="M223" s="64">
        <v>18.75</v>
      </c>
      <c r="N223" s="65">
        <v>122.91</v>
      </c>
      <c r="O223" s="62">
        <v>4</v>
      </c>
      <c r="P223" s="62"/>
      <c r="Q223" s="62" t="s">
        <v>258</v>
      </c>
      <c r="R223" s="61"/>
      <c r="S223" s="61"/>
    </row>
    <row r="224" spans="1:19" ht="13.8" customHeight="1" x14ac:dyDescent="0.3">
      <c r="A224" s="66" t="s">
        <v>276</v>
      </c>
      <c r="B224" s="67">
        <f>IFERROR(INDEX('Boulder Sample Log'!A$5:A$204,MATCH(A224,'Boulder Sample Log'!E$5:E$204,0)),"")</f>
        <v>46119</v>
      </c>
      <c r="C224" s="66">
        <v>255</v>
      </c>
      <c r="D224" s="66" t="s">
        <v>256</v>
      </c>
      <c r="E224" s="66">
        <v>2</v>
      </c>
      <c r="F224" s="68">
        <v>4.8899999999999997</v>
      </c>
      <c r="G224" s="66" t="s">
        <v>257</v>
      </c>
      <c r="H224" s="68">
        <v>11.42</v>
      </c>
      <c r="I224" s="68">
        <v>27248.71</v>
      </c>
      <c r="J224" s="68">
        <v>424.16</v>
      </c>
      <c r="K224" s="68">
        <v>4351.88</v>
      </c>
      <c r="L224" s="68">
        <v>31.86</v>
      </c>
      <c r="M224" s="68">
        <v>17.23</v>
      </c>
      <c r="N224" s="69">
        <v>120.09</v>
      </c>
      <c r="O224" s="66">
        <v>4</v>
      </c>
      <c r="P224" s="66"/>
      <c r="Q224" s="66" t="s">
        <v>258</v>
      </c>
      <c r="R224" s="61"/>
      <c r="S224" s="61"/>
    </row>
    <row r="225" spans="1:19" ht="13.8" customHeight="1" x14ac:dyDescent="0.3">
      <c r="A225" s="62" t="s">
        <v>276</v>
      </c>
      <c r="B225" s="63">
        <f>IFERROR(INDEX('Boulder Sample Log'!A$5:A$204,MATCH(A225,'Boulder Sample Log'!E$5:E$204,0)),"")</f>
        <v>46119</v>
      </c>
      <c r="C225" s="62">
        <v>256</v>
      </c>
      <c r="D225" s="62" t="s">
        <v>256</v>
      </c>
      <c r="E225" s="62">
        <v>3</v>
      </c>
      <c r="F225" s="64" t="s">
        <v>257</v>
      </c>
      <c r="G225" s="62" t="s">
        <v>257</v>
      </c>
      <c r="H225" s="64">
        <v>6.37</v>
      </c>
      <c r="I225" s="64">
        <v>37972.269999999997</v>
      </c>
      <c r="J225" s="64">
        <v>765.83</v>
      </c>
      <c r="K225" s="64">
        <v>2065.3000000000002</v>
      </c>
      <c r="L225" s="64">
        <v>61.37</v>
      </c>
      <c r="M225" s="64">
        <v>19.02</v>
      </c>
      <c r="N225" s="65">
        <v>120.34</v>
      </c>
      <c r="O225" s="62">
        <v>4</v>
      </c>
      <c r="P225" s="62"/>
      <c r="Q225" s="62" t="s">
        <v>258</v>
      </c>
      <c r="R225" s="61"/>
      <c r="S225" s="61"/>
    </row>
    <row r="226" spans="1:19" ht="13.8" customHeight="1" x14ac:dyDescent="0.3">
      <c r="A226" s="66" t="s">
        <v>276</v>
      </c>
      <c r="B226" s="67">
        <f>IFERROR(INDEX('Boulder Sample Log'!A$5:A$204,MATCH(A226,'Boulder Sample Log'!E$5:E$204,0)),"")</f>
        <v>46119</v>
      </c>
      <c r="C226" s="66">
        <v>257</v>
      </c>
      <c r="D226" s="66" t="s">
        <v>256</v>
      </c>
      <c r="E226" s="66">
        <v>3</v>
      </c>
      <c r="F226" s="68" t="s">
        <v>257</v>
      </c>
      <c r="G226" s="66" t="s">
        <v>257</v>
      </c>
      <c r="H226" s="68">
        <v>9.2200000000000006</v>
      </c>
      <c r="I226" s="68">
        <v>34936.980000000003</v>
      </c>
      <c r="J226" s="68">
        <v>564.74</v>
      </c>
      <c r="K226" s="68">
        <v>1228.08</v>
      </c>
      <c r="L226" s="68">
        <v>72.5</v>
      </c>
      <c r="M226" s="68">
        <v>17.579999999999998</v>
      </c>
      <c r="N226" s="69">
        <v>122.93</v>
      </c>
      <c r="O226" s="66">
        <v>4</v>
      </c>
      <c r="P226" s="66"/>
      <c r="Q226" s="66" t="s">
        <v>258</v>
      </c>
      <c r="R226" s="61"/>
      <c r="S226" s="61"/>
    </row>
    <row r="227" spans="1:19" ht="13.8" customHeight="1" x14ac:dyDescent="0.3">
      <c r="A227" s="62" t="s">
        <v>276</v>
      </c>
      <c r="B227" s="63">
        <f>IFERROR(INDEX('Boulder Sample Log'!A$5:A$204,MATCH(A227,'Boulder Sample Log'!E$5:E$204,0)),"")</f>
        <v>46119</v>
      </c>
      <c r="C227" s="62">
        <v>258</v>
      </c>
      <c r="D227" s="62" t="s">
        <v>256</v>
      </c>
      <c r="E227" s="62">
        <v>3</v>
      </c>
      <c r="F227" s="64">
        <v>5.79</v>
      </c>
      <c r="G227" s="62" t="s">
        <v>257</v>
      </c>
      <c r="H227" s="64">
        <v>4.66</v>
      </c>
      <c r="I227" s="64">
        <v>78568.27</v>
      </c>
      <c r="J227" s="64">
        <v>3188.35</v>
      </c>
      <c r="K227" s="64">
        <v>1616.76</v>
      </c>
      <c r="L227" s="64">
        <v>54.25</v>
      </c>
      <c r="M227" s="64">
        <v>11.57</v>
      </c>
      <c r="N227" s="65">
        <v>123.05</v>
      </c>
      <c r="O227" s="62">
        <v>4</v>
      </c>
      <c r="P227" s="62"/>
      <c r="Q227" s="62" t="s">
        <v>258</v>
      </c>
      <c r="R227" s="61"/>
      <c r="S227" s="61"/>
    </row>
    <row r="228" spans="1:19" ht="13.8" customHeight="1" x14ac:dyDescent="0.3">
      <c r="A228" s="66" t="s">
        <v>276</v>
      </c>
      <c r="B228" s="67">
        <f>IFERROR(INDEX('Boulder Sample Log'!A$5:A$204,MATCH(A228,'Boulder Sample Log'!E$5:E$204,0)),"")</f>
        <v>46119</v>
      </c>
      <c r="C228" s="66">
        <v>259</v>
      </c>
      <c r="D228" s="66" t="s">
        <v>256</v>
      </c>
      <c r="E228" s="66">
        <v>4</v>
      </c>
      <c r="F228" s="68" t="s">
        <v>257</v>
      </c>
      <c r="G228" s="66" t="s">
        <v>257</v>
      </c>
      <c r="H228" s="68">
        <v>5.27</v>
      </c>
      <c r="I228" s="68">
        <v>41724.42</v>
      </c>
      <c r="J228" s="68">
        <v>623.13</v>
      </c>
      <c r="K228" s="68">
        <v>1404.96</v>
      </c>
      <c r="L228" s="68">
        <v>76.319999999999993</v>
      </c>
      <c r="M228" s="68">
        <v>9.9600000000000009</v>
      </c>
      <c r="N228" s="69">
        <v>120.24</v>
      </c>
      <c r="O228" s="66">
        <v>4</v>
      </c>
      <c r="P228" s="66"/>
      <c r="Q228" s="66" t="s">
        <v>258</v>
      </c>
      <c r="R228" s="61"/>
      <c r="S228" s="61"/>
    </row>
    <row r="229" spans="1:19" ht="13.8" customHeight="1" x14ac:dyDescent="0.3">
      <c r="A229" s="62" t="s">
        <v>276</v>
      </c>
      <c r="B229" s="63">
        <f>IFERROR(INDEX('Boulder Sample Log'!A$5:A$204,MATCH(A229,'Boulder Sample Log'!E$5:E$204,0)),"")</f>
        <v>46119</v>
      </c>
      <c r="C229" s="62">
        <v>260</v>
      </c>
      <c r="D229" s="62" t="s">
        <v>256</v>
      </c>
      <c r="E229" s="62">
        <v>4</v>
      </c>
      <c r="F229" s="64">
        <v>4.58</v>
      </c>
      <c r="G229" s="62" t="s">
        <v>257</v>
      </c>
      <c r="H229" s="64">
        <v>10.130000000000001</v>
      </c>
      <c r="I229" s="64">
        <v>39251.699999999997</v>
      </c>
      <c r="J229" s="64">
        <v>778.63</v>
      </c>
      <c r="K229" s="64">
        <v>1669.34</v>
      </c>
      <c r="L229" s="64">
        <v>64.56</v>
      </c>
      <c r="M229" s="64">
        <v>23.55</v>
      </c>
      <c r="N229" s="65">
        <v>120.32</v>
      </c>
      <c r="O229" s="62">
        <v>4</v>
      </c>
      <c r="P229" s="62"/>
      <c r="Q229" s="62" t="s">
        <v>258</v>
      </c>
      <c r="R229" s="61"/>
      <c r="S229" s="61"/>
    </row>
    <row r="230" spans="1:19" ht="13.8" customHeight="1" x14ac:dyDescent="0.3">
      <c r="A230" s="66" t="s">
        <v>276</v>
      </c>
      <c r="B230" s="67">
        <f>IFERROR(INDEX('Boulder Sample Log'!A$5:A$204,MATCH(A230,'Boulder Sample Log'!E$5:E$204,0)),"")</f>
        <v>46119</v>
      </c>
      <c r="C230" s="66">
        <v>261</v>
      </c>
      <c r="D230" s="66" t="s">
        <v>256</v>
      </c>
      <c r="E230" s="66">
        <v>4</v>
      </c>
      <c r="F230" s="68">
        <v>3.13</v>
      </c>
      <c r="G230" s="66" t="s">
        <v>257</v>
      </c>
      <c r="H230" s="68">
        <v>8.2200000000000006</v>
      </c>
      <c r="I230" s="68">
        <v>48837.56</v>
      </c>
      <c r="J230" s="68">
        <v>682.94</v>
      </c>
      <c r="K230" s="68">
        <v>2186.64</v>
      </c>
      <c r="L230" s="68">
        <v>70.349999999999994</v>
      </c>
      <c r="M230" s="68">
        <v>18.309999999999999</v>
      </c>
      <c r="N230" s="69">
        <v>120.33</v>
      </c>
      <c r="O230" s="66">
        <v>4</v>
      </c>
      <c r="P230" s="66"/>
      <c r="Q230" s="66" t="s">
        <v>258</v>
      </c>
      <c r="R230" s="61"/>
      <c r="S230" s="61"/>
    </row>
    <row r="231" spans="1:19" ht="13.8" customHeight="1" x14ac:dyDescent="0.3">
      <c r="A231" s="62" t="s">
        <v>276</v>
      </c>
      <c r="B231" s="63">
        <f>IFERROR(INDEX('Boulder Sample Log'!A$5:A$204,MATCH(A231,'Boulder Sample Log'!E$5:E$204,0)),"")</f>
        <v>46119</v>
      </c>
      <c r="C231" s="62">
        <v>263</v>
      </c>
      <c r="D231" s="62" t="s">
        <v>256</v>
      </c>
      <c r="E231" s="62">
        <v>5</v>
      </c>
      <c r="F231" s="64" t="s">
        <v>257</v>
      </c>
      <c r="G231" s="62">
        <v>2.44</v>
      </c>
      <c r="H231" s="64">
        <v>8.8800000000000008</v>
      </c>
      <c r="I231" s="64">
        <v>30097.02</v>
      </c>
      <c r="J231" s="64">
        <v>474.88</v>
      </c>
      <c r="K231" s="64">
        <v>2553.48</v>
      </c>
      <c r="L231" s="64">
        <v>63.69</v>
      </c>
      <c r="M231" s="64">
        <v>7.59</v>
      </c>
      <c r="N231" s="65">
        <v>120.53</v>
      </c>
      <c r="O231" s="62">
        <v>4</v>
      </c>
      <c r="P231" s="62"/>
      <c r="Q231" s="62" t="s">
        <v>258</v>
      </c>
      <c r="R231" s="61"/>
      <c r="S231" s="61"/>
    </row>
    <row r="232" spans="1:19" ht="13.8" customHeight="1" x14ac:dyDescent="0.3">
      <c r="A232" s="66" t="s">
        <v>276</v>
      </c>
      <c r="B232" s="67">
        <f>IFERROR(INDEX('Boulder Sample Log'!A$5:A$204,MATCH(A232,'Boulder Sample Log'!E$5:E$204,0)),"")</f>
        <v>46119</v>
      </c>
      <c r="C232" s="66">
        <v>264</v>
      </c>
      <c r="D232" s="66" t="s">
        <v>256</v>
      </c>
      <c r="E232" s="66">
        <v>5</v>
      </c>
      <c r="F232" s="68">
        <v>7.48</v>
      </c>
      <c r="G232" s="66">
        <v>6.25</v>
      </c>
      <c r="H232" s="68">
        <v>9.9700000000000006</v>
      </c>
      <c r="I232" s="68">
        <v>32030.84</v>
      </c>
      <c r="J232" s="68">
        <v>344.07</v>
      </c>
      <c r="K232" s="68">
        <v>18764.62</v>
      </c>
      <c r="L232" s="68">
        <v>47.97</v>
      </c>
      <c r="M232" s="68">
        <v>11.07</v>
      </c>
      <c r="N232" s="69">
        <v>123.08</v>
      </c>
      <c r="O232" s="66">
        <v>4</v>
      </c>
      <c r="P232" s="66"/>
      <c r="Q232" s="66" t="s">
        <v>258</v>
      </c>
      <c r="R232" s="61"/>
      <c r="S232" s="61"/>
    </row>
    <row r="233" spans="1:19" ht="13.8" customHeight="1" x14ac:dyDescent="0.3">
      <c r="A233" s="62" t="s">
        <v>276</v>
      </c>
      <c r="B233" s="63">
        <f>IFERROR(INDEX('Boulder Sample Log'!A$5:A$204,MATCH(A233,'Boulder Sample Log'!E$5:E$204,0)),"")</f>
        <v>46119</v>
      </c>
      <c r="C233" s="62">
        <v>265</v>
      </c>
      <c r="D233" s="62" t="s">
        <v>256</v>
      </c>
      <c r="E233" s="62">
        <v>5</v>
      </c>
      <c r="F233" s="64">
        <v>17.59</v>
      </c>
      <c r="G233" s="62">
        <v>4.5999999999999996</v>
      </c>
      <c r="H233" s="64">
        <v>8.8800000000000008</v>
      </c>
      <c r="I233" s="64">
        <v>31930.53</v>
      </c>
      <c r="J233" s="64">
        <v>404.01</v>
      </c>
      <c r="K233" s="64">
        <v>3239.16</v>
      </c>
      <c r="L233" s="64">
        <v>48.14</v>
      </c>
      <c r="M233" s="64">
        <v>8.85</v>
      </c>
      <c r="N233" s="65">
        <v>120.66</v>
      </c>
      <c r="O233" s="62">
        <v>4</v>
      </c>
      <c r="P233" s="62"/>
      <c r="Q233" s="62" t="s">
        <v>258</v>
      </c>
      <c r="R233" s="61"/>
      <c r="S233" s="61"/>
    </row>
    <row r="234" spans="1:19" ht="13.8" customHeight="1" x14ac:dyDescent="0.3">
      <c r="A234" s="66" t="s">
        <v>277</v>
      </c>
      <c r="B234" s="67">
        <f>IFERROR(INDEX('Boulder Sample Log'!A$5:A$204,MATCH(A234,'Boulder Sample Log'!E$5:E$204,0)),"")</f>
        <v>46119</v>
      </c>
      <c r="C234" s="66">
        <v>266</v>
      </c>
      <c r="D234" s="66" t="s">
        <v>256</v>
      </c>
      <c r="E234" s="66">
        <v>1</v>
      </c>
      <c r="F234" s="68" t="s">
        <v>257</v>
      </c>
      <c r="G234" s="66" t="s">
        <v>257</v>
      </c>
      <c r="H234" s="68">
        <v>3.84</v>
      </c>
      <c r="I234" s="68">
        <v>21177.79</v>
      </c>
      <c r="J234" s="68">
        <v>295.81</v>
      </c>
      <c r="K234" s="68">
        <v>1279.28</v>
      </c>
      <c r="L234" s="68">
        <v>30.42</v>
      </c>
      <c r="M234" s="68">
        <v>5.69</v>
      </c>
      <c r="N234" s="69">
        <v>120.42</v>
      </c>
      <c r="O234" s="66">
        <v>4</v>
      </c>
      <c r="P234" s="66"/>
      <c r="Q234" s="66" t="s">
        <v>258</v>
      </c>
      <c r="R234" s="61"/>
      <c r="S234" s="61"/>
    </row>
    <row r="235" spans="1:19" ht="13.8" customHeight="1" x14ac:dyDescent="0.3">
      <c r="A235" s="62" t="s">
        <v>277</v>
      </c>
      <c r="B235" s="63">
        <f>IFERROR(INDEX('Boulder Sample Log'!A$5:A$204,MATCH(A235,'Boulder Sample Log'!E$5:E$204,0)),"")</f>
        <v>46119</v>
      </c>
      <c r="C235" s="62">
        <v>267</v>
      </c>
      <c r="D235" s="62" t="s">
        <v>256</v>
      </c>
      <c r="E235" s="62">
        <v>1</v>
      </c>
      <c r="F235" s="64" t="s">
        <v>257</v>
      </c>
      <c r="G235" s="62" t="s">
        <v>257</v>
      </c>
      <c r="H235" s="64">
        <v>5.12</v>
      </c>
      <c r="I235" s="64">
        <v>25211.69</v>
      </c>
      <c r="J235" s="64">
        <v>406.49</v>
      </c>
      <c r="K235" s="64">
        <v>961.05</v>
      </c>
      <c r="L235" s="64">
        <v>37.840000000000003</v>
      </c>
      <c r="M235" s="64" t="s">
        <v>257</v>
      </c>
      <c r="N235" s="65">
        <v>120.33</v>
      </c>
      <c r="O235" s="62">
        <v>4</v>
      </c>
      <c r="P235" s="62"/>
      <c r="Q235" s="62" t="s">
        <v>258</v>
      </c>
      <c r="R235" s="61"/>
      <c r="S235" s="61"/>
    </row>
    <row r="236" spans="1:19" ht="13.8" customHeight="1" x14ac:dyDescent="0.3">
      <c r="A236" s="66" t="s">
        <v>277</v>
      </c>
      <c r="B236" s="67">
        <f>IFERROR(INDEX('Boulder Sample Log'!A$5:A$204,MATCH(A236,'Boulder Sample Log'!E$5:E$204,0)),"")</f>
        <v>46119</v>
      </c>
      <c r="C236" s="66">
        <v>268</v>
      </c>
      <c r="D236" s="66" t="s">
        <v>256</v>
      </c>
      <c r="E236" s="66">
        <v>1</v>
      </c>
      <c r="F236" s="68" t="s">
        <v>257</v>
      </c>
      <c r="G236" s="66" t="s">
        <v>257</v>
      </c>
      <c r="H236" s="68">
        <v>5.77</v>
      </c>
      <c r="I236" s="68">
        <v>21274.89</v>
      </c>
      <c r="J236" s="68">
        <v>324.60000000000002</v>
      </c>
      <c r="K236" s="68">
        <v>1277.8399999999999</v>
      </c>
      <c r="L236" s="68">
        <v>26.29</v>
      </c>
      <c r="M236" s="68" t="s">
        <v>257</v>
      </c>
      <c r="N236" s="69">
        <v>120.53</v>
      </c>
      <c r="O236" s="66">
        <v>4</v>
      </c>
      <c r="P236" s="66"/>
      <c r="Q236" s="66" t="s">
        <v>258</v>
      </c>
      <c r="R236" s="61"/>
      <c r="S236" s="61"/>
    </row>
    <row r="237" spans="1:19" ht="13.8" customHeight="1" x14ac:dyDescent="0.3">
      <c r="A237" s="62" t="s">
        <v>277</v>
      </c>
      <c r="B237" s="63">
        <f>IFERROR(INDEX('Boulder Sample Log'!A$5:A$204,MATCH(A237,'Boulder Sample Log'!E$5:E$204,0)),"")</f>
        <v>46119</v>
      </c>
      <c r="C237" s="62">
        <v>269</v>
      </c>
      <c r="D237" s="62" t="s">
        <v>256</v>
      </c>
      <c r="E237" s="62">
        <v>2</v>
      </c>
      <c r="F237" s="64" t="s">
        <v>257</v>
      </c>
      <c r="G237" s="62" t="s">
        <v>257</v>
      </c>
      <c r="H237" s="64">
        <v>6.09</v>
      </c>
      <c r="I237" s="64">
        <v>13025.61</v>
      </c>
      <c r="J237" s="64">
        <v>73.88</v>
      </c>
      <c r="K237" s="64">
        <v>1337.86</v>
      </c>
      <c r="L237" s="64">
        <v>7.93</v>
      </c>
      <c r="M237" s="64">
        <v>10.48</v>
      </c>
      <c r="N237" s="65">
        <v>120.45</v>
      </c>
      <c r="O237" s="62">
        <v>4</v>
      </c>
      <c r="P237" s="62"/>
      <c r="Q237" s="62" t="s">
        <v>258</v>
      </c>
      <c r="R237" s="61"/>
      <c r="S237" s="61"/>
    </row>
    <row r="238" spans="1:19" ht="13.8" customHeight="1" x14ac:dyDescent="0.3">
      <c r="A238" s="66" t="s">
        <v>277</v>
      </c>
      <c r="B238" s="67">
        <f>IFERROR(INDEX('Boulder Sample Log'!A$5:A$204,MATCH(A238,'Boulder Sample Log'!E$5:E$204,0)),"")</f>
        <v>46119</v>
      </c>
      <c r="C238" s="66">
        <v>270</v>
      </c>
      <c r="D238" s="66" t="s">
        <v>256</v>
      </c>
      <c r="E238" s="66">
        <v>2</v>
      </c>
      <c r="F238" s="68" t="s">
        <v>257</v>
      </c>
      <c r="G238" s="66" t="s">
        <v>257</v>
      </c>
      <c r="H238" s="68">
        <v>3.16</v>
      </c>
      <c r="I238" s="68">
        <v>22230.959999999999</v>
      </c>
      <c r="J238" s="68">
        <v>298.64</v>
      </c>
      <c r="K238" s="68">
        <v>2642.72</v>
      </c>
      <c r="L238" s="68">
        <v>20.85</v>
      </c>
      <c r="M238" s="68" t="s">
        <v>257</v>
      </c>
      <c r="N238" s="69">
        <v>120.64</v>
      </c>
      <c r="O238" s="66">
        <v>4</v>
      </c>
      <c r="P238" s="66"/>
      <c r="Q238" s="66" t="s">
        <v>258</v>
      </c>
      <c r="R238" s="61"/>
      <c r="S238" s="61"/>
    </row>
    <row r="239" spans="1:19" ht="13.8" customHeight="1" x14ac:dyDescent="0.3">
      <c r="A239" s="62" t="s">
        <v>277</v>
      </c>
      <c r="B239" s="63">
        <f>IFERROR(INDEX('Boulder Sample Log'!A$5:A$204,MATCH(A239,'Boulder Sample Log'!E$5:E$204,0)),"")</f>
        <v>46119</v>
      </c>
      <c r="C239" s="62">
        <v>271</v>
      </c>
      <c r="D239" s="62" t="s">
        <v>256</v>
      </c>
      <c r="E239" s="62">
        <v>2</v>
      </c>
      <c r="F239" s="64" t="s">
        <v>257</v>
      </c>
      <c r="G239" s="62" t="s">
        <v>257</v>
      </c>
      <c r="H239" s="64">
        <v>7.48</v>
      </c>
      <c r="I239" s="64">
        <v>24458.13</v>
      </c>
      <c r="J239" s="64">
        <v>359.12</v>
      </c>
      <c r="K239" s="64">
        <v>1800.07</v>
      </c>
      <c r="L239" s="64">
        <v>30.64</v>
      </c>
      <c r="M239" s="64">
        <v>10.25</v>
      </c>
      <c r="N239" s="65">
        <v>120.27</v>
      </c>
      <c r="O239" s="62">
        <v>4</v>
      </c>
      <c r="P239" s="62"/>
      <c r="Q239" s="62" t="s">
        <v>258</v>
      </c>
      <c r="R239" s="61"/>
      <c r="S239" s="61"/>
    </row>
    <row r="240" spans="1:19" ht="13.8" customHeight="1" x14ac:dyDescent="0.3">
      <c r="A240" s="66" t="s">
        <v>277</v>
      </c>
      <c r="B240" s="67">
        <f>IFERROR(INDEX('Boulder Sample Log'!A$5:A$204,MATCH(A240,'Boulder Sample Log'!E$5:E$204,0)),"")</f>
        <v>46119</v>
      </c>
      <c r="C240" s="66">
        <v>272</v>
      </c>
      <c r="D240" s="66" t="s">
        <v>256</v>
      </c>
      <c r="E240" s="66">
        <v>3</v>
      </c>
      <c r="F240" s="68" t="s">
        <v>257</v>
      </c>
      <c r="G240" s="66" t="s">
        <v>257</v>
      </c>
      <c r="H240" s="68">
        <v>6.16</v>
      </c>
      <c r="I240" s="68">
        <v>24636.400000000001</v>
      </c>
      <c r="J240" s="68">
        <v>349.5</v>
      </c>
      <c r="K240" s="68">
        <v>3430.79</v>
      </c>
      <c r="L240" s="68">
        <v>30.64</v>
      </c>
      <c r="M240" s="68">
        <v>5.69</v>
      </c>
      <c r="N240" s="69">
        <v>120.46</v>
      </c>
      <c r="O240" s="66">
        <v>4</v>
      </c>
      <c r="P240" s="66"/>
      <c r="Q240" s="66" t="s">
        <v>258</v>
      </c>
      <c r="R240" s="61"/>
      <c r="S240" s="61"/>
    </row>
    <row r="241" spans="1:19" ht="13.8" customHeight="1" x14ac:dyDescent="0.3">
      <c r="A241" s="62" t="s">
        <v>277</v>
      </c>
      <c r="B241" s="63">
        <f>IFERROR(INDEX('Boulder Sample Log'!A$5:A$204,MATCH(A241,'Boulder Sample Log'!E$5:E$204,0)),"")</f>
        <v>46119</v>
      </c>
      <c r="C241" s="62">
        <v>273</v>
      </c>
      <c r="D241" s="62" t="s">
        <v>256</v>
      </c>
      <c r="E241" s="62">
        <v>3</v>
      </c>
      <c r="F241" s="64" t="s">
        <v>257</v>
      </c>
      <c r="G241" s="62" t="s">
        <v>257</v>
      </c>
      <c r="H241" s="64">
        <v>6.66</v>
      </c>
      <c r="I241" s="64">
        <v>28433.52</v>
      </c>
      <c r="J241" s="64">
        <v>470.56</v>
      </c>
      <c r="K241" s="64">
        <v>2260.4299999999998</v>
      </c>
      <c r="L241" s="64">
        <v>37.21</v>
      </c>
      <c r="M241" s="64">
        <v>9.5299999999999994</v>
      </c>
      <c r="N241" s="65">
        <v>120.36</v>
      </c>
      <c r="O241" s="62">
        <v>4</v>
      </c>
      <c r="P241" s="62"/>
      <c r="Q241" s="62" t="s">
        <v>258</v>
      </c>
      <c r="R241" s="61"/>
      <c r="S241" s="61"/>
    </row>
    <row r="242" spans="1:19" ht="13.8" customHeight="1" x14ac:dyDescent="0.3">
      <c r="A242" s="66" t="s">
        <v>277</v>
      </c>
      <c r="B242" s="67">
        <f>IFERROR(INDEX('Boulder Sample Log'!A$5:A$204,MATCH(A242,'Boulder Sample Log'!E$5:E$204,0)),"")</f>
        <v>46119</v>
      </c>
      <c r="C242" s="66">
        <v>274</v>
      </c>
      <c r="D242" s="66" t="s">
        <v>256</v>
      </c>
      <c r="E242" s="66">
        <v>3</v>
      </c>
      <c r="F242" s="68" t="s">
        <v>257</v>
      </c>
      <c r="G242" s="66" t="s">
        <v>257</v>
      </c>
      <c r="H242" s="68">
        <v>7.79</v>
      </c>
      <c r="I242" s="68">
        <v>27237.119999999999</v>
      </c>
      <c r="J242" s="68">
        <v>468.87</v>
      </c>
      <c r="K242" s="68">
        <v>1310.89</v>
      </c>
      <c r="L242" s="68">
        <v>39.08</v>
      </c>
      <c r="M242" s="68">
        <v>7.39</v>
      </c>
      <c r="N242" s="69">
        <v>120.52</v>
      </c>
      <c r="O242" s="66">
        <v>4</v>
      </c>
      <c r="P242" s="66"/>
      <c r="Q242" s="66" t="s">
        <v>258</v>
      </c>
      <c r="R242" s="61"/>
      <c r="S242" s="61"/>
    </row>
    <row r="243" spans="1:19" ht="13.8" customHeight="1" x14ac:dyDescent="0.3">
      <c r="A243" s="62" t="s">
        <v>277</v>
      </c>
      <c r="B243" s="63">
        <f>IFERROR(INDEX('Boulder Sample Log'!A$5:A$204,MATCH(A243,'Boulder Sample Log'!E$5:E$204,0)),"")</f>
        <v>46119</v>
      </c>
      <c r="C243" s="62">
        <v>275</v>
      </c>
      <c r="D243" s="62" t="s">
        <v>256</v>
      </c>
      <c r="E243" s="62">
        <v>4</v>
      </c>
      <c r="F243" s="64">
        <v>3.25</v>
      </c>
      <c r="G243" s="62" t="s">
        <v>257</v>
      </c>
      <c r="H243" s="64">
        <v>8.1199999999999992</v>
      </c>
      <c r="I243" s="64">
        <v>26495.39</v>
      </c>
      <c r="J243" s="64">
        <v>446.88</v>
      </c>
      <c r="K243" s="64">
        <v>3001.29</v>
      </c>
      <c r="L243" s="64">
        <v>43.63</v>
      </c>
      <c r="M243" s="64">
        <v>10.41</v>
      </c>
      <c r="N243" s="65">
        <v>120.6</v>
      </c>
      <c r="O243" s="62">
        <v>4</v>
      </c>
      <c r="P243" s="62"/>
      <c r="Q243" s="62" t="s">
        <v>258</v>
      </c>
      <c r="R243" s="61"/>
      <c r="S243" s="61"/>
    </row>
    <row r="244" spans="1:19" ht="13.8" customHeight="1" x14ac:dyDescent="0.3">
      <c r="A244" s="66" t="s">
        <v>277</v>
      </c>
      <c r="B244" s="67">
        <f>IFERROR(INDEX('Boulder Sample Log'!A$5:A$204,MATCH(A244,'Boulder Sample Log'!E$5:E$204,0)),"")</f>
        <v>46119</v>
      </c>
      <c r="C244" s="66">
        <v>276</v>
      </c>
      <c r="D244" s="66" t="s">
        <v>256</v>
      </c>
      <c r="E244" s="66">
        <v>4</v>
      </c>
      <c r="F244" s="68">
        <v>4.05</v>
      </c>
      <c r="G244" s="66" t="s">
        <v>257</v>
      </c>
      <c r="H244" s="68">
        <v>8.67</v>
      </c>
      <c r="I244" s="68">
        <v>25260.95</v>
      </c>
      <c r="J244" s="68">
        <v>373.37</v>
      </c>
      <c r="K244" s="68">
        <v>2023.32</v>
      </c>
      <c r="L244" s="68">
        <v>37.17</v>
      </c>
      <c r="M244" s="68">
        <v>9.11</v>
      </c>
      <c r="N244" s="69">
        <v>120.37</v>
      </c>
      <c r="O244" s="66">
        <v>4</v>
      </c>
      <c r="P244" s="66"/>
      <c r="Q244" s="66" t="s">
        <v>258</v>
      </c>
      <c r="R244" s="61"/>
      <c r="S244" s="61"/>
    </row>
    <row r="245" spans="1:19" ht="13.8" customHeight="1" x14ac:dyDescent="0.3">
      <c r="A245" s="62" t="s">
        <v>277</v>
      </c>
      <c r="B245" s="63">
        <f>IFERROR(INDEX('Boulder Sample Log'!A$5:A$204,MATCH(A245,'Boulder Sample Log'!E$5:E$204,0)),"")</f>
        <v>46119</v>
      </c>
      <c r="C245" s="62">
        <v>277</v>
      </c>
      <c r="D245" s="62" t="s">
        <v>256</v>
      </c>
      <c r="E245" s="62">
        <v>4</v>
      </c>
      <c r="F245" s="64">
        <v>5.78</v>
      </c>
      <c r="G245" s="62" t="s">
        <v>257</v>
      </c>
      <c r="H245" s="64">
        <v>8.83</v>
      </c>
      <c r="I245" s="64">
        <v>27790.65</v>
      </c>
      <c r="J245" s="64">
        <v>435.1</v>
      </c>
      <c r="K245" s="64">
        <v>1163.05</v>
      </c>
      <c r="L245" s="64">
        <v>42.19</v>
      </c>
      <c r="M245" s="64">
        <v>13.18</v>
      </c>
      <c r="N245" s="65">
        <v>120.56</v>
      </c>
      <c r="O245" s="62">
        <v>4</v>
      </c>
      <c r="P245" s="62"/>
      <c r="Q245" s="62" t="s">
        <v>258</v>
      </c>
      <c r="R245" s="61"/>
      <c r="S245" s="61"/>
    </row>
    <row r="246" spans="1:19" ht="13.8" customHeight="1" x14ac:dyDescent="0.3">
      <c r="A246" s="66" t="s">
        <v>277</v>
      </c>
      <c r="B246" s="67">
        <f>IFERROR(INDEX('Boulder Sample Log'!A$5:A$204,MATCH(A246,'Boulder Sample Log'!E$5:E$204,0)),"")</f>
        <v>46119</v>
      </c>
      <c r="C246" s="66">
        <v>278</v>
      </c>
      <c r="D246" s="66" t="s">
        <v>256</v>
      </c>
      <c r="E246" s="66">
        <v>5</v>
      </c>
      <c r="F246" s="68" t="s">
        <v>257</v>
      </c>
      <c r="G246" s="66" t="s">
        <v>257</v>
      </c>
      <c r="H246" s="68">
        <v>7.05</v>
      </c>
      <c r="I246" s="68">
        <v>35907.06</v>
      </c>
      <c r="J246" s="68">
        <v>514.45000000000005</v>
      </c>
      <c r="K246" s="68">
        <v>2755.85</v>
      </c>
      <c r="L246" s="68">
        <v>65.67</v>
      </c>
      <c r="M246" s="68">
        <v>9.27</v>
      </c>
      <c r="N246" s="69">
        <v>120.4</v>
      </c>
      <c r="O246" s="66">
        <v>4</v>
      </c>
      <c r="P246" s="66"/>
      <c r="Q246" s="66" t="s">
        <v>258</v>
      </c>
      <c r="R246" s="61"/>
      <c r="S246" s="61"/>
    </row>
    <row r="247" spans="1:19" ht="13.8" customHeight="1" x14ac:dyDescent="0.3">
      <c r="A247" s="62" t="s">
        <v>277</v>
      </c>
      <c r="B247" s="63">
        <f>IFERROR(INDEX('Boulder Sample Log'!A$5:A$204,MATCH(A247,'Boulder Sample Log'!E$5:E$204,0)),"")</f>
        <v>46119</v>
      </c>
      <c r="C247" s="62">
        <v>279</v>
      </c>
      <c r="D247" s="62" t="s">
        <v>256</v>
      </c>
      <c r="E247" s="62">
        <v>5</v>
      </c>
      <c r="F247" s="64" t="s">
        <v>257</v>
      </c>
      <c r="G247" s="62" t="s">
        <v>257</v>
      </c>
      <c r="H247" s="64">
        <v>6.02</v>
      </c>
      <c r="I247" s="64">
        <v>37810.129999999997</v>
      </c>
      <c r="J247" s="64">
        <v>414.42</v>
      </c>
      <c r="K247" s="64">
        <v>2287.46</v>
      </c>
      <c r="L247" s="64">
        <v>44.23</v>
      </c>
      <c r="M247" s="64" t="s">
        <v>257</v>
      </c>
      <c r="N247" s="65">
        <v>120.32</v>
      </c>
      <c r="O247" s="62">
        <v>4</v>
      </c>
      <c r="P247" s="62"/>
      <c r="Q247" s="62" t="s">
        <v>258</v>
      </c>
      <c r="R247" s="61"/>
      <c r="S247" s="61"/>
    </row>
    <row r="248" spans="1:19" ht="13.8" customHeight="1" x14ac:dyDescent="0.3">
      <c r="A248" s="66" t="s">
        <v>277</v>
      </c>
      <c r="B248" s="67">
        <f>IFERROR(INDEX('Boulder Sample Log'!A$5:A$204,MATCH(A248,'Boulder Sample Log'!E$5:E$204,0)),"")</f>
        <v>46119</v>
      </c>
      <c r="C248" s="66">
        <v>280</v>
      </c>
      <c r="D248" s="66" t="s">
        <v>256</v>
      </c>
      <c r="E248" s="66">
        <v>5</v>
      </c>
      <c r="F248" s="68" t="s">
        <v>257</v>
      </c>
      <c r="G248" s="66" t="s">
        <v>257</v>
      </c>
      <c r="H248" s="68">
        <v>4.8</v>
      </c>
      <c r="I248" s="68">
        <v>36934.199999999997</v>
      </c>
      <c r="J248" s="68">
        <v>485.82</v>
      </c>
      <c r="K248" s="68">
        <v>2659.77</v>
      </c>
      <c r="L248" s="68">
        <v>58.39</v>
      </c>
      <c r="M248" s="68">
        <v>12.14</v>
      </c>
      <c r="N248" s="69">
        <v>120.55</v>
      </c>
      <c r="O248" s="66">
        <v>4</v>
      </c>
      <c r="P248" s="66"/>
      <c r="Q248" s="66" t="s">
        <v>258</v>
      </c>
      <c r="R248" s="61"/>
      <c r="S248" s="61"/>
    </row>
    <row r="249" spans="1:19" ht="13.8" customHeight="1" x14ac:dyDescent="0.3">
      <c r="A249" s="62" t="s">
        <v>278</v>
      </c>
      <c r="B249" s="63">
        <f>IFERROR(INDEX('Boulder Sample Log'!A$5:A$204,MATCH(A249,'Boulder Sample Log'!E$5:E$204,0)),"")</f>
        <v>46119</v>
      </c>
      <c r="C249" s="62">
        <v>281</v>
      </c>
      <c r="D249" s="62" t="s">
        <v>256</v>
      </c>
      <c r="E249" s="62">
        <v>1</v>
      </c>
      <c r="F249" s="64" t="s">
        <v>257</v>
      </c>
      <c r="G249" s="62" t="s">
        <v>257</v>
      </c>
      <c r="H249" s="64">
        <v>8.01</v>
      </c>
      <c r="I249" s="64">
        <v>23703.7</v>
      </c>
      <c r="J249" s="64">
        <v>133.02000000000001</v>
      </c>
      <c r="K249" s="64">
        <v>2620.9899999999998</v>
      </c>
      <c r="L249" s="64">
        <v>49.11</v>
      </c>
      <c r="M249" s="64">
        <v>14.94</v>
      </c>
      <c r="N249" s="65">
        <v>120.52</v>
      </c>
      <c r="O249" s="62">
        <v>4</v>
      </c>
      <c r="P249" s="62"/>
      <c r="Q249" s="62" t="s">
        <v>258</v>
      </c>
      <c r="R249" s="61"/>
      <c r="S249" s="61"/>
    </row>
    <row r="250" spans="1:19" ht="13.8" customHeight="1" x14ac:dyDescent="0.3">
      <c r="A250" s="66" t="s">
        <v>278</v>
      </c>
      <c r="B250" s="67">
        <f>IFERROR(INDEX('Boulder Sample Log'!A$5:A$204,MATCH(A250,'Boulder Sample Log'!E$5:E$204,0)),"")</f>
        <v>46119</v>
      </c>
      <c r="C250" s="66">
        <v>282</v>
      </c>
      <c r="D250" s="66" t="s">
        <v>256</v>
      </c>
      <c r="E250" s="66">
        <v>1</v>
      </c>
      <c r="F250" s="68" t="s">
        <v>257</v>
      </c>
      <c r="G250" s="66" t="s">
        <v>257</v>
      </c>
      <c r="H250" s="68">
        <v>5.42</v>
      </c>
      <c r="I250" s="68">
        <v>24806.26</v>
      </c>
      <c r="J250" s="68">
        <v>115.04</v>
      </c>
      <c r="K250" s="68">
        <v>2783.34</v>
      </c>
      <c r="L250" s="68">
        <v>54.04</v>
      </c>
      <c r="M250" s="68">
        <v>8.7799999999999994</v>
      </c>
      <c r="N250" s="69">
        <v>120.48</v>
      </c>
      <c r="O250" s="66">
        <v>4</v>
      </c>
      <c r="P250" s="66"/>
      <c r="Q250" s="66" t="s">
        <v>258</v>
      </c>
      <c r="R250" s="61"/>
      <c r="S250" s="61"/>
    </row>
    <row r="251" spans="1:19" ht="13.8" customHeight="1" x14ac:dyDescent="0.3">
      <c r="A251" s="62" t="s">
        <v>278</v>
      </c>
      <c r="B251" s="63">
        <f>IFERROR(INDEX('Boulder Sample Log'!A$5:A$204,MATCH(A251,'Boulder Sample Log'!E$5:E$204,0)),"")</f>
        <v>46119</v>
      </c>
      <c r="C251" s="62">
        <v>283</v>
      </c>
      <c r="D251" s="62" t="s">
        <v>256</v>
      </c>
      <c r="E251" s="62">
        <v>1</v>
      </c>
      <c r="F251" s="64" t="s">
        <v>257</v>
      </c>
      <c r="G251" s="62" t="s">
        <v>257</v>
      </c>
      <c r="H251" s="64">
        <v>6.62</v>
      </c>
      <c r="I251" s="64">
        <v>26678.400000000001</v>
      </c>
      <c r="J251" s="64">
        <v>152.55000000000001</v>
      </c>
      <c r="K251" s="64">
        <v>2678.42</v>
      </c>
      <c r="L251" s="64">
        <v>49.55</v>
      </c>
      <c r="M251" s="64">
        <v>14.19</v>
      </c>
      <c r="N251" s="65">
        <v>123</v>
      </c>
      <c r="O251" s="62">
        <v>4</v>
      </c>
      <c r="P251" s="62"/>
      <c r="Q251" s="62" t="s">
        <v>258</v>
      </c>
      <c r="R251" s="61"/>
      <c r="S251" s="61"/>
    </row>
    <row r="252" spans="1:19" ht="13.8" customHeight="1" x14ac:dyDescent="0.3">
      <c r="A252" s="66" t="s">
        <v>278</v>
      </c>
      <c r="B252" s="67">
        <f>IFERROR(INDEX('Boulder Sample Log'!A$5:A$204,MATCH(A252,'Boulder Sample Log'!E$5:E$204,0)),"")</f>
        <v>46119</v>
      </c>
      <c r="C252" s="66">
        <v>284</v>
      </c>
      <c r="D252" s="66" t="s">
        <v>256</v>
      </c>
      <c r="E252" s="66">
        <v>2</v>
      </c>
      <c r="F252" s="68" t="s">
        <v>257</v>
      </c>
      <c r="G252" s="66" t="s">
        <v>257</v>
      </c>
      <c r="H252" s="68">
        <v>10.35</v>
      </c>
      <c r="I252" s="68">
        <v>31194.04</v>
      </c>
      <c r="J252" s="68">
        <v>105.67</v>
      </c>
      <c r="K252" s="68">
        <v>7307.6</v>
      </c>
      <c r="L252" s="68">
        <v>52.15</v>
      </c>
      <c r="M252" s="68">
        <v>20.84</v>
      </c>
      <c r="N252" s="69">
        <v>120.56</v>
      </c>
      <c r="O252" s="66">
        <v>4</v>
      </c>
      <c r="P252" s="66"/>
      <c r="Q252" s="66" t="s">
        <v>258</v>
      </c>
      <c r="R252" s="61"/>
      <c r="S252" s="61"/>
    </row>
    <row r="253" spans="1:19" ht="13.8" customHeight="1" x14ac:dyDescent="0.3">
      <c r="A253" s="62" t="s">
        <v>278</v>
      </c>
      <c r="B253" s="63">
        <f>IFERROR(INDEX('Boulder Sample Log'!A$5:A$204,MATCH(A253,'Boulder Sample Log'!E$5:E$204,0)),"")</f>
        <v>46119</v>
      </c>
      <c r="C253" s="62">
        <v>285</v>
      </c>
      <c r="D253" s="62" t="s">
        <v>256</v>
      </c>
      <c r="E253" s="62">
        <v>2</v>
      </c>
      <c r="F253" s="64" t="s">
        <v>257</v>
      </c>
      <c r="G253" s="62" t="s">
        <v>257</v>
      </c>
      <c r="H253" s="64">
        <v>6.88</v>
      </c>
      <c r="I253" s="64">
        <v>28934.45</v>
      </c>
      <c r="J253" s="64">
        <v>96.64</v>
      </c>
      <c r="K253" s="64">
        <v>6117.86</v>
      </c>
      <c r="L253" s="64">
        <v>59.25</v>
      </c>
      <c r="M253" s="64">
        <v>17.48</v>
      </c>
      <c r="N253" s="65">
        <v>120.38</v>
      </c>
      <c r="O253" s="62">
        <v>4</v>
      </c>
      <c r="P253" s="62"/>
      <c r="Q253" s="62" t="s">
        <v>258</v>
      </c>
      <c r="R253" s="61"/>
      <c r="S253" s="61"/>
    </row>
    <row r="254" spans="1:19" ht="13.8" customHeight="1" x14ac:dyDescent="0.3">
      <c r="A254" s="66" t="s">
        <v>278</v>
      </c>
      <c r="B254" s="67">
        <f>IFERROR(INDEX('Boulder Sample Log'!A$5:A$204,MATCH(A254,'Boulder Sample Log'!E$5:E$204,0)),"")</f>
        <v>46119</v>
      </c>
      <c r="C254" s="66">
        <v>286</v>
      </c>
      <c r="D254" s="66" t="s">
        <v>256</v>
      </c>
      <c r="E254" s="66">
        <v>2</v>
      </c>
      <c r="F254" s="68" t="s">
        <v>257</v>
      </c>
      <c r="G254" s="66" t="s">
        <v>257</v>
      </c>
      <c r="H254" s="68">
        <v>10.18</v>
      </c>
      <c r="I254" s="68">
        <v>26851.81</v>
      </c>
      <c r="J254" s="68">
        <v>97.03</v>
      </c>
      <c r="K254" s="68">
        <v>5317.82</v>
      </c>
      <c r="L254" s="68">
        <v>49.8</v>
      </c>
      <c r="M254" s="68">
        <v>15.53</v>
      </c>
      <c r="N254" s="69">
        <v>120.43</v>
      </c>
      <c r="O254" s="66">
        <v>4</v>
      </c>
      <c r="P254" s="66"/>
      <c r="Q254" s="66" t="s">
        <v>258</v>
      </c>
      <c r="R254" s="61"/>
      <c r="S254" s="61"/>
    </row>
    <row r="255" spans="1:19" ht="13.8" customHeight="1" x14ac:dyDescent="0.3">
      <c r="A255" s="62" t="s">
        <v>278</v>
      </c>
      <c r="B255" s="63">
        <f>IFERROR(INDEX('Boulder Sample Log'!A$5:A$204,MATCH(A255,'Boulder Sample Log'!E$5:E$204,0)),"")</f>
        <v>46119</v>
      </c>
      <c r="C255" s="62">
        <v>287</v>
      </c>
      <c r="D255" s="62" t="s">
        <v>256</v>
      </c>
      <c r="E255" s="62">
        <v>3</v>
      </c>
      <c r="F255" s="64" t="s">
        <v>257</v>
      </c>
      <c r="G255" s="62" t="s">
        <v>257</v>
      </c>
      <c r="H255" s="64">
        <v>4.1900000000000004</v>
      </c>
      <c r="I255" s="64">
        <v>21643.94</v>
      </c>
      <c r="J255" s="64">
        <v>99.77</v>
      </c>
      <c r="K255" s="64">
        <v>4288.04</v>
      </c>
      <c r="L255" s="64">
        <v>53.72</v>
      </c>
      <c r="M255" s="64">
        <v>17.64</v>
      </c>
      <c r="N255" s="65">
        <v>120.62</v>
      </c>
      <c r="O255" s="62">
        <v>4</v>
      </c>
      <c r="P255" s="62"/>
      <c r="Q255" s="62" t="s">
        <v>258</v>
      </c>
      <c r="R255" s="61"/>
      <c r="S255" s="61"/>
    </row>
    <row r="256" spans="1:19" ht="13.8" customHeight="1" x14ac:dyDescent="0.3">
      <c r="A256" s="66" t="s">
        <v>278</v>
      </c>
      <c r="B256" s="67">
        <f>IFERROR(INDEX('Boulder Sample Log'!A$5:A$204,MATCH(A256,'Boulder Sample Log'!E$5:E$204,0)),"")</f>
        <v>46119</v>
      </c>
      <c r="C256" s="66">
        <v>288</v>
      </c>
      <c r="D256" s="66" t="s">
        <v>256</v>
      </c>
      <c r="E256" s="66">
        <v>3</v>
      </c>
      <c r="F256" s="68" t="s">
        <v>257</v>
      </c>
      <c r="G256" s="66" t="s">
        <v>257</v>
      </c>
      <c r="H256" s="68">
        <v>4.63</v>
      </c>
      <c r="I256" s="68">
        <v>20506.23</v>
      </c>
      <c r="J256" s="68">
        <v>118.28</v>
      </c>
      <c r="K256" s="68">
        <v>4462.32</v>
      </c>
      <c r="L256" s="68">
        <v>50.43</v>
      </c>
      <c r="M256" s="68">
        <v>13.2</v>
      </c>
      <c r="N256" s="69">
        <v>120.37</v>
      </c>
      <c r="O256" s="66">
        <v>4</v>
      </c>
      <c r="P256" s="66"/>
      <c r="Q256" s="66" t="s">
        <v>258</v>
      </c>
      <c r="R256" s="61"/>
      <c r="S256" s="61"/>
    </row>
    <row r="257" spans="1:19" ht="13.8" customHeight="1" x14ac:dyDescent="0.3">
      <c r="A257" s="62" t="s">
        <v>278</v>
      </c>
      <c r="B257" s="63">
        <f>IFERROR(INDEX('Boulder Sample Log'!A$5:A$204,MATCH(A257,'Boulder Sample Log'!E$5:E$204,0)),"")</f>
        <v>46119</v>
      </c>
      <c r="C257" s="62">
        <v>289</v>
      </c>
      <c r="D257" s="62" t="s">
        <v>256</v>
      </c>
      <c r="E257" s="62">
        <v>3</v>
      </c>
      <c r="F257" s="64" t="s">
        <v>257</v>
      </c>
      <c r="G257" s="62" t="s">
        <v>257</v>
      </c>
      <c r="H257" s="64">
        <v>5.77</v>
      </c>
      <c r="I257" s="64">
        <v>20297.71</v>
      </c>
      <c r="J257" s="64">
        <v>97.27</v>
      </c>
      <c r="K257" s="64">
        <v>4499.8100000000004</v>
      </c>
      <c r="L257" s="64">
        <v>49.63</v>
      </c>
      <c r="M257" s="64">
        <v>13.49</v>
      </c>
      <c r="N257" s="65">
        <v>120.56</v>
      </c>
      <c r="O257" s="62">
        <v>4</v>
      </c>
      <c r="P257" s="62"/>
      <c r="Q257" s="62" t="s">
        <v>258</v>
      </c>
      <c r="R257" s="61"/>
      <c r="S257" s="61"/>
    </row>
    <row r="258" spans="1:19" ht="13.8" customHeight="1" x14ac:dyDescent="0.3">
      <c r="A258" s="66" t="s">
        <v>278</v>
      </c>
      <c r="B258" s="67">
        <f>IFERROR(INDEX('Boulder Sample Log'!A$5:A$204,MATCH(A258,'Boulder Sample Log'!E$5:E$204,0)),"")</f>
        <v>46119</v>
      </c>
      <c r="C258" s="66">
        <v>290</v>
      </c>
      <c r="D258" s="66" t="s">
        <v>256</v>
      </c>
      <c r="E258" s="66">
        <v>4</v>
      </c>
      <c r="F258" s="68" t="s">
        <v>257</v>
      </c>
      <c r="G258" s="66" t="s">
        <v>257</v>
      </c>
      <c r="H258" s="68">
        <v>5.26</v>
      </c>
      <c r="I258" s="68">
        <v>16375.97</v>
      </c>
      <c r="J258" s="68">
        <v>143.81</v>
      </c>
      <c r="K258" s="68">
        <v>5382.32</v>
      </c>
      <c r="L258" s="68">
        <v>51.24</v>
      </c>
      <c r="M258" s="68">
        <v>9.0299999999999994</v>
      </c>
      <c r="N258" s="69">
        <v>120.57</v>
      </c>
      <c r="O258" s="66">
        <v>4</v>
      </c>
      <c r="P258" s="66"/>
      <c r="Q258" s="66" t="s">
        <v>258</v>
      </c>
      <c r="R258" s="61"/>
      <c r="S258" s="61"/>
    </row>
    <row r="259" spans="1:19" ht="13.8" customHeight="1" x14ac:dyDescent="0.3">
      <c r="A259" s="62" t="s">
        <v>278</v>
      </c>
      <c r="B259" s="63">
        <f>IFERROR(INDEX('Boulder Sample Log'!A$5:A$204,MATCH(A259,'Boulder Sample Log'!E$5:E$204,0)),"")</f>
        <v>46119</v>
      </c>
      <c r="C259" s="62">
        <v>291</v>
      </c>
      <c r="D259" s="62" t="s">
        <v>256</v>
      </c>
      <c r="E259" s="62">
        <v>4</v>
      </c>
      <c r="F259" s="64" t="s">
        <v>257</v>
      </c>
      <c r="G259" s="62" t="s">
        <v>257</v>
      </c>
      <c r="H259" s="64">
        <v>4.01</v>
      </c>
      <c r="I259" s="64">
        <v>14429.64</v>
      </c>
      <c r="J259" s="64">
        <v>76.7</v>
      </c>
      <c r="K259" s="64">
        <v>5577.32</v>
      </c>
      <c r="L259" s="64">
        <v>39.619999999999997</v>
      </c>
      <c r="M259" s="64">
        <v>5.85</v>
      </c>
      <c r="N259" s="65">
        <v>120.63</v>
      </c>
      <c r="O259" s="62">
        <v>4</v>
      </c>
      <c r="P259" s="62"/>
      <c r="Q259" s="62" t="s">
        <v>258</v>
      </c>
      <c r="R259" s="61"/>
      <c r="S259" s="61"/>
    </row>
    <row r="260" spans="1:19" ht="13.8" customHeight="1" x14ac:dyDescent="0.3">
      <c r="A260" s="66" t="s">
        <v>278</v>
      </c>
      <c r="B260" s="67">
        <f>IFERROR(INDEX('Boulder Sample Log'!A$5:A$204,MATCH(A260,'Boulder Sample Log'!E$5:E$204,0)),"")</f>
        <v>46119</v>
      </c>
      <c r="C260" s="66">
        <v>292</v>
      </c>
      <c r="D260" s="66" t="s">
        <v>256</v>
      </c>
      <c r="E260" s="66">
        <v>4</v>
      </c>
      <c r="F260" s="68" t="s">
        <v>257</v>
      </c>
      <c r="G260" s="66" t="s">
        <v>257</v>
      </c>
      <c r="H260" s="68">
        <v>5.37</v>
      </c>
      <c r="I260" s="68">
        <v>15528.99</v>
      </c>
      <c r="J260" s="68">
        <v>101.78</v>
      </c>
      <c r="K260" s="68">
        <v>5598.54</v>
      </c>
      <c r="L260" s="68">
        <v>49.7</v>
      </c>
      <c r="M260" s="68">
        <v>12.7</v>
      </c>
      <c r="N260" s="69">
        <v>120.09</v>
      </c>
      <c r="O260" s="66">
        <v>4</v>
      </c>
      <c r="P260" s="66"/>
      <c r="Q260" s="66" t="s">
        <v>258</v>
      </c>
      <c r="R260" s="61"/>
      <c r="S260" s="61"/>
    </row>
    <row r="261" spans="1:19" ht="13.8" customHeight="1" x14ac:dyDescent="0.3">
      <c r="A261" s="62" t="s">
        <v>278</v>
      </c>
      <c r="B261" s="63">
        <f>IFERROR(INDEX('Boulder Sample Log'!A$5:A$204,MATCH(A261,'Boulder Sample Log'!E$5:E$204,0)),"")</f>
        <v>46119</v>
      </c>
      <c r="C261" s="62">
        <v>293</v>
      </c>
      <c r="D261" s="62" t="s">
        <v>256</v>
      </c>
      <c r="E261" s="62">
        <v>5</v>
      </c>
      <c r="F261" s="64" t="s">
        <v>257</v>
      </c>
      <c r="G261" s="62" t="s">
        <v>257</v>
      </c>
      <c r="H261" s="64">
        <v>3.79</v>
      </c>
      <c r="I261" s="64">
        <v>16069.38</v>
      </c>
      <c r="J261" s="64">
        <v>132.59</v>
      </c>
      <c r="K261" s="64">
        <v>4258.1899999999996</v>
      </c>
      <c r="L261" s="64">
        <v>43.67</v>
      </c>
      <c r="M261" s="64">
        <v>4.46</v>
      </c>
      <c r="N261" s="65">
        <v>120.71</v>
      </c>
      <c r="O261" s="62">
        <v>4</v>
      </c>
      <c r="P261" s="62"/>
      <c r="Q261" s="62" t="s">
        <v>258</v>
      </c>
      <c r="R261" s="61"/>
      <c r="S261" s="61"/>
    </row>
    <row r="262" spans="1:19" ht="13.8" customHeight="1" x14ac:dyDescent="0.3">
      <c r="A262" s="66" t="s">
        <v>278</v>
      </c>
      <c r="B262" s="67">
        <f>IFERROR(INDEX('Boulder Sample Log'!A$5:A$204,MATCH(A262,'Boulder Sample Log'!E$5:E$204,0)),"")</f>
        <v>46119</v>
      </c>
      <c r="C262" s="66">
        <v>294</v>
      </c>
      <c r="D262" s="66" t="s">
        <v>256</v>
      </c>
      <c r="E262" s="66">
        <v>5</v>
      </c>
      <c r="F262" s="68" t="s">
        <v>257</v>
      </c>
      <c r="G262" s="66" t="s">
        <v>257</v>
      </c>
      <c r="H262" s="68">
        <v>3.48</v>
      </c>
      <c r="I262" s="68">
        <v>13030.56</v>
      </c>
      <c r="J262" s="68">
        <v>59.59</v>
      </c>
      <c r="K262" s="68">
        <v>10455.24</v>
      </c>
      <c r="L262" s="68">
        <v>33.520000000000003</v>
      </c>
      <c r="M262" s="68" t="s">
        <v>257</v>
      </c>
      <c r="N262" s="69">
        <v>120.56</v>
      </c>
      <c r="O262" s="66">
        <v>4</v>
      </c>
      <c r="P262" s="66"/>
      <c r="Q262" s="66" t="s">
        <v>258</v>
      </c>
      <c r="R262" s="61"/>
      <c r="S262" s="61"/>
    </row>
    <row r="263" spans="1:19" ht="13.8" customHeight="1" x14ac:dyDescent="0.3">
      <c r="A263" s="62" t="s">
        <v>278</v>
      </c>
      <c r="B263" s="63">
        <f>IFERROR(INDEX('Boulder Sample Log'!A$5:A$204,MATCH(A263,'Boulder Sample Log'!E$5:E$204,0)),"")</f>
        <v>46119</v>
      </c>
      <c r="C263" s="62">
        <v>296</v>
      </c>
      <c r="D263" s="62" t="s">
        <v>256</v>
      </c>
      <c r="E263" s="62">
        <v>5</v>
      </c>
      <c r="F263" s="64" t="s">
        <v>257</v>
      </c>
      <c r="G263" s="62" t="s">
        <v>257</v>
      </c>
      <c r="H263" s="64">
        <v>3.08</v>
      </c>
      <c r="I263" s="64">
        <v>15571.58</v>
      </c>
      <c r="J263" s="64">
        <v>69.42</v>
      </c>
      <c r="K263" s="64">
        <v>9080.2000000000007</v>
      </c>
      <c r="L263" s="64">
        <v>39.020000000000003</v>
      </c>
      <c r="M263" s="64">
        <v>10.68</v>
      </c>
      <c r="N263" s="65">
        <v>120</v>
      </c>
      <c r="O263" s="62">
        <v>4</v>
      </c>
      <c r="P263" s="62"/>
      <c r="Q263" s="62" t="s">
        <v>258</v>
      </c>
      <c r="R263" s="61"/>
      <c r="S263" s="61"/>
    </row>
    <row r="264" spans="1:19" ht="13.8" customHeight="1" x14ac:dyDescent="0.3">
      <c r="A264" s="66" t="s">
        <v>279</v>
      </c>
      <c r="B264" s="67">
        <f>IFERROR(INDEX('Boulder Sample Log'!A$5:A$204,MATCH(A264,'Boulder Sample Log'!E$5:E$204,0)),"")</f>
        <v>46120</v>
      </c>
      <c r="C264" s="66">
        <v>308</v>
      </c>
      <c r="D264" s="66" t="s">
        <v>256</v>
      </c>
      <c r="E264" s="66">
        <v>1</v>
      </c>
      <c r="F264" s="68">
        <v>4.21</v>
      </c>
      <c r="G264" s="66" t="s">
        <v>257</v>
      </c>
      <c r="H264" s="68">
        <v>9.34</v>
      </c>
      <c r="I264" s="68">
        <v>39576.120000000003</v>
      </c>
      <c r="J264" s="68">
        <v>528.4</v>
      </c>
      <c r="K264" s="68">
        <v>1151.49</v>
      </c>
      <c r="L264" s="68">
        <v>74.08</v>
      </c>
      <c r="M264" s="68">
        <v>19.28</v>
      </c>
      <c r="N264" s="69">
        <v>120.65</v>
      </c>
      <c r="O264" s="66">
        <v>4</v>
      </c>
      <c r="P264" s="66"/>
      <c r="Q264" s="66" t="s">
        <v>258</v>
      </c>
      <c r="R264" s="61"/>
      <c r="S264" s="61"/>
    </row>
    <row r="265" spans="1:19" ht="13.8" customHeight="1" x14ac:dyDescent="0.3">
      <c r="A265" s="62" t="s">
        <v>279</v>
      </c>
      <c r="B265" s="63">
        <f>IFERROR(INDEX('Boulder Sample Log'!A$5:A$204,MATCH(A265,'Boulder Sample Log'!E$5:E$204,0)),"")</f>
        <v>46120</v>
      </c>
      <c r="C265" s="62">
        <v>309</v>
      </c>
      <c r="D265" s="62" t="s">
        <v>256</v>
      </c>
      <c r="E265" s="62">
        <v>1</v>
      </c>
      <c r="F265" s="64" t="s">
        <v>257</v>
      </c>
      <c r="G265" s="62" t="s">
        <v>257</v>
      </c>
      <c r="H265" s="64">
        <v>5.61</v>
      </c>
      <c r="I265" s="64">
        <v>39404.720000000001</v>
      </c>
      <c r="J265" s="64">
        <v>1296.32</v>
      </c>
      <c r="K265" s="64">
        <v>821.8</v>
      </c>
      <c r="L265" s="64">
        <v>90.03</v>
      </c>
      <c r="M265" s="64">
        <v>20.14</v>
      </c>
      <c r="N265" s="65">
        <v>120.42</v>
      </c>
      <c r="O265" s="62">
        <v>4</v>
      </c>
      <c r="P265" s="62"/>
      <c r="Q265" s="62" t="s">
        <v>258</v>
      </c>
      <c r="R265" s="61"/>
      <c r="S265" s="61"/>
    </row>
    <row r="266" spans="1:19" ht="13.8" customHeight="1" x14ac:dyDescent="0.3">
      <c r="A266" s="66" t="s">
        <v>279</v>
      </c>
      <c r="B266" s="67">
        <f>IFERROR(INDEX('Boulder Sample Log'!A$5:A$204,MATCH(A266,'Boulder Sample Log'!E$5:E$204,0)),"")</f>
        <v>46120</v>
      </c>
      <c r="C266" s="66">
        <v>310</v>
      </c>
      <c r="D266" s="66" t="s">
        <v>256</v>
      </c>
      <c r="E266" s="66">
        <v>1</v>
      </c>
      <c r="F266" s="68">
        <v>3.92</v>
      </c>
      <c r="G266" s="66" t="s">
        <v>257</v>
      </c>
      <c r="H266" s="68">
        <v>9.59</v>
      </c>
      <c r="I266" s="68">
        <v>38077.9</v>
      </c>
      <c r="J266" s="68">
        <v>529.57000000000005</v>
      </c>
      <c r="K266" s="68">
        <v>1402.78</v>
      </c>
      <c r="L266" s="68">
        <v>64.19</v>
      </c>
      <c r="M266" s="68">
        <v>17.75</v>
      </c>
      <c r="N266" s="69">
        <v>120.47</v>
      </c>
      <c r="O266" s="66">
        <v>4</v>
      </c>
      <c r="P266" s="66"/>
      <c r="Q266" s="66" t="s">
        <v>258</v>
      </c>
      <c r="R266" s="61"/>
      <c r="S266" s="61"/>
    </row>
    <row r="267" spans="1:19" ht="13.8" customHeight="1" x14ac:dyDescent="0.3">
      <c r="A267" s="62" t="s">
        <v>279</v>
      </c>
      <c r="B267" s="63">
        <f>IFERROR(INDEX('Boulder Sample Log'!A$5:A$204,MATCH(A267,'Boulder Sample Log'!E$5:E$204,0)),"")</f>
        <v>46120</v>
      </c>
      <c r="C267" s="62">
        <v>311</v>
      </c>
      <c r="D267" s="62" t="s">
        <v>256</v>
      </c>
      <c r="E267" s="62">
        <v>2</v>
      </c>
      <c r="F267" s="64">
        <v>2.42</v>
      </c>
      <c r="G267" s="62" t="s">
        <v>257</v>
      </c>
      <c r="H267" s="64">
        <v>5.99</v>
      </c>
      <c r="I267" s="64">
        <v>26438.560000000001</v>
      </c>
      <c r="J267" s="64">
        <v>395.35</v>
      </c>
      <c r="K267" s="64">
        <v>5937.61</v>
      </c>
      <c r="L267" s="64">
        <v>71.67</v>
      </c>
      <c r="M267" s="64">
        <v>19.91</v>
      </c>
      <c r="N267" s="65">
        <v>120.54</v>
      </c>
      <c r="O267" s="62">
        <v>4</v>
      </c>
      <c r="P267" s="62"/>
      <c r="Q267" s="62" t="s">
        <v>258</v>
      </c>
      <c r="R267" s="61"/>
      <c r="S267" s="61"/>
    </row>
    <row r="268" spans="1:19" ht="13.8" customHeight="1" x14ac:dyDescent="0.3">
      <c r="A268" s="66" t="s">
        <v>279</v>
      </c>
      <c r="B268" s="67">
        <f>IFERROR(INDEX('Boulder Sample Log'!A$5:A$204,MATCH(A268,'Boulder Sample Log'!E$5:E$204,0)),"")</f>
        <v>46120</v>
      </c>
      <c r="C268" s="66">
        <v>312</v>
      </c>
      <c r="D268" s="66" t="s">
        <v>256</v>
      </c>
      <c r="E268" s="66">
        <v>2</v>
      </c>
      <c r="F268" s="68" t="s">
        <v>257</v>
      </c>
      <c r="G268" s="66" t="s">
        <v>257</v>
      </c>
      <c r="H268" s="68">
        <v>7.66</v>
      </c>
      <c r="I268" s="68">
        <v>30900.33</v>
      </c>
      <c r="J268" s="68">
        <v>424.8</v>
      </c>
      <c r="K268" s="68">
        <v>5149.46</v>
      </c>
      <c r="L268" s="68">
        <v>76.930000000000007</v>
      </c>
      <c r="M268" s="68">
        <v>16.489999999999998</v>
      </c>
      <c r="N268" s="69">
        <v>120.22</v>
      </c>
      <c r="O268" s="66">
        <v>4</v>
      </c>
      <c r="P268" s="66"/>
      <c r="Q268" s="66" t="s">
        <v>258</v>
      </c>
      <c r="R268" s="61"/>
      <c r="S268" s="61"/>
    </row>
    <row r="269" spans="1:19" ht="13.8" customHeight="1" x14ac:dyDescent="0.3">
      <c r="A269" s="62" t="s">
        <v>279</v>
      </c>
      <c r="B269" s="63">
        <f>IFERROR(INDEX('Boulder Sample Log'!A$5:A$204,MATCH(A269,'Boulder Sample Log'!E$5:E$204,0)),"")</f>
        <v>46120</v>
      </c>
      <c r="C269" s="62">
        <v>313</v>
      </c>
      <c r="D269" s="62" t="s">
        <v>256</v>
      </c>
      <c r="E269" s="62">
        <v>2</v>
      </c>
      <c r="F269" s="64" t="s">
        <v>257</v>
      </c>
      <c r="G269" s="62" t="s">
        <v>257</v>
      </c>
      <c r="H269" s="64">
        <v>9.49</v>
      </c>
      <c r="I269" s="64">
        <v>27814.62</v>
      </c>
      <c r="J269" s="64">
        <v>440.05</v>
      </c>
      <c r="K269" s="64">
        <v>4879.5</v>
      </c>
      <c r="L269" s="64">
        <v>60.16</v>
      </c>
      <c r="M269" s="64">
        <v>11.71</v>
      </c>
      <c r="N269" s="65">
        <v>120.59</v>
      </c>
      <c r="O269" s="62">
        <v>4</v>
      </c>
      <c r="P269" s="62"/>
      <c r="Q269" s="62" t="s">
        <v>258</v>
      </c>
      <c r="R269" s="61"/>
      <c r="S269" s="61"/>
    </row>
    <row r="270" spans="1:19" ht="13.8" customHeight="1" x14ac:dyDescent="0.3">
      <c r="A270" s="66" t="s">
        <v>279</v>
      </c>
      <c r="B270" s="67">
        <f>IFERROR(INDEX('Boulder Sample Log'!A$5:A$204,MATCH(A270,'Boulder Sample Log'!E$5:E$204,0)),"")</f>
        <v>46120</v>
      </c>
      <c r="C270" s="66">
        <v>314</v>
      </c>
      <c r="D270" s="66" t="s">
        <v>256</v>
      </c>
      <c r="E270" s="66">
        <v>3</v>
      </c>
      <c r="F270" s="68">
        <v>2.93</v>
      </c>
      <c r="G270" s="66" t="s">
        <v>257</v>
      </c>
      <c r="H270" s="68">
        <v>9.4700000000000006</v>
      </c>
      <c r="I270" s="68">
        <v>26044.09</v>
      </c>
      <c r="J270" s="68">
        <v>368.61</v>
      </c>
      <c r="K270" s="68">
        <v>12666.43</v>
      </c>
      <c r="L270" s="68">
        <v>38.26</v>
      </c>
      <c r="M270" s="68">
        <v>19.12</v>
      </c>
      <c r="N270" s="69">
        <v>120.42</v>
      </c>
      <c r="O270" s="66">
        <v>4</v>
      </c>
      <c r="P270" s="66"/>
      <c r="Q270" s="66" t="s">
        <v>258</v>
      </c>
      <c r="R270" s="61"/>
      <c r="S270" s="61"/>
    </row>
    <row r="271" spans="1:19" ht="13.8" customHeight="1" x14ac:dyDescent="0.3">
      <c r="A271" s="62" t="s">
        <v>279</v>
      </c>
      <c r="B271" s="63">
        <f>IFERROR(INDEX('Boulder Sample Log'!A$5:A$204,MATCH(A271,'Boulder Sample Log'!E$5:E$204,0)),"")</f>
        <v>46120</v>
      </c>
      <c r="C271" s="62">
        <v>315</v>
      </c>
      <c r="D271" s="62" t="s">
        <v>256</v>
      </c>
      <c r="E271" s="62">
        <v>3</v>
      </c>
      <c r="F271" s="64">
        <v>3.23</v>
      </c>
      <c r="G271" s="62" t="s">
        <v>257</v>
      </c>
      <c r="H271" s="64">
        <v>10.98</v>
      </c>
      <c r="I271" s="64">
        <v>26719.31</v>
      </c>
      <c r="J271" s="64">
        <v>357.21</v>
      </c>
      <c r="K271" s="64">
        <v>12233.16</v>
      </c>
      <c r="L271" s="64">
        <v>42.71</v>
      </c>
      <c r="M271" s="64">
        <v>11.85</v>
      </c>
      <c r="N271" s="65">
        <v>120.44</v>
      </c>
      <c r="O271" s="62">
        <v>4</v>
      </c>
      <c r="P271" s="62"/>
      <c r="Q271" s="62" t="s">
        <v>258</v>
      </c>
      <c r="R271" s="61"/>
      <c r="S271" s="61"/>
    </row>
    <row r="272" spans="1:19" ht="13.8" customHeight="1" x14ac:dyDescent="0.3">
      <c r="A272" s="66" t="s">
        <v>279</v>
      </c>
      <c r="B272" s="67">
        <f>IFERROR(INDEX('Boulder Sample Log'!A$5:A$204,MATCH(A272,'Boulder Sample Log'!E$5:E$204,0)),"")</f>
        <v>46120</v>
      </c>
      <c r="C272" s="66">
        <v>316</v>
      </c>
      <c r="D272" s="66" t="s">
        <v>256</v>
      </c>
      <c r="E272" s="66">
        <v>3</v>
      </c>
      <c r="F272" s="68">
        <v>5.95</v>
      </c>
      <c r="G272" s="66" t="s">
        <v>257</v>
      </c>
      <c r="H272" s="68">
        <v>9</v>
      </c>
      <c r="I272" s="68">
        <v>27946.91</v>
      </c>
      <c r="J272" s="68">
        <v>338.43</v>
      </c>
      <c r="K272" s="68">
        <v>15032.65</v>
      </c>
      <c r="L272" s="68">
        <v>46.31</v>
      </c>
      <c r="M272" s="68">
        <v>12.54</v>
      </c>
      <c r="N272" s="69">
        <v>120.35</v>
      </c>
      <c r="O272" s="66">
        <v>4</v>
      </c>
      <c r="P272" s="66"/>
      <c r="Q272" s="66" t="s">
        <v>258</v>
      </c>
      <c r="R272" s="61"/>
      <c r="S272" s="61"/>
    </row>
    <row r="273" spans="1:19" ht="13.8" customHeight="1" x14ac:dyDescent="0.3">
      <c r="A273" s="62" t="s">
        <v>279</v>
      </c>
      <c r="B273" s="63">
        <f>IFERROR(INDEX('Boulder Sample Log'!A$5:A$204,MATCH(A273,'Boulder Sample Log'!E$5:E$204,0)),"")</f>
        <v>46120</v>
      </c>
      <c r="C273" s="62">
        <v>317</v>
      </c>
      <c r="D273" s="62" t="s">
        <v>256</v>
      </c>
      <c r="E273" s="62">
        <v>4</v>
      </c>
      <c r="F273" s="64" t="s">
        <v>257</v>
      </c>
      <c r="G273" s="62" t="s">
        <v>257</v>
      </c>
      <c r="H273" s="64">
        <v>8.34</v>
      </c>
      <c r="I273" s="64">
        <v>35710.800000000003</v>
      </c>
      <c r="J273" s="64">
        <v>519.80999999999995</v>
      </c>
      <c r="K273" s="64">
        <v>2463.54</v>
      </c>
      <c r="L273" s="64">
        <v>74.38</v>
      </c>
      <c r="M273" s="64">
        <v>20.9</v>
      </c>
      <c r="N273" s="65">
        <v>120.36</v>
      </c>
      <c r="O273" s="62">
        <v>4</v>
      </c>
      <c r="P273" s="62"/>
      <c r="Q273" s="62" t="s">
        <v>258</v>
      </c>
      <c r="R273" s="61"/>
      <c r="S273" s="61"/>
    </row>
    <row r="274" spans="1:19" ht="13.8" customHeight="1" x14ac:dyDescent="0.3">
      <c r="A274" s="66" t="s">
        <v>279</v>
      </c>
      <c r="B274" s="67">
        <f>IFERROR(INDEX('Boulder Sample Log'!A$5:A$204,MATCH(A274,'Boulder Sample Log'!E$5:E$204,0)),"")</f>
        <v>46120</v>
      </c>
      <c r="C274" s="66">
        <v>319</v>
      </c>
      <c r="D274" s="66" t="s">
        <v>256</v>
      </c>
      <c r="E274" s="66">
        <v>4</v>
      </c>
      <c r="F274" s="68" t="s">
        <v>257</v>
      </c>
      <c r="G274" s="66" t="s">
        <v>257</v>
      </c>
      <c r="H274" s="68">
        <v>6.36</v>
      </c>
      <c r="I274" s="68">
        <v>28501.24</v>
      </c>
      <c r="J274" s="68">
        <v>322.64999999999998</v>
      </c>
      <c r="K274" s="68">
        <v>10935.99</v>
      </c>
      <c r="L274" s="68">
        <v>61.77</v>
      </c>
      <c r="M274" s="68">
        <v>20.23</v>
      </c>
      <c r="N274" s="69">
        <v>120.51</v>
      </c>
      <c r="O274" s="66">
        <v>4</v>
      </c>
      <c r="P274" s="66"/>
      <c r="Q274" s="66" t="s">
        <v>258</v>
      </c>
      <c r="R274" s="61"/>
      <c r="S274" s="61"/>
    </row>
    <row r="275" spans="1:19" ht="13.8" customHeight="1" x14ac:dyDescent="0.3">
      <c r="A275" s="62" t="s">
        <v>279</v>
      </c>
      <c r="B275" s="63">
        <f>IFERROR(INDEX('Boulder Sample Log'!A$5:A$204,MATCH(A275,'Boulder Sample Log'!E$5:E$204,0)),"")</f>
        <v>46120</v>
      </c>
      <c r="C275" s="62">
        <v>320</v>
      </c>
      <c r="D275" s="62" t="s">
        <v>256</v>
      </c>
      <c r="E275" s="62">
        <v>4</v>
      </c>
      <c r="F275" s="64" t="s">
        <v>257</v>
      </c>
      <c r="G275" s="62" t="s">
        <v>257</v>
      </c>
      <c r="H275" s="64">
        <v>5.65</v>
      </c>
      <c r="I275" s="64">
        <v>27994.79</v>
      </c>
      <c r="J275" s="64">
        <v>305.23</v>
      </c>
      <c r="K275" s="64">
        <v>13591.04</v>
      </c>
      <c r="L275" s="64">
        <v>58.17</v>
      </c>
      <c r="M275" s="64">
        <v>18.41</v>
      </c>
      <c r="N275" s="65">
        <v>120.28</v>
      </c>
      <c r="O275" s="62">
        <v>4</v>
      </c>
      <c r="P275" s="62"/>
      <c r="Q275" s="62" t="s">
        <v>258</v>
      </c>
      <c r="R275" s="61"/>
      <c r="S275" s="61"/>
    </row>
    <row r="276" spans="1:19" ht="13.8" customHeight="1" x14ac:dyDescent="0.3">
      <c r="A276" s="66" t="s">
        <v>279</v>
      </c>
      <c r="B276" s="67">
        <f>IFERROR(INDEX('Boulder Sample Log'!A$5:A$204,MATCH(A276,'Boulder Sample Log'!E$5:E$204,0)),"")</f>
        <v>46120</v>
      </c>
      <c r="C276" s="66">
        <v>321</v>
      </c>
      <c r="D276" s="66" t="s">
        <v>256</v>
      </c>
      <c r="E276" s="66">
        <v>5</v>
      </c>
      <c r="F276" s="68">
        <v>4.6500000000000004</v>
      </c>
      <c r="G276" s="66" t="s">
        <v>257</v>
      </c>
      <c r="H276" s="68">
        <v>7.98</v>
      </c>
      <c r="I276" s="68">
        <v>35621.17</v>
      </c>
      <c r="J276" s="68">
        <v>470.55</v>
      </c>
      <c r="K276" s="68">
        <v>3827.29</v>
      </c>
      <c r="L276" s="68">
        <v>61.81</v>
      </c>
      <c r="M276" s="68">
        <v>16.45</v>
      </c>
      <c r="N276" s="69">
        <v>120.24</v>
      </c>
      <c r="O276" s="66">
        <v>4</v>
      </c>
      <c r="P276" s="66"/>
      <c r="Q276" s="66" t="s">
        <v>258</v>
      </c>
      <c r="R276" s="61"/>
      <c r="S276" s="61"/>
    </row>
    <row r="277" spans="1:19" ht="13.8" customHeight="1" x14ac:dyDescent="0.3">
      <c r="A277" s="62" t="s">
        <v>279</v>
      </c>
      <c r="B277" s="63">
        <f>IFERROR(INDEX('Boulder Sample Log'!A$5:A$204,MATCH(A277,'Boulder Sample Log'!E$5:E$204,0)),"")</f>
        <v>46120</v>
      </c>
      <c r="C277" s="62">
        <v>322</v>
      </c>
      <c r="D277" s="62" t="s">
        <v>256</v>
      </c>
      <c r="E277" s="62">
        <v>5</v>
      </c>
      <c r="F277" s="64" t="s">
        <v>257</v>
      </c>
      <c r="G277" s="62" t="s">
        <v>257</v>
      </c>
      <c r="H277" s="64">
        <v>6.42</v>
      </c>
      <c r="I277" s="64">
        <v>36481.65</v>
      </c>
      <c r="J277" s="64">
        <v>485.89</v>
      </c>
      <c r="K277" s="64">
        <v>3177.59</v>
      </c>
      <c r="L277" s="64">
        <v>59.52</v>
      </c>
      <c r="M277" s="64">
        <v>6.39</v>
      </c>
      <c r="N277" s="65">
        <v>120.48</v>
      </c>
      <c r="O277" s="62">
        <v>4</v>
      </c>
      <c r="P277" s="62"/>
      <c r="Q277" s="62" t="s">
        <v>258</v>
      </c>
      <c r="R277" s="61"/>
      <c r="S277" s="61"/>
    </row>
    <row r="278" spans="1:19" ht="13.8" customHeight="1" x14ac:dyDescent="0.3">
      <c r="A278" s="66" t="s">
        <v>279</v>
      </c>
      <c r="B278" s="67">
        <f>IFERROR(INDEX('Boulder Sample Log'!A$5:A$204,MATCH(A278,'Boulder Sample Log'!E$5:E$204,0)),"")</f>
        <v>46120</v>
      </c>
      <c r="C278" s="66">
        <v>323</v>
      </c>
      <c r="D278" s="66" t="s">
        <v>256</v>
      </c>
      <c r="E278" s="66">
        <v>5</v>
      </c>
      <c r="F278" s="68">
        <v>4.88</v>
      </c>
      <c r="G278" s="66" t="s">
        <v>257</v>
      </c>
      <c r="H278" s="68">
        <v>9.34</v>
      </c>
      <c r="I278" s="68">
        <v>35053.4</v>
      </c>
      <c r="J278" s="68">
        <v>484.8</v>
      </c>
      <c r="K278" s="68">
        <v>5779.67</v>
      </c>
      <c r="L278" s="68">
        <v>49.81</v>
      </c>
      <c r="M278" s="68">
        <v>16.38</v>
      </c>
      <c r="N278" s="69">
        <v>120.24</v>
      </c>
      <c r="O278" s="66">
        <v>4</v>
      </c>
      <c r="P278" s="66"/>
      <c r="Q278" s="66" t="s">
        <v>258</v>
      </c>
      <c r="R278" s="61"/>
      <c r="S278" s="61"/>
    </row>
    <row r="279" spans="1:19" ht="13.8" customHeight="1" x14ac:dyDescent="0.3">
      <c r="A279" s="62" t="s">
        <v>280</v>
      </c>
      <c r="B279" s="63">
        <f>IFERROR(INDEX('Boulder Sample Log'!A$5:A$204,MATCH(A279,'Boulder Sample Log'!E$5:E$204,0)),"")</f>
        <v>46120</v>
      </c>
      <c r="C279" s="62">
        <v>324</v>
      </c>
      <c r="D279" s="62" t="s">
        <v>256</v>
      </c>
      <c r="E279" s="62">
        <v>1</v>
      </c>
      <c r="F279" s="64">
        <v>14.93</v>
      </c>
      <c r="G279" s="62">
        <v>3.81</v>
      </c>
      <c r="H279" s="64" t="s">
        <v>257</v>
      </c>
      <c r="I279" s="64">
        <v>322.29000000000002</v>
      </c>
      <c r="J279" s="64" t="s">
        <v>257</v>
      </c>
      <c r="K279" s="64">
        <v>121.14</v>
      </c>
      <c r="L279" s="64">
        <v>23.57</v>
      </c>
      <c r="M279" s="64" t="s">
        <v>257</v>
      </c>
      <c r="N279" s="65">
        <v>120.46</v>
      </c>
      <c r="O279" s="62">
        <v>4</v>
      </c>
      <c r="P279" s="62"/>
      <c r="Q279" s="62" t="s">
        <v>258</v>
      </c>
      <c r="R279" s="61"/>
      <c r="S279" s="61"/>
    </row>
    <row r="280" spans="1:19" ht="13.8" customHeight="1" x14ac:dyDescent="0.3">
      <c r="A280" s="66" t="s">
        <v>280</v>
      </c>
      <c r="B280" s="67">
        <f>IFERROR(INDEX('Boulder Sample Log'!A$5:A$204,MATCH(A280,'Boulder Sample Log'!E$5:E$204,0)),"")</f>
        <v>46120</v>
      </c>
      <c r="C280" s="66">
        <v>325</v>
      </c>
      <c r="D280" s="66" t="s">
        <v>256</v>
      </c>
      <c r="E280" s="66">
        <v>1</v>
      </c>
      <c r="F280" s="68">
        <v>68.7</v>
      </c>
      <c r="G280" s="66">
        <v>2.2000000000000002</v>
      </c>
      <c r="H280" s="68">
        <v>3.89</v>
      </c>
      <c r="I280" s="68">
        <v>490.37</v>
      </c>
      <c r="J280" s="68" t="s">
        <v>257</v>
      </c>
      <c r="K280" s="68">
        <v>190.53</v>
      </c>
      <c r="L280" s="68">
        <v>115.55</v>
      </c>
      <c r="M280" s="68" t="s">
        <v>257</v>
      </c>
      <c r="N280" s="69">
        <v>120.44</v>
      </c>
      <c r="O280" s="66">
        <v>4</v>
      </c>
      <c r="P280" s="66"/>
      <c r="Q280" s="66" t="s">
        <v>258</v>
      </c>
      <c r="R280" s="61"/>
      <c r="S280" s="61"/>
    </row>
    <row r="281" spans="1:19" ht="13.8" customHeight="1" x14ac:dyDescent="0.3">
      <c r="A281" s="62" t="s">
        <v>280</v>
      </c>
      <c r="B281" s="63">
        <f>IFERROR(INDEX('Boulder Sample Log'!A$5:A$204,MATCH(A281,'Boulder Sample Log'!E$5:E$204,0)),"")</f>
        <v>46120</v>
      </c>
      <c r="C281" s="62">
        <v>326</v>
      </c>
      <c r="D281" s="62" t="s">
        <v>256</v>
      </c>
      <c r="E281" s="62">
        <v>1</v>
      </c>
      <c r="F281" s="64">
        <v>143.87</v>
      </c>
      <c r="G281" s="62" t="s">
        <v>257</v>
      </c>
      <c r="H281" s="64">
        <v>7.86</v>
      </c>
      <c r="I281" s="64">
        <v>269.94</v>
      </c>
      <c r="J281" s="64" t="s">
        <v>257</v>
      </c>
      <c r="K281" s="64">
        <v>711.21</v>
      </c>
      <c r="L281" s="64">
        <v>33.409999999999997</v>
      </c>
      <c r="M281" s="64" t="s">
        <v>257</v>
      </c>
      <c r="N281" s="65">
        <v>122.93</v>
      </c>
      <c r="O281" s="62">
        <v>4</v>
      </c>
      <c r="P281" s="62"/>
      <c r="Q281" s="62" t="s">
        <v>258</v>
      </c>
      <c r="R281" s="61"/>
      <c r="S281" s="61"/>
    </row>
    <row r="282" spans="1:19" ht="13.8" customHeight="1" x14ac:dyDescent="0.3">
      <c r="A282" s="66" t="s">
        <v>280</v>
      </c>
      <c r="B282" s="67">
        <f>IFERROR(INDEX('Boulder Sample Log'!A$5:A$204,MATCH(A282,'Boulder Sample Log'!E$5:E$204,0)),"")</f>
        <v>46120</v>
      </c>
      <c r="C282" s="66">
        <v>327</v>
      </c>
      <c r="D282" s="66" t="s">
        <v>256</v>
      </c>
      <c r="E282" s="66">
        <v>2</v>
      </c>
      <c r="F282" s="68">
        <v>27.14</v>
      </c>
      <c r="G282" s="66" t="s">
        <v>257</v>
      </c>
      <c r="H282" s="68" t="s">
        <v>257</v>
      </c>
      <c r="I282" s="68">
        <v>339.5</v>
      </c>
      <c r="J282" s="68" t="s">
        <v>257</v>
      </c>
      <c r="K282" s="68">
        <v>736.57</v>
      </c>
      <c r="L282" s="68">
        <v>56.76</v>
      </c>
      <c r="M282" s="68" t="s">
        <v>257</v>
      </c>
      <c r="N282" s="69">
        <v>120.59</v>
      </c>
      <c r="O282" s="66">
        <v>4</v>
      </c>
      <c r="P282" s="66"/>
      <c r="Q282" s="66" t="s">
        <v>258</v>
      </c>
      <c r="R282" s="61"/>
      <c r="S282" s="61"/>
    </row>
    <row r="283" spans="1:19" ht="13.8" customHeight="1" x14ac:dyDescent="0.3">
      <c r="A283" s="62" t="s">
        <v>280</v>
      </c>
      <c r="B283" s="63">
        <f>IFERROR(INDEX('Boulder Sample Log'!A$5:A$204,MATCH(A283,'Boulder Sample Log'!E$5:E$204,0)),"")</f>
        <v>46120</v>
      </c>
      <c r="C283" s="62">
        <v>328</v>
      </c>
      <c r="D283" s="62" t="s">
        <v>256</v>
      </c>
      <c r="E283" s="62">
        <v>2</v>
      </c>
      <c r="F283" s="64">
        <v>23.19</v>
      </c>
      <c r="G283" s="62" t="s">
        <v>257</v>
      </c>
      <c r="H283" s="64" t="s">
        <v>257</v>
      </c>
      <c r="I283" s="64">
        <v>253.25</v>
      </c>
      <c r="J283" s="64" t="s">
        <v>257</v>
      </c>
      <c r="K283" s="64">
        <v>507.09</v>
      </c>
      <c r="L283" s="64">
        <v>42.6</v>
      </c>
      <c r="M283" s="64" t="s">
        <v>257</v>
      </c>
      <c r="N283" s="65">
        <v>120.09</v>
      </c>
      <c r="O283" s="62">
        <v>4</v>
      </c>
      <c r="P283" s="62"/>
      <c r="Q283" s="62" t="s">
        <v>258</v>
      </c>
      <c r="R283" s="61"/>
      <c r="S283" s="61"/>
    </row>
    <row r="284" spans="1:19" ht="13.8" customHeight="1" x14ac:dyDescent="0.3">
      <c r="A284" s="66" t="s">
        <v>280</v>
      </c>
      <c r="B284" s="67">
        <f>IFERROR(INDEX('Boulder Sample Log'!A$5:A$204,MATCH(A284,'Boulder Sample Log'!E$5:E$204,0)),"")</f>
        <v>46120</v>
      </c>
      <c r="C284" s="66">
        <v>329</v>
      </c>
      <c r="D284" s="66" t="s">
        <v>256</v>
      </c>
      <c r="E284" s="66">
        <v>2</v>
      </c>
      <c r="F284" s="68">
        <v>26.56</v>
      </c>
      <c r="G284" s="66" t="s">
        <v>257</v>
      </c>
      <c r="H284" s="68" t="s">
        <v>257</v>
      </c>
      <c r="I284" s="68">
        <v>290.04000000000002</v>
      </c>
      <c r="J284" s="68" t="s">
        <v>257</v>
      </c>
      <c r="K284" s="68">
        <v>574.95000000000005</v>
      </c>
      <c r="L284" s="68">
        <v>56.85</v>
      </c>
      <c r="M284" s="68" t="s">
        <v>257</v>
      </c>
      <c r="N284" s="69">
        <v>120.27</v>
      </c>
      <c r="O284" s="66">
        <v>4</v>
      </c>
      <c r="P284" s="66"/>
      <c r="Q284" s="66" t="s">
        <v>258</v>
      </c>
      <c r="R284" s="61"/>
      <c r="S284" s="61"/>
    </row>
    <row r="285" spans="1:19" ht="13.8" customHeight="1" x14ac:dyDescent="0.3">
      <c r="A285" s="62" t="s">
        <v>280</v>
      </c>
      <c r="B285" s="63">
        <f>IFERROR(INDEX('Boulder Sample Log'!A$5:A$204,MATCH(A285,'Boulder Sample Log'!E$5:E$204,0)),"")</f>
        <v>46120</v>
      </c>
      <c r="C285" s="62">
        <v>330</v>
      </c>
      <c r="D285" s="62" t="s">
        <v>256</v>
      </c>
      <c r="E285" s="62">
        <v>3</v>
      </c>
      <c r="F285" s="64">
        <v>251.71</v>
      </c>
      <c r="G285" s="62" t="s">
        <v>257</v>
      </c>
      <c r="H285" s="64" t="s">
        <v>257</v>
      </c>
      <c r="I285" s="64">
        <v>29.92</v>
      </c>
      <c r="J285" s="64" t="s">
        <v>257</v>
      </c>
      <c r="K285" s="64">
        <v>231.5</v>
      </c>
      <c r="L285" s="64" t="s">
        <v>257</v>
      </c>
      <c r="M285" s="64" t="s">
        <v>257</v>
      </c>
      <c r="N285" s="65">
        <v>120.37</v>
      </c>
      <c r="O285" s="62">
        <v>4</v>
      </c>
      <c r="P285" s="62"/>
      <c r="Q285" s="62" t="s">
        <v>258</v>
      </c>
      <c r="R285" s="61"/>
      <c r="S285" s="61"/>
    </row>
    <row r="286" spans="1:19" ht="13.8" customHeight="1" x14ac:dyDescent="0.3">
      <c r="A286" s="66" t="s">
        <v>280</v>
      </c>
      <c r="B286" s="67">
        <f>IFERROR(INDEX('Boulder Sample Log'!A$5:A$204,MATCH(A286,'Boulder Sample Log'!E$5:E$204,0)),"")</f>
        <v>46120</v>
      </c>
      <c r="C286" s="66">
        <v>331</v>
      </c>
      <c r="D286" s="66" t="s">
        <v>256</v>
      </c>
      <c r="E286" s="66">
        <v>3</v>
      </c>
      <c r="F286" s="68">
        <v>85.32</v>
      </c>
      <c r="G286" s="66" t="s">
        <v>257</v>
      </c>
      <c r="H286" s="68" t="s">
        <v>257</v>
      </c>
      <c r="I286" s="68">
        <v>39.130000000000003</v>
      </c>
      <c r="J286" s="68" t="s">
        <v>257</v>
      </c>
      <c r="K286" s="68">
        <v>442.5</v>
      </c>
      <c r="L286" s="68">
        <v>23.16</v>
      </c>
      <c r="M286" s="68" t="s">
        <v>257</v>
      </c>
      <c r="N286" s="69">
        <v>120.23</v>
      </c>
      <c r="O286" s="66">
        <v>4</v>
      </c>
      <c r="P286" s="66"/>
      <c r="Q286" s="66" t="s">
        <v>258</v>
      </c>
      <c r="R286" s="61"/>
      <c r="S286" s="61"/>
    </row>
    <row r="287" spans="1:19" ht="13.8" customHeight="1" x14ac:dyDescent="0.3">
      <c r="A287" s="62" t="s">
        <v>280</v>
      </c>
      <c r="B287" s="63">
        <f>IFERROR(INDEX('Boulder Sample Log'!A$5:A$204,MATCH(A287,'Boulder Sample Log'!E$5:E$204,0)),"")</f>
        <v>46120</v>
      </c>
      <c r="C287" s="62">
        <v>332</v>
      </c>
      <c r="D287" s="62" t="s">
        <v>256</v>
      </c>
      <c r="E287" s="62">
        <v>3</v>
      </c>
      <c r="F287" s="64">
        <v>186.36</v>
      </c>
      <c r="G287" s="62" t="s">
        <v>257</v>
      </c>
      <c r="H287" s="64" t="s">
        <v>257</v>
      </c>
      <c r="I287" s="64">
        <v>64.39</v>
      </c>
      <c r="J287" s="64" t="s">
        <v>257</v>
      </c>
      <c r="K287" s="64">
        <v>563.29</v>
      </c>
      <c r="L287" s="64" t="s">
        <v>257</v>
      </c>
      <c r="M287" s="64" t="s">
        <v>257</v>
      </c>
      <c r="N287" s="65">
        <v>120.22</v>
      </c>
      <c r="O287" s="62">
        <v>4</v>
      </c>
      <c r="P287" s="62"/>
      <c r="Q287" s="62" t="s">
        <v>258</v>
      </c>
      <c r="R287" s="61"/>
      <c r="S287" s="61"/>
    </row>
    <row r="288" spans="1:19" ht="13.8" customHeight="1" x14ac:dyDescent="0.3">
      <c r="A288" s="66" t="s">
        <v>280</v>
      </c>
      <c r="B288" s="67">
        <f>IFERROR(INDEX('Boulder Sample Log'!A$5:A$204,MATCH(A288,'Boulder Sample Log'!E$5:E$204,0)),"")</f>
        <v>46120</v>
      </c>
      <c r="C288" s="66">
        <v>333</v>
      </c>
      <c r="D288" s="66" t="s">
        <v>256</v>
      </c>
      <c r="E288" s="66">
        <v>4</v>
      </c>
      <c r="F288" s="68">
        <v>76.94</v>
      </c>
      <c r="G288" s="66" t="s">
        <v>257</v>
      </c>
      <c r="H288" s="68">
        <v>4.96</v>
      </c>
      <c r="I288" s="68">
        <v>571.94000000000005</v>
      </c>
      <c r="J288" s="68" t="s">
        <v>257</v>
      </c>
      <c r="K288" s="68">
        <v>434.21</v>
      </c>
      <c r="L288" s="68">
        <v>84.49</v>
      </c>
      <c r="M288" s="68" t="s">
        <v>257</v>
      </c>
      <c r="N288" s="69">
        <v>120.41</v>
      </c>
      <c r="O288" s="66">
        <v>4</v>
      </c>
      <c r="P288" s="66"/>
      <c r="Q288" s="66" t="s">
        <v>258</v>
      </c>
      <c r="R288" s="61"/>
      <c r="S288" s="61"/>
    </row>
    <row r="289" spans="1:19" ht="13.8" customHeight="1" x14ac:dyDescent="0.3">
      <c r="A289" s="62" t="s">
        <v>280</v>
      </c>
      <c r="B289" s="63">
        <f>IFERROR(INDEX('Boulder Sample Log'!A$5:A$204,MATCH(A289,'Boulder Sample Log'!E$5:E$204,0)),"")</f>
        <v>46120</v>
      </c>
      <c r="C289" s="62">
        <v>334</v>
      </c>
      <c r="D289" s="62" t="s">
        <v>256</v>
      </c>
      <c r="E289" s="62">
        <v>4</v>
      </c>
      <c r="F289" s="64">
        <v>71.010000000000005</v>
      </c>
      <c r="G289" s="62" t="s">
        <v>257</v>
      </c>
      <c r="H289" s="64">
        <v>2.78</v>
      </c>
      <c r="I289" s="64">
        <v>639.29999999999995</v>
      </c>
      <c r="J289" s="64" t="s">
        <v>257</v>
      </c>
      <c r="K289" s="64">
        <v>441.89</v>
      </c>
      <c r="L289" s="64">
        <v>36.33</v>
      </c>
      <c r="M289" s="64">
        <v>4.1900000000000004</v>
      </c>
      <c r="N289" s="65">
        <v>120.51</v>
      </c>
      <c r="O289" s="62">
        <v>4</v>
      </c>
      <c r="P289" s="62"/>
      <c r="Q289" s="62" t="s">
        <v>258</v>
      </c>
      <c r="R289" s="61"/>
      <c r="S289" s="61"/>
    </row>
    <row r="290" spans="1:19" ht="13.8" customHeight="1" x14ac:dyDescent="0.3">
      <c r="A290" s="66" t="s">
        <v>280</v>
      </c>
      <c r="B290" s="67">
        <f>IFERROR(INDEX('Boulder Sample Log'!A$5:A$204,MATCH(A290,'Boulder Sample Log'!E$5:E$204,0)),"")</f>
        <v>46120</v>
      </c>
      <c r="C290" s="66">
        <v>335</v>
      </c>
      <c r="D290" s="66" t="s">
        <v>256</v>
      </c>
      <c r="E290" s="66">
        <v>4</v>
      </c>
      <c r="F290" s="68">
        <v>59.37</v>
      </c>
      <c r="G290" s="66">
        <v>1.57</v>
      </c>
      <c r="H290" s="68" t="s">
        <v>257</v>
      </c>
      <c r="I290" s="68">
        <v>537.88</v>
      </c>
      <c r="J290" s="68" t="s">
        <v>257</v>
      </c>
      <c r="K290" s="68">
        <v>475.06</v>
      </c>
      <c r="L290" s="68">
        <v>42.73</v>
      </c>
      <c r="M290" s="68" t="s">
        <v>257</v>
      </c>
      <c r="N290" s="69">
        <v>120.47</v>
      </c>
      <c r="O290" s="66">
        <v>4</v>
      </c>
      <c r="P290" s="66"/>
      <c r="Q290" s="66" t="s">
        <v>258</v>
      </c>
      <c r="R290" s="61"/>
      <c r="S290" s="61"/>
    </row>
    <row r="291" spans="1:19" ht="13.8" customHeight="1" x14ac:dyDescent="0.3">
      <c r="A291" s="62" t="s">
        <v>280</v>
      </c>
      <c r="B291" s="63">
        <f>IFERROR(INDEX('Boulder Sample Log'!A$5:A$204,MATCH(A291,'Boulder Sample Log'!E$5:E$204,0)),"")</f>
        <v>46120</v>
      </c>
      <c r="C291" s="62">
        <v>336</v>
      </c>
      <c r="D291" s="62" t="s">
        <v>256</v>
      </c>
      <c r="E291" s="62">
        <v>5</v>
      </c>
      <c r="F291" s="64">
        <v>26.73</v>
      </c>
      <c r="G291" s="62" t="s">
        <v>257</v>
      </c>
      <c r="H291" s="64" t="s">
        <v>257</v>
      </c>
      <c r="I291" s="64">
        <v>35.03</v>
      </c>
      <c r="J291" s="64" t="s">
        <v>257</v>
      </c>
      <c r="K291" s="64" t="s">
        <v>257</v>
      </c>
      <c r="L291" s="64">
        <v>4.8899999999999997</v>
      </c>
      <c r="M291" s="64" t="s">
        <v>257</v>
      </c>
      <c r="N291" s="65">
        <v>120.37</v>
      </c>
      <c r="O291" s="62">
        <v>4</v>
      </c>
      <c r="P291" s="62"/>
      <c r="Q291" s="62" t="s">
        <v>258</v>
      </c>
      <c r="R291" s="61"/>
      <c r="S291" s="61"/>
    </row>
    <row r="292" spans="1:19" ht="13.8" customHeight="1" x14ac:dyDescent="0.3">
      <c r="A292" s="66" t="s">
        <v>280</v>
      </c>
      <c r="B292" s="67">
        <f>IFERROR(INDEX('Boulder Sample Log'!A$5:A$204,MATCH(A292,'Boulder Sample Log'!E$5:E$204,0)),"")</f>
        <v>46120</v>
      </c>
      <c r="C292" s="66">
        <v>337</v>
      </c>
      <c r="D292" s="66" t="s">
        <v>256</v>
      </c>
      <c r="E292" s="66">
        <v>5</v>
      </c>
      <c r="F292" s="68">
        <v>23.22</v>
      </c>
      <c r="G292" s="66" t="s">
        <v>257</v>
      </c>
      <c r="H292" s="68" t="s">
        <v>257</v>
      </c>
      <c r="I292" s="68">
        <v>53.21</v>
      </c>
      <c r="J292" s="68" t="s">
        <v>257</v>
      </c>
      <c r="K292" s="68">
        <v>94.63</v>
      </c>
      <c r="L292" s="68">
        <v>4.82</v>
      </c>
      <c r="M292" s="68" t="s">
        <v>257</v>
      </c>
      <c r="N292" s="69">
        <v>120.45</v>
      </c>
      <c r="O292" s="66">
        <v>4</v>
      </c>
      <c r="P292" s="66"/>
      <c r="Q292" s="66" t="s">
        <v>258</v>
      </c>
      <c r="R292" s="61"/>
      <c r="S292" s="61"/>
    </row>
    <row r="293" spans="1:19" ht="13.8" customHeight="1" x14ac:dyDescent="0.3">
      <c r="A293" s="62" t="s">
        <v>280</v>
      </c>
      <c r="B293" s="63">
        <f>IFERROR(INDEX('Boulder Sample Log'!A$5:A$204,MATCH(A293,'Boulder Sample Log'!E$5:E$204,0)),"")</f>
        <v>46120</v>
      </c>
      <c r="C293" s="62">
        <v>338</v>
      </c>
      <c r="D293" s="62" t="s">
        <v>256</v>
      </c>
      <c r="E293" s="62">
        <v>5</v>
      </c>
      <c r="F293" s="64">
        <v>27.78</v>
      </c>
      <c r="G293" s="62" t="s">
        <v>257</v>
      </c>
      <c r="H293" s="64" t="s">
        <v>257</v>
      </c>
      <c r="I293" s="64">
        <v>36.54</v>
      </c>
      <c r="J293" s="64" t="s">
        <v>257</v>
      </c>
      <c r="K293" s="64">
        <v>73.61</v>
      </c>
      <c r="L293" s="64" t="s">
        <v>257</v>
      </c>
      <c r="M293" s="64" t="s">
        <v>257</v>
      </c>
      <c r="N293" s="65">
        <v>120.34</v>
      </c>
      <c r="O293" s="62">
        <v>4</v>
      </c>
      <c r="P293" s="62"/>
      <c r="Q293" s="62" t="s">
        <v>258</v>
      </c>
      <c r="R293" s="61"/>
      <c r="S293" s="61"/>
    </row>
    <row r="294" spans="1:19" ht="13.8" customHeight="1" x14ac:dyDescent="0.3">
      <c r="A294" s="66" t="s">
        <v>281</v>
      </c>
      <c r="B294" s="67">
        <f>IFERROR(INDEX('Boulder Sample Log'!A$5:A$204,MATCH(A294,'Boulder Sample Log'!E$5:E$204,0)),"")</f>
        <v>46120</v>
      </c>
      <c r="C294" s="66">
        <v>339</v>
      </c>
      <c r="D294" s="66" t="s">
        <v>256</v>
      </c>
      <c r="E294" s="66">
        <v>1</v>
      </c>
      <c r="F294" s="68">
        <v>81.42</v>
      </c>
      <c r="G294" s="66">
        <v>13.52</v>
      </c>
      <c r="H294" s="68">
        <v>39.35</v>
      </c>
      <c r="I294" s="68">
        <v>35550.93</v>
      </c>
      <c r="J294" s="68">
        <v>281.36</v>
      </c>
      <c r="K294" s="68">
        <v>9378.98</v>
      </c>
      <c r="L294" s="68">
        <v>46.42</v>
      </c>
      <c r="M294" s="68">
        <v>8.02</v>
      </c>
      <c r="N294" s="69">
        <v>122.86</v>
      </c>
      <c r="O294" s="66">
        <v>4</v>
      </c>
      <c r="P294" s="66"/>
      <c r="Q294" s="66" t="s">
        <v>258</v>
      </c>
      <c r="R294" s="61"/>
      <c r="S294" s="61"/>
    </row>
    <row r="295" spans="1:19" ht="13.8" customHeight="1" x14ac:dyDescent="0.3">
      <c r="A295" s="62" t="s">
        <v>281</v>
      </c>
      <c r="B295" s="63">
        <f>IFERROR(INDEX('Boulder Sample Log'!A$5:A$204,MATCH(A295,'Boulder Sample Log'!E$5:E$204,0)),"")</f>
        <v>46120</v>
      </c>
      <c r="C295" s="62">
        <v>340</v>
      </c>
      <c r="D295" s="62" t="s">
        <v>256</v>
      </c>
      <c r="E295" s="62">
        <v>1</v>
      </c>
      <c r="F295" s="64">
        <v>13.35</v>
      </c>
      <c r="G295" s="62" t="s">
        <v>257</v>
      </c>
      <c r="H295" s="64">
        <v>7.75</v>
      </c>
      <c r="I295" s="64">
        <v>29873.81</v>
      </c>
      <c r="J295" s="64">
        <v>428.61</v>
      </c>
      <c r="K295" s="64">
        <v>4428.8</v>
      </c>
      <c r="L295" s="64">
        <v>46.58</v>
      </c>
      <c r="M295" s="64">
        <v>10.3</v>
      </c>
      <c r="N295" s="65">
        <v>122.84</v>
      </c>
      <c r="O295" s="62">
        <v>4</v>
      </c>
      <c r="P295" s="62"/>
      <c r="Q295" s="62" t="s">
        <v>258</v>
      </c>
      <c r="R295" s="61"/>
      <c r="S295" s="61"/>
    </row>
    <row r="296" spans="1:19" ht="13.8" customHeight="1" x14ac:dyDescent="0.3">
      <c r="A296" s="66" t="s">
        <v>281</v>
      </c>
      <c r="B296" s="67">
        <f>IFERROR(INDEX('Boulder Sample Log'!A$5:A$204,MATCH(A296,'Boulder Sample Log'!E$5:E$204,0)),"")</f>
        <v>46120</v>
      </c>
      <c r="C296" s="66">
        <v>341</v>
      </c>
      <c r="D296" s="66" t="s">
        <v>256</v>
      </c>
      <c r="E296" s="66">
        <v>1</v>
      </c>
      <c r="F296" s="68">
        <v>3.54</v>
      </c>
      <c r="G296" s="66" t="s">
        <v>257</v>
      </c>
      <c r="H296" s="68">
        <v>8.1999999999999993</v>
      </c>
      <c r="I296" s="68">
        <v>28940.02</v>
      </c>
      <c r="J296" s="68">
        <v>434.38</v>
      </c>
      <c r="K296" s="68">
        <v>4918.32</v>
      </c>
      <c r="L296" s="68">
        <v>40.869999999999997</v>
      </c>
      <c r="M296" s="68">
        <v>5.2</v>
      </c>
      <c r="N296" s="69">
        <v>122.83</v>
      </c>
      <c r="O296" s="66">
        <v>4</v>
      </c>
      <c r="P296" s="66"/>
      <c r="Q296" s="66" t="s">
        <v>258</v>
      </c>
      <c r="R296" s="61"/>
      <c r="S296" s="61"/>
    </row>
    <row r="297" spans="1:19" ht="13.8" customHeight="1" x14ac:dyDescent="0.3">
      <c r="A297" s="62" t="s">
        <v>281</v>
      </c>
      <c r="B297" s="63">
        <f>IFERROR(INDEX('Boulder Sample Log'!A$5:A$204,MATCH(A297,'Boulder Sample Log'!E$5:E$204,0)),"")</f>
        <v>46120</v>
      </c>
      <c r="C297" s="62">
        <v>342</v>
      </c>
      <c r="D297" s="62" t="s">
        <v>256</v>
      </c>
      <c r="E297" s="62">
        <v>2</v>
      </c>
      <c r="F297" s="64">
        <v>21</v>
      </c>
      <c r="G297" s="62">
        <v>3.22</v>
      </c>
      <c r="H297" s="64">
        <v>31.84</v>
      </c>
      <c r="I297" s="64">
        <v>39548.65</v>
      </c>
      <c r="J297" s="64">
        <v>572.83000000000004</v>
      </c>
      <c r="K297" s="64">
        <v>8012.41</v>
      </c>
      <c r="L297" s="64">
        <v>79.8</v>
      </c>
      <c r="M297" s="64">
        <v>11.7</v>
      </c>
      <c r="N297" s="65">
        <v>120.3</v>
      </c>
      <c r="O297" s="62">
        <v>4</v>
      </c>
      <c r="P297" s="62"/>
      <c r="Q297" s="62" t="s">
        <v>258</v>
      </c>
      <c r="R297" s="61"/>
      <c r="S297" s="61"/>
    </row>
    <row r="298" spans="1:19" ht="13.8" customHeight="1" x14ac:dyDescent="0.3">
      <c r="A298" s="66" t="s">
        <v>281</v>
      </c>
      <c r="B298" s="67">
        <f>IFERROR(INDEX('Boulder Sample Log'!A$5:A$204,MATCH(A298,'Boulder Sample Log'!E$5:E$204,0)),"")</f>
        <v>46120</v>
      </c>
      <c r="C298" s="66">
        <v>344</v>
      </c>
      <c r="D298" s="66" t="s">
        <v>256</v>
      </c>
      <c r="E298" s="66">
        <v>2</v>
      </c>
      <c r="F298" s="68" t="s">
        <v>257</v>
      </c>
      <c r="G298" s="66" t="s">
        <v>257</v>
      </c>
      <c r="H298" s="68">
        <v>4.8600000000000003</v>
      </c>
      <c r="I298" s="68">
        <v>30231.7</v>
      </c>
      <c r="J298" s="68">
        <v>394.94</v>
      </c>
      <c r="K298" s="68">
        <v>9487.19</v>
      </c>
      <c r="L298" s="68">
        <v>29.43</v>
      </c>
      <c r="M298" s="68" t="s">
        <v>257</v>
      </c>
      <c r="N298" s="69">
        <v>120.33</v>
      </c>
      <c r="O298" s="66">
        <v>4</v>
      </c>
      <c r="P298" s="66"/>
      <c r="Q298" s="66" t="s">
        <v>258</v>
      </c>
      <c r="R298" s="61"/>
      <c r="S298" s="61"/>
    </row>
    <row r="299" spans="1:19" ht="13.8" customHeight="1" x14ac:dyDescent="0.3">
      <c r="A299" s="62" t="s">
        <v>281</v>
      </c>
      <c r="B299" s="63">
        <f>IFERROR(INDEX('Boulder Sample Log'!A$5:A$204,MATCH(A299,'Boulder Sample Log'!E$5:E$204,0)),"")</f>
        <v>46120</v>
      </c>
      <c r="C299" s="62">
        <v>345</v>
      </c>
      <c r="D299" s="62" t="s">
        <v>256</v>
      </c>
      <c r="E299" s="62">
        <v>2</v>
      </c>
      <c r="F299" s="64">
        <v>3.61</v>
      </c>
      <c r="G299" s="62">
        <v>4.57</v>
      </c>
      <c r="H299" s="64">
        <v>7.45</v>
      </c>
      <c r="I299" s="64">
        <v>34353.15</v>
      </c>
      <c r="J299" s="64">
        <v>466.79</v>
      </c>
      <c r="K299" s="64">
        <v>18424.25</v>
      </c>
      <c r="L299" s="64">
        <v>37.159999999999997</v>
      </c>
      <c r="M299" s="64">
        <v>9.5</v>
      </c>
      <c r="N299" s="65">
        <v>120.34</v>
      </c>
      <c r="O299" s="62">
        <v>4</v>
      </c>
      <c r="P299" s="62"/>
      <c r="Q299" s="62" t="s">
        <v>258</v>
      </c>
      <c r="R299" s="61"/>
      <c r="S299" s="61"/>
    </row>
    <row r="300" spans="1:19" ht="13.8" customHeight="1" x14ac:dyDescent="0.3">
      <c r="A300" s="66" t="s">
        <v>281</v>
      </c>
      <c r="B300" s="67">
        <f>IFERROR(INDEX('Boulder Sample Log'!A$5:A$204,MATCH(A300,'Boulder Sample Log'!E$5:E$204,0)),"")</f>
        <v>46120</v>
      </c>
      <c r="C300" s="66">
        <v>346</v>
      </c>
      <c r="D300" s="66" t="s">
        <v>256</v>
      </c>
      <c r="E300" s="66">
        <v>3</v>
      </c>
      <c r="F300" s="68">
        <v>23.75</v>
      </c>
      <c r="G300" s="66">
        <v>1.88</v>
      </c>
      <c r="H300" s="68">
        <v>7.78</v>
      </c>
      <c r="I300" s="68">
        <v>41464.550000000003</v>
      </c>
      <c r="J300" s="68">
        <v>362.98</v>
      </c>
      <c r="K300" s="68">
        <v>8363.43</v>
      </c>
      <c r="L300" s="68">
        <v>61.54</v>
      </c>
      <c r="M300" s="68" t="s">
        <v>257</v>
      </c>
      <c r="N300" s="69">
        <v>120.51</v>
      </c>
      <c r="O300" s="66">
        <v>4</v>
      </c>
      <c r="P300" s="66"/>
      <c r="Q300" s="66" t="s">
        <v>258</v>
      </c>
      <c r="R300" s="61"/>
      <c r="S300" s="61"/>
    </row>
    <row r="301" spans="1:19" ht="13.8" customHeight="1" x14ac:dyDescent="0.3">
      <c r="A301" s="62" t="s">
        <v>281</v>
      </c>
      <c r="B301" s="63">
        <f>IFERROR(INDEX('Boulder Sample Log'!A$5:A$204,MATCH(A301,'Boulder Sample Log'!E$5:E$204,0)),"")</f>
        <v>46120</v>
      </c>
      <c r="C301" s="62">
        <v>347</v>
      </c>
      <c r="D301" s="62" t="s">
        <v>256</v>
      </c>
      <c r="E301" s="62">
        <v>3</v>
      </c>
      <c r="F301" s="64">
        <v>13.56</v>
      </c>
      <c r="G301" s="62">
        <v>2.57</v>
      </c>
      <c r="H301" s="64">
        <v>7.2</v>
      </c>
      <c r="I301" s="64">
        <v>39572.25</v>
      </c>
      <c r="J301" s="64">
        <v>318.45</v>
      </c>
      <c r="K301" s="64">
        <v>6489.73</v>
      </c>
      <c r="L301" s="64">
        <v>51.2</v>
      </c>
      <c r="M301" s="64" t="s">
        <v>257</v>
      </c>
      <c r="N301" s="65">
        <v>120.4</v>
      </c>
      <c r="O301" s="62">
        <v>4</v>
      </c>
      <c r="P301" s="62"/>
      <c r="Q301" s="62" t="s">
        <v>258</v>
      </c>
      <c r="R301" s="61"/>
      <c r="S301" s="61"/>
    </row>
    <row r="302" spans="1:19" ht="13.8" customHeight="1" x14ac:dyDescent="0.3">
      <c r="A302" s="66" t="s">
        <v>281</v>
      </c>
      <c r="B302" s="67">
        <f>IFERROR(INDEX('Boulder Sample Log'!A$5:A$204,MATCH(A302,'Boulder Sample Log'!E$5:E$204,0)),"")</f>
        <v>46120</v>
      </c>
      <c r="C302" s="66">
        <v>348</v>
      </c>
      <c r="D302" s="66" t="s">
        <v>256</v>
      </c>
      <c r="E302" s="66">
        <v>3</v>
      </c>
      <c r="F302" s="68" t="s">
        <v>257</v>
      </c>
      <c r="G302" s="66">
        <v>1.64</v>
      </c>
      <c r="H302" s="68">
        <v>6.25</v>
      </c>
      <c r="I302" s="68">
        <v>36864.980000000003</v>
      </c>
      <c r="J302" s="68">
        <v>485.1</v>
      </c>
      <c r="K302" s="68">
        <v>4672.25</v>
      </c>
      <c r="L302" s="68">
        <v>51.76</v>
      </c>
      <c r="M302" s="68" t="s">
        <v>257</v>
      </c>
      <c r="N302" s="69">
        <v>122.7</v>
      </c>
      <c r="O302" s="66">
        <v>4</v>
      </c>
      <c r="P302" s="66"/>
      <c r="Q302" s="66" t="s">
        <v>258</v>
      </c>
      <c r="R302" s="61"/>
      <c r="S302" s="61"/>
    </row>
    <row r="303" spans="1:19" ht="13.8" customHeight="1" x14ac:dyDescent="0.3">
      <c r="A303" s="62" t="s">
        <v>281</v>
      </c>
      <c r="B303" s="63">
        <f>IFERROR(INDEX('Boulder Sample Log'!A$5:A$204,MATCH(A303,'Boulder Sample Log'!E$5:E$204,0)),"")</f>
        <v>46120</v>
      </c>
      <c r="C303" s="62">
        <v>349</v>
      </c>
      <c r="D303" s="62" t="s">
        <v>256</v>
      </c>
      <c r="E303" s="62">
        <v>4</v>
      </c>
      <c r="F303" s="64">
        <v>20.059999999999999</v>
      </c>
      <c r="G303" s="62">
        <v>3.53</v>
      </c>
      <c r="H303" s="64">
        <v>10.029999999999999</v>
      </c>
      <c r="I303" s="64">
        <v>35941.82</v>
      </c>
      <c r="J303" s="64">
        <v>356.73</v>
      </c>
      <c r="K303" s="64">
        <v>7230.39</v>
      </c>
      <c r="L303" s="64">
        <v>26.86</v>
      </c>
      <c r="M303" s="64" t="s">
        <v>257</v>
      </c>
      <c r="N303" s="65">
        <v>120.49</v>
      </c>
      <c r="O303" s="62">
        <v>4</v>
      </c>
      <c r="P303" s="62"/>
      <c r="Q303" s="62" t="s">
        <v>258</v>
      </c>
      <c r="R303" s="61"/>
      <c r="S303" s="61"/>
    </row>
    <row r="304" spans="1:19" ht="13.8" customHeight="1" x14ac:dyDescent="0.3">
      <c r="A304" s="66" t="s">
        <v>281</v>
      </c>
      <c r="B304" s="67">
        <f>IFERROR(INDEX('Boulder Sample Log'!A$5:A$204,MATCH(A304,'Boulder Sample Log'!E$5:E$204,0)),"")</f>
        <v>46120</v>
      </c>
      <c r="C304" s="66">
        <v>350</v>
      </c>
      <c r="D304" s="66" t="s">
        <v>256</v>
      </c>
      <c r="E304" s="66">
        <v>4</v>
      </c>
      <c r="F304" s="68">
        <v>8.69</v>
      </c>
      <c r="G304" s="66" t="s">
        <v>257</v>
      </c>
      <c r="H304" s="68">
        <v>7.2</v>
      </c>
      <c r="I304" s="68">
        <v>33697.18</v>
      </c>
      <c r="J304" s="68">
        <v>432.7</v>
      </c>
      <c r="K304" s="68">
        <v>4840.12</v>
      </c>
      <c r="L304" s="68">
        <v>43.7</v>
      </c>
      <c r="M304" s="68">
        <v>8.86</v>
      </c>
      <c r="N304" s="69">
        <v>120.54</v>
      </c>
      <c r="O304" s="66">
        <v>4</v>
      </c>
      <c r="P304" s="66"/>
      <c r="Q304" s="66" t="s">
        <v>258</v>
      </c>
      <c r="R304" s="61"/>
      <c r="S304" s="61"/>
    </row>
    <row r="305" spans="1:19" ht="13.8" customHeight="1" x14ac:dyDescent="0.3">
      <c r="A305" s="62" t="s">
        <v>281</v>
      </c>
      <c r="B305" s="63">
        <f>IFERROR(INDEX('Boulder Sample Log'!A$5:A$204,MATCH(A305,'Boulder Sample Log'!E$5:E$204,0)),"")</f>
        <v>46120</v>
      </c>
      <c r="C305" s="62">
        <v>351</v>
      </c>
      <c r="D305" s="62" t="s">
        <v>256</v>
      </c>
      <c r="E305" s="62">
        <v>4</v>
      </c>
      <c r="F305" s="64">
        <v>6.65</v>
      </c>
      <c r="G305" s="62" t="s">
        <v>257</v>
      </c>
      <c r="H305" s="64">
        <v>6.13</v>
      </c>
      <c r="I305" s="64">
        <v>30826.48</v>
      </c>
      <c r="J305" s="64">
        <v>444.59</v>
      </c>
      <c r="K305" s="64">
        <v>5586.76</v>
      </c>
      <c r="L305" s="64">
        <v>33.69</v>
      </c>
      <c r="M305" s="64" t="s">
        <v>257</v>
      </c>
      <c r="N305" s="65">
        <v>120.51</v>
      </c>
      <c r="O305" s="62">
        <v>4</v>
      </c>
      <c r="P305" s="62"/>
      <c r="Q305" s="62" t="s">
        <v>258</v>
      </c>
      <c r="R305" s="61"/>
      <c r="S305" s="61"/>
    </row>
    <row r="306" spans="1:19" ht="13.8" customHeight="1" x14ac:dyDescent="0.3">
      <c r="A306" s="66" t="s">
        <v>281</v>
      </c>
      <c r="B306" s="67">
        <f>IFERROR(INDEX('Boulder Sample Log'!A$5:A$204,MATCH(A306,'Boulder Sample Log'!E$5:E$204,0)),"")</f>
        <v>46120</v>
      </c>
      <c r="C306" s="66">
        <v>352</v>
      </c>
      <c r="D306" s="66" t="s">
        <v>256</v>
      </c>
      <c r="E306" s="66">
        <v>5</v>
      </c>
      <c r="F306" s="68">
        <v>5.81</v>
      </c>
      <c r="G306" s="66">
        <v>2.44</v>
      </c>
      <c r="H306" s="68">
        <v>7.27</v>
      </c>
      <c r="I306" s="68">
        <v>38340.019999999997</v>
      </c>
      <c r="J306" s="68">
        <v>549.02</v>
      </c>
      <c r="K306" s="68">
        <v>5883.47</v>
      </c>
      <c r="L306" s="68">
        <v>59.21</v>
      </c>
      <c r="M306" s="68">
        <v>13.17</v>
      </c>
      <c r="N306" s="69">
        <v>120.03</v>
      </c>
      <c r="O306" s="66">
        <v>4</v>
      </c>
      <c r="P306" s="66"/>
      <c r="Q306" s="66" t="s">
        <v>258</v>
      </c>
      <c r="R306" s="61"/>
      <c r="S306" s="61"/>
    </row>
    <row r="307" spans="1:19" ht="13.8" customHeight="1" x14ac:dyDescent="0.3">
      <c r="A307" s="62" t="s">
        <v>281</v>
      </c>
      <c r="B307" s="63">
        <f>IFERROR(INDEX('Boulder Sample Log'!A$5:A$204,MATCH(A307,'Boulder Sample Log'!E$5:E$204,0)),"")</f>
        <v>46120</v>
      </c>
      <c r="C307" s="62">
        <v>354</v>
      </c>
      <c r="D307" s="62" t="s">
        <v>256</v>
      </c>
      <c r="E307" s="62">
        <v>5</v>
      </c>
      <c r="F307" s="64">
        <v>19.399999999999999</v>
      </c>
      <c r="G307" s="62">
        <v>12.79</v>
      </c>
      <c r="H307" s="64">
        <v>42.34</v>
      </c>
      <c r="I307" s="64">
        <v>57352.86</v>
      </c>
      <c r="J307" s="64">
        <v>419.67</v>
      </c>
      <c r="K307" s="64">
        <v>21816.560000000001</v>
      </c>
      <c r="L307" s="64">
        <v>57.49</v>
      </c>
      <c r="M307" s="64">
        <v>8.41</v>
      </c>
      <c r="N307" s="65">
        <v>120.29</v>
      </c>
      <c r="O307" s="62">
        <v>4</v>
      </c>
      <c r="P307" s="62"/>
      <c r="Q307" s="62" t="s">
        <v>258</v>
      </c>
      <c r="R307" s="61"/>
      <c r="S307" s="61"/>
    </row>
    <row r="308" spans="1:19" ht="13.8" customHeight="1" x14ac:dyDescent="0.3">
      <c r="A308" s="66" t="s">
        <v>281</v>
      </c>
      <c r="B308" s="67">
        <f>IFERROR(INDEX('Boulder Sample Log'!A$5:A$204,MATCH(A308,'Boulder Sample Log'!E$5:E$204,0)),"")</f>
        <v>46120</v>
      </c>
      <c r="C308" s="66">
        <v>355</v>
      </c>
      <c r="D308" s="66" t="s">
        <v>256</v>
      </c>
      <c r="E308" s="66">
        <v>5</v>
      </c>
      <c r="F308" s="68">
        <v>4.59</v>
      </c>
      <c r="G308" s="66">
        <v>1.7</v>
      </c>
      <c r="H308" s="68">
        <v>8.1199999999999992</v>
      </c>
      <c r="I308" s="68">
        <v>37083.839999999997</v>
      </c>
      <c r="J308" s="68">
        <v>519.54</v>
      </c>
      <c r="K308" s="68">
        <v>5477.72</v>
      </c>
      <c r="L308" s="68">
        <v>51.46</v>
      </c>
      <c r="M308" s="68">
        <v>5.56</v>
      </c>
      <c r="N308" s="69">
        <v>120.48</v>
      </c>
      <c r="O308" s="66">
        <v>4</v>
      </c>
      <c r="P308" s="66"/>
      <c r="Q308" s="66" t="s">
        <v>258</v>
      </c>
      <c r="R308" s="61"/>
      <c r="S308" s="61"/>
    </row>
    <row r="309" spans="1:19" ht="13.8" customHeight="1" x14ac:dyDescent="0.3">
      <c r="A309" s="62" t="s">
        <v>282</v>
      </c>
      <c r="B309" s="63">
        <f>IFERROR(INDEX('Boulder Sample Log'!A$5:A$204,MATCH(A309,'Boulder Sample Log'!E$5:E$204,0)),"")</f>
        <v>46120</v>
      </c>
      <c r="C309" s="62">
        <v>356</v>
      </c>
      <c r="D309" s="62" t="s">
        <v>256</v>
      </c>
      <c r="E309" s="62">
        <v>1</v>
      </c>
      <c r="F309" s="64">
        <v>101.93</v>
      </c>
      <c r="G309" s="62" t="s">
        <v>257</v>
      </c>
      <c r="H309" s="64">
        <v>7.98</v>
      </c>
      <c r="I309" s="64">
        <v>33530.410000000003</v>
      </c>
      <c r="J309" s="64">
        <v>530.33000000000004</v>
      </c>
      <c r="K309" s="64">
        <v>12423.98</v>
      </c>
      <c r="L309" s="64">
        <v>84.19</v>
      </c>
      <c r="M309" s="64">
        <v>19.66</v>
      </c>
      <c r="N309" s="65">
        <v>120.3</v>
      </c>
      <c r="O309" s="62">
        <v>4</v>
      </c>
      <c r="P309" s="62"/>
      <c r="Q309" s="62" t="s">
        <v>258</v>
      </c>
      <c r="R309" s="61"/>
      <c r="S309" s="61"/>
    </row>
    <row r="310" spans="1:19" ht="13.8" customHeight="1" x14ac:dyDescent="0.3">
      <c r="A310" s="66" t="s">
        <v>282</v>
      </c>
      <c r="B310" s="67">
        <f>IFERROR(INDEX('Boulder Sample Log'!A$5:A$204,MATCH(A310,'Boulder Sample Log'!E$5:E$204,0)),"")</f>
        <v>46120</v>
      </c>
      <c r="C310" s="66">
        <v>357</v>
      </c>
      <c r="D310" s="66" t="s">
        <v>256</v>
      </c>
      <c r="E310" s="66">
        <v>1</v>
      </c>
      <c r="F310" s="68">
        <v>65.930000000000007</v>
      </c>
      <c r="G310" s="66" t="s">
        <v>257</v>
      </c>
      <c r="H310" s="68">
        <v>6.42</v>
      </c>
      <c r="I310" s="68">
        <v>32507.47</v>
      </c>
      <c r="J310" s="68">
        <v>523.84</v>
      </c>
      <c r="K310" s="68">
        <v>10453.85</v>
      </c>
      <c r="L310" s="68">
        <v>71.73</v>
      </c>
      <c r="M310" s="68">
        <v>13.87</v>
      </c>
      <c r="N310" s="69">
        <v>120.21</v>
      </c>
      <c r="O310" s="66">
        <v>4</v>
      </c>
      <c r="P310" s="66"/>
      <c r="Q310" s="66" t="s">
        <v>258</v>
      </c>
      <c r="R310" s="61"/>
      <c r="S310" s="61"/>
    </row>
    <row r="311" spans="1:19" ht="13.8" customHeight="1" x14ac:dyDescent="0.3">
      <c r="A311" s="62" t="s">
        <v>282</v>
      </c>
      <c r="B311" s="63">
        <f>IFERROR(INDEX('Boulder Sample Log'!A$5:A$204,MATCH(A311,'Boulder Sample Log'!E$5:E$204,0)),"")</f>
        <v>46120</v>
      </c>
      <c r="C311" s="62">
        <v>374</v>
      </c>
      <c r="D311" s="62" t="s">
        <v>256</v>
      </c>
      <c r="E311" s="62">
        <v>1</v>
      </c>
      <c r="F311" s="64">
        <v>9.6999999999999993</v>
      </c>
      <c r="G311" s="62">
        <v>16.84</v>
      </c>
      <c r="H311" s="64">
        <v>5.82</v>
      </c>
      <c r="I311" s="64">
        <v>53984.89</v>
      </c>
      <c r="J311" s="64">
        <v>500.2</v>
      </c>
      <c r="K311" s="64">
        <v>20784.73</v>
      </c>
      <c r="L311" s="64">
        <v>158.88999999999999</v>
      </c>
      <c r="M311" s="64">
        <v>30.42</v>
      </c>
      <c r="N311" s="65">
        <v>120.63</v>
      </c>
      <c r="O311" s="62">
        <v>4</v>
      </c>
      <c r="P311" s="62"/>
      <c r="Q311" s="62" t="s">
        <v>258</v>
      </c>
      <c r="R311" s="61"/>
      <c r="S311" s="61"/>
    </row>
    <row r="312" spans="1:19" ht="13.8" customHeight="1" x14ac:dyDescent="0.3">
      <c r="A312" s="66" t="s">
        <v>282</v>
      </c>
      <c r="B312" s="67">
        <f>IFERROR(INDEX('Boulder Sample Log'!A$5:A$204,MATCH(A312,'Boulder Sample Log'!E$5:E$204,0)),"")</f>
        <v>46120</v>
      </c>
      <c r="C312" s="66">
        <v>375</v>
      </c>
      <c r="D312" s="66" t="s">
        <v>256</v>
      </c>
      <c r="E312" s="66">
        <v>2</v>
      </c>
      <c r="F312" s="68">
        <v>13.83</v>
      </c>
      <c r="G312" s="66" t="s">
        <v>257</v>
      </c>
      <c r="H312" s="68">
        <v>8.0399999999999991</v>
      </c>
      <c r="I312" s="68">
        <v>26054.93</v>
      </c>
      <c r="J312" s="68">
        <v>414.94</v>
      </c>
      <c r="K312" s="68">
        <v>7152.28</v>
      </c>
      <c r="L312" s="68">
        <v>66.290000000000006</v>
      </c>
      <c r="M312" s="68">
        <v>7.59</v>
      </c>
      <c r="N312" s="69">
        <v>120.42</v>
      </c>
      <c r="O312" s="66">
        <v>4</v>
      </c>
      <c r="P312" s="66"/>
      <c r="Q312" s="66" t="s">
        <v>258</v>
      </c>
      <c r="R312" s="61"/>
      <c r="S312" s="61"/>
    </row>
    <row r="313" spans="1:19" ht="13.8" customHeight="1" x14ac:dyDescent="0.3">
      <c r="A313" s="62" t="s">
        <v>282</v>
      </c>
      <c r="B313" s="63">
        <f>IFERROR(INDEX('Boulder Sample Log'!A$5:A$204,MATCH(A313,'Boulder Sample Log'!E$5:E$204,0)),"")</f>
        <v>46120</v>
      </c>
      <c r="C313" s="62">
        <v>376</v>
      </c>
      <c r="D313" s="62" t="s">
        <v>256</v>
      </c>
      <c r="E313" s="62">
        <v>2</v>
      </c>
      <c r="F313" s="64">
        <v>11.88</v>
      </c>
      <c r="G313" s="62" t="s">
        <v>257</v>
      </c>
      <c r="H313" s="64">
        <v>7.64</v>
      </c>
      <c r="I313" s="64">
        <v>33453.21</v>
      </c>
      <c r="J313" s="64">
        <v>554.13</v>
      </c>
      <c r="K313" s="64">
        <v>10323.6</v>
      </c>
      <c r="L313" s="64">
        <v>83.84</v>
      </c>
      <c r="M313" s="64">
        <v>11.52</v>
      </c>
      <c r="N313" s="65">
        <v>123.06</v>
      </c>
      <c r="O313" s="62">
        <v>4</v>
      </c>
      <c r="P313" s="62"/>
      <c r="Q313" s="62" t="s">
        <v>258</v>
      </c>
      <c r="R313" s="61"/>
      <c r="S313" s="61"/>
    </row>
    <row r="314" spans="1:19" ht="13.8" customHeight="1" x14ac:dyDescent="0.3">
      <c r="A314" s="66" t="s">
        <v>282</v>
      </c>
      <c r="B314" s="67">
        <f>IFERROR(INDEX('Boulder Sample Log'!A$5:A$204,MATCH(A314,'Boulder Sample Log'!E$5:E$204,0)),"")</f>
        <v>46120</v>
      </c>
      <c r="C314" s="66">
        <v>377</v>
      </c>
      <c r="D314" s="66" t="s">
        <v>256</v>
      </c>
      <c r="E314" s="66">
        <v>2</v>
      </c>
      <c r="F314" s="68">
        <v>10.09</v>
      </c>
      <c r="G314" s="66" t="s">
        <v>257</v>
      </c>
      <c r="H314" s="68">
        <v>6.11</v>
      </c>
      <c r="I314" s="68">
        <v>33166.980000000003</v>
      </c>
      <c r="J314" s="68">
        <v>511.32</v>
      </c>
      <c r="K314" s="68">
        <v>10995.57</v>
      </c>
      <c r="L314" s="68">
        <v>84.51</v>
      </c>
      <c r="M314" s="68">
        <v>12.59</v>
      </c>
      <c r="N314" s="69">
        <v>120.4</v>
      </c>
      <c r="O314" s="66">
        <v>4</v>
      </c>
      <c r="P314" s="66"/>
      <c r="Q314" s="66" t="s">
        <v>258</v>
      </c>
      <c r="R314" s="61"/>
      <c r="S314" s="61"/>
    </row>
    <row r="315" spans="1:19" ht="13.8" customHeight="1" x14ac:dyDescent="0.3">
      <c r="A315" s="62" t="s">
        <v>282</v>
      </c>
      <c r="B315" s="63">
        <f>IFERROR(INDEX('Boulder Sample Log'!A$5:A$204,MATCH(A315,'Boulder Sample Log'!E$5:E$204,0)),"")</f>
        <v>46120</v>
      </c>
      <c r="C315" s="62">
        <v>378</v>
      </c>
      <c r="D315" s="62" t="s">
        <v>256</v>
      </c>
      <c r="E315" s="62">
        <v>3</v>
      </c>
      <c r="F315" s="64">
        <v>75.099999999999994</v>
      </c>
      <c r="G315" s="62">
        <v>8.08</v>
      </c>
      <c r="H315" s="64">
        <v>8.98</v>
      </c>
      <c r="I315" s="64">
        <v>31633.95</v>
      </c>
      <c r="J315" s="64">
        <v>531.29</v>
      </c>
      <c r="K315" s="64">
        <v>12122.23</v>
      </c>
      <c r="L315" s="64">
        <v>87.04</v>
      </c>
      <c r="M315" s="64">
        <v>11.31</v>
      </c>
      <c r="N315" s="65">
        <v>120</v>
      </c>
      <c r="O315" s="62">
        <v>4</v>
      </c>
      <c r="P315" s="62"/>
      <c r="Q315" s="62" t="s">
        <v>258</v>
      </c>
      <c r="R315" s="61"/>
      <c r="S315" s="61"/>
    </row>
    <row r="316" spans="1:19" ht="13.8" customHeight="1" x14ac:dyDescent="0.3">
      <c r="A316" s="66" t="s">
        <v>282</v>
      </c>
      <c r="B316" s="67">
        <f>IFERROR(INDEX('Boulder Sample Log'!A$5:A$204,MATCH(A316,'Boulder Sample Log'!E$5:E$204,0)),"")</f>
        <v>46120</v>
      </c>
      <c r="C316" s="66">
        <v>379</v>
      </c>
      <c r="D316" s="66" t="s">
        <v>256</v>
      </c>
      <c r="E316" s="66">
        <v>3</v>
      </c>
      <c r="F316" s="68">
        <v>40.020000000000003</v>
      </c>
      <c r="G316" s="66" t="s">
        <v>257</v>
      </c>
      <c r="H316" s="68">
        <v>8.23</v>
      </c>
      <c r="I316" s="68">
        <v>29499.89</v>
      </c>
      <c r="J316" s="68">
        <v>540.47</v>
      </c>
      <c r="K316" s="68">
        <v>10271.26</v>
      </c>
      <c r="L316" s="68">
        <v>84.33</v>
      </c>
      <c r="M316" s="68">
        <v>12.78</v>
      </c>
      <c r="N316" s="69">
        <v>120.45</v>
      </c>
      <c r="O316" s="66">
        <v>4</v>
      </c>
      <c r="P316" s="66"/>
      <c r="Q316" s="66" t="s">
        <v>258</v>
      </c>
      <c r="R316" s="61"/>
      <c r="S316" s="61"/>
    </row>
    <row r="317" spans="1:19" ht="13.8" customHeight="1" x14ac:dyDescent="0.3">
      <c r="A317" s="62" t="s">
        <v>282</v>
      </c>
      <c r="B317" s="63">
        <f>IFERROR(INDEX('Boulder Sample Log'!A$5:A$204,MATCH(A317,'Boulder Sample Log'!E$5:E$204,0)),"")</f>
        <v>46120</v>
      </c>
      <c r="C317" s="62">
        <v>380</v>
      </c>
      <c r="D317" s="62" t="s">
        <v>256</v>
      </c>
      <c r="E317" s="62">
        <v>3</v>
      </c>
      <c r="F317" s="64">
        <v>89.88</v>
      </c>
      <c r="G317" s="62">
        <v>5.04</v>
      </c>
      <c r="H317" s="64">
        <v>6.74</v>
      </c>
      <c r="I317" s="64">
        <v>32237.69</v>
      </c>
      <c r="J317" s="64">
        <v>562.69000000000005</v>
      </c>
      <c r="K317" s="64">
        <v>14960.06</v>
      </c>
      <c r="L317" s="64">
        <v>106.71</v>
      </c>
      <c r="M317" s="64">
        <v>21.51</v>
      </c>
      <c r="N317" s="65">
        <v>120.25</v>
      </c>
      <c r="O317" s="62">
        <v>4</v>
      </c>
      <c r="P317" s="62"/>
      <c r="Q317" s="62" t="s">
        <v>258</v>
      </c>
      <c r="R317" s="61"/>
      <c r="S317" s="61"/>
    </row>
    <row r="318" spans="1:19" ht="13.8" customHeight="1" x14ac:dyDescent="0.3">
      <c r="A318" s="66" t="s">
        <v>282</v>
      </c>
      <c r="B318" s="67">
        <f>IFERROR(INDEX('Boulder Sample Log'!A$5:A$204,MATCH(A318,'Boulder Sample Log'!E$5:E$204,0)),"")</f>
        <v>46120</v>
      </c>
      <c r="C318" s="66">
        <v>381</v>
      </c>
      <c r="D318" s="66" t="s">
        <v>256</v>
      </c>
      <c r="E318" s="66">
        <v>4</v>
      </c>
      <c r="F318" s="68">
        <v>45.3</v>
      </c>
      <c r="G318" s="66">
        <v>52.04</v>
      </c>
      <c r="H318" s="68">
        <v>6.94</v>
      </c>
      <c r="I318" s="68">
        <v>79813.02</v>
      </c>
      <c r="J318" s="68">
        <v>477.45</v>
      </c>
      <c r="K318" s="68">
        <v>26365.21</v>
      </c>
      <c r="L318" s="68">
        <v>184.9</v>
      </c>
      <c r="M318" s="68">
        <v>40.43</v>
      </c>
      <c r="N318" s="69">
        <v>120.55</v>
      </c>
      <c r="O318" s="66">
        <v>4</v>
      </c>
      <c r="P318" s="66"/>
      <c r="Q318" s="66" t="s">
        <v>258</v>
      </c>
      <c r="R318" s="61"/>
      <c r="S318" s="61"/>
    </row>
    <row r="319" spans="1:19" ht="13.8" customHeight="1" x14ac:dyDescent="0.3">
      <c r="A319" s="62" t="s">
        <v>282</v>
      </c>
      <c r="B319" s="63">
        <f>IFERROR(INDEX('Boulder Sample Log'!A$5:A$204,MATCH(A319,'Boulder Sample Log'!E$5:E$204,0)),"")</f>
        <v>46120</v>
      </c>
      <c r="C319" s="62">
        <v>382</v>
      </c>
      <c r="D319" s="62" t="s">
        <v>256</v>
      </c>
      <c r="E319" s="62">
        <v>4</v>
      </c>
      <c r="F319" s="64">
        <v>50.38</v>
      </c>
      <c r="G319" s="62">
        <v>23.42</v>
      </c>
      <c r="H319" s="64">
        <v>9.1</v>
      </c>
      <c r="I319" s="64">
        <v>47013.94</v>
      </c>
      <c r="J319" s="64">
        <v>570.37</v>
      </c>
      <c r="K319" s="64">
        <v>15436.57</v>
      </c>
      <c r="L319" s="64">
        <v>125.99</v>
      </c>
      <c r="M319" s="64">
        <v>63.39</v>
      </c>
      <c r="N319" s="65">
        <v>122.86</v>
      </c>
      <c r="O319" s="62">
        <v>4</v>
      </c>
      <c r="P319" s="62"/>
      <c r="Q319" s="62" t="s">
        <v>258</v>
      </c>
      <c r="R319" s="61"/>
      <c r="S319" s="61"/>
    </row>
    <row r="320" spans="1:19" ht="13.8" customHeight="1" x14ac:dyDescent="0.3">
      <c r="A320" s="66" t="s">
        <v>282</v>
      </c>
      <c r="B320" s="67">
        <f>IFERROR(INDEX('Boulder Sample Log'!A$5:A$204,MATCH(A320,'Boulder Sample Log'!E$5:E$204,0)),"")</f>
        <v>46120</v>
      </c>
      <c r="C320" s="66">
        <v>383</v>
      </c>
      <c r="D320" s="66" t="s">
        <v>256</v>
      </c>
      <c r="E320" s="66">
        <v>4</v>
      </c>
      <c r="F320" s="68">
        <v>29.35</v>
      </c>
      <c r="G320" s="66">
        <v>7.53</v>
      </c>
      <c r="H320" s="68">
        <v>9.0399999999999991</v>
      </c>
      <c r="I320" s="68">
        <v>12619.31</v>
      </c>
      <c r="J320" s="68" t="s">
        <v>257</v>
      </c>
      <c r="K320" s="68">
        <v>11624.11</v>
      </c>
      <c r="L320" s="68">
        <v>46.48</v>
      </c>
      <c r="M320" s="68">
        <v>6.89</v>
      </c>
      <c r="N320" s="69">
        <v>122.73</v>
      </c>
      <c r="O320" s="66">
        <v>4</v>
      </c>
      <c r="P320" s="66"/>
      <c r="Q320" s="66" t="s">
        <v>258</v>
      </c>
      <c r="R320" s="61"/>
      <c r="S320" s="61"/>
    </row>
    <row r="321" spans="1:19" ht="13.8" customHeight="1" x14ac:dyDescent="0.3">
      <c r="A321" s="62" t="s">
        <v>282</v>
      </c>
      <c r="B321" s="63">
        <f>IFERROR(INDEX('Boulder Sample Log'!A$5:A$204,MATCH(A321,'Boulder Sample Log'!E$5:E$204,0)),"")</f>
        <v>46120</v>
      </c>
      <c r="C321" s="62">
        <v>386</v>
      </c>
      <c r="D321" s="62" t="s">
        <v>256</v>
      </c>
      <c r="E321" s="62">
        <v>5</v>
      </c>
      <c r="F321" s="64">
        <v>51.93</v>
      </c>
      <c r="G321" s="62">
        <v>3.45</v>
      </c>
      <c r="H321" s="64">
        <v>9.0500000000000007</v>
      </c>
      <c r="I321" s="64">
        <v>41250.15</v>
      </c>
      <c r="J321" s="64">
        <v>540.57000000000005</v>
      </c>
      <c r="K321" s="64">
        <v>16798.41</v>
      </c>
      <c r="L321" s="64">
        <v>144.54</v>
      </c>
      <c r="M321" s="64">
        <v>27.88</v>
      </c>
      <c r="N321" s="65">
        <v>120.53</v>
      </c>
      <c r="O321" s="62">
        <v>4</v>
      </c>
      <c r="P321" s="62"/>
      <c r="Q321" s="62" t="s">
        <v>258</v>
      </c>
      <c r="R321" s="61"/>
      <c r="S321" s="61"/>
    </row>
    <row r="322" spans="1:19" ht="13.8" customHeight="1" x14ac:dyDescent="0.3">
      <c r="A322" s="66" t="s">
        <v>282</v>
      </c>
      <c r="B322" s="67">
        <f>IFERROR(INDEX('Boulder Sample Log'!A$5:A$204,MATCH(A322,'Boulder Sample Log'!E$5:E$204,0)),"")</f>
        <v>46120</v>
      </c>
      <c r="C322" s="66">
        <v>387</v>
      </c>
      <c r="D322" s="66" t="s">
        <v>256</v>
      </c>
      <c r="E322" s="66">
        <v>5</v>
      </c>
      <c r="F322" s="68">
        <v>42.74</v>
      </c>
      <c r="G322" s="66">
        <v>12.94</v>
      </c>
      <c r="H322" s="68">
        <v>6.44</v>
      </c>
      <c r="I322" s="68">
        <v>48927.3</v>
      </c>
      <c r="J322" s="68">
        <v>461.77</v>
      </c>
      <c r="K322" s="68">
        <v>21492.6</v>
      </c>
      <c r="L322" s="68">
        <v>154.86000000000001</v>
      </c>
      <c r="M322" s="68">
        <v>25.86</v>
      </c>
      <c r="N322" s="69">
        <v>122.89</v>
      </c>
      <c r="O322" s="66">
        <v>4</v>
      </c>
      <c r="P322" s="66"/>
      <c r="Q322" s="66" t="s">
        <v>258</v>
      </c>
      <c r="R322" s="61"/>
      <c r="S322" s="61"/>
    </row>
    <row r="323" spans="1:19" ht="13.8" customHeight="1" x14ac:dyDescent="0.3">
      <c r="A323" s="62" t="s">
        <v>282</v>
      </c>
      <c r="B323" s="63">
        <f>IFERROR(INDEX('Boulder Sample Log'!A$5:A$204,MATCH(A323,'Boulder Sample Log'!E$5:E$204,0)),"")</f>
        <v>46120</v>
      </c>
      <c r="C323" s="62">
        <v>388</v>
      </c>
      <c r="D323" s="62" t="s">
        <v>256</v>
      </c>
      <c r="E323" s="62">
        <v>5</v>
      </c>
      <c r="F323" s="64">
        <v>32.71</v>
      </c>
      <c r="G323" s="62">
        <v>14.85</v>
      </c>
      <c r="H323" s="64">
        <v>5.21</v>
      </c>
      <c r="I323" s="64">
        <v>47820.19</v>
      </c>
      <c r="J323" s="64">
        <v>496.41</v>
      </c>
      <c r="K323" s="64">
        <v>14539.08</v>
      </c>
      <c r="L323" s="64">
        <v>169.04</v>
      </c>
      <c r="M323" s="64">
        <v>28.86</v>
      </c>
      <c r="N323" s="65">
        <v>120.26</v>
      </c>
      <c r="O323" s="62">
        <v>4</v>
      </c>
      <c r="P323" s="62"/>
      <c r="Q323" s="62" t="s">
        <v>258</v>
      </c>
      <c r="R323" s="61"/>
      <c r="S323" s="61"/>
    </row>
    <row r="324" spans="1:19" ht="13.8" customHeight="1" x14ac:dyDescent="0.3">
      <c r="A324" s="66" t="s">
        <v>283</v>
      </c>
      <c r="B324" s="67">
        <f>IFERROR(INDEX('Boulder Sample Log'!A$5:A$204,MATCH(A324,'Boulder Sample Log'!E$5:E$204,0)),"")</f>
        <v>46120</v>
      </c>
      <c r="C324" s="66">
        <v>359</v>
      </c>
      <c r="D324" s="66" t="s">
        <v>256</v>
      </c>
      <c r="E324" s="66">
        <v>1</v>
      </c>
      <c r="F324" s="68">
        <v>5.8</v>
      </c>
      <c r="G324" s="66" t="s">
        <v>257</v>
      </c>
      <c r="H324" s="68">
        <v>7.37</v>
      </c>
      <c r="I324" s="68">
        <v>33194.89</v>
      </c>
      <c r="J324" s="68">
        <v>587.05999999999995</v>
      </c>
      <c r="K324" s="68">
        <v>3001.48</v>
      </c>
      <c r="L324" s="68">
        <v>74.69</v>
      </c>
      <c r="M324" s="68">
        <v>7.18</v>
      </c>
      <c r="N324" s="69">
        <v>120.56</v>
      </c>
      <c r="O324" s="66">
        <v>4</v>
      </c>
      <c r="P324" s="66"/>
      <c r="Q324" s="66" t="s">
        <v>258</v>
      </c>
      <c r="R324" s="61"/>
      <c r="S324" s="61"/>
    </row>
    <row r="325" spans="1:19" ht="13.8" customHeight="1" x14ac:dyDescent="0.3">
      <c r="A325" s="62" t="s">
        <v>283</v>
      </c>
      <c r="B325" s="63">
        <f>IFERROR(INDEX('Boulder Sample Log'!A$5:A$204,MATCH(A325,'Boulder Sample Log'!E$5:E$204,0)),"")</f>
        <v>46120</v>
      </c>
      <c r="C325" s="62">
        <v>360</v>
      </c>
      <c r="D325" s="62" t="s">
        <v>256</v>
      </c>
      <c r="E325" s="62">
        <v>1</v>
      </c>
      <c r="F325" s="64">
        <v>3.72</v>
      </c>
      <c r="G325" s="62" t="s">
        <v>257</v>
      </c>
      <c r="H325" s="64">
        <v>7.66</v>
      </c>
      <c r="I325" s="64">
        <v>33927.660000000003</v>
      </c>
      <c r="J325" s="64">
        <v>586.25</v>
      </c>
      <c r="K325" s="64">
        <v>2964.42</v>
      </c>
      <c r="L325" s="64">
        <v>66.67</v>
      </c>
      <c r="M325" s="64">
        <v>5.76</v>
      </c>
      <c r="N325" s="65">
        <v>122.77</v>
      </c>
      <c r="O325" s="62">
        <v>4</v>
      </c>
      <c r="P325" s="62"/>
      <c r="Q325" s="62" t="s">
        <v>258</v>
      </c>
      <c r="R325" s="61"/>
      <c r="S325" s="61"/>
    </row>
    <row r="326" spans="1:19" ht="13.8" customHeight="1" x14ac:dyDescent="0.3">
      <c r="A326" s="66" t="s">
        <v>283</v>
      </c>
      <c r="B326" s="67">
        <f>IFERROR(INDEX('Boulder Sample Log'!A$5:A$204,MATCH(A326,'Boulder Sample Log'!E$5:E$204,0)),"")</f>
        <v>46120</v>
      </c>
      <c r="C326" s="66">
        <v>361</v>
      </c>
      <c r="D326" s="66" t="s">
        <v>256</v>
      </c>
      <c r="E326" s="66">
        <v>1</v>
      </c>
      <c r="F326" s="68" t="s">
        <v>257</v>
      </c>
      <c r="G326" s="66" t="s">
        <v>257</v>
      </c>
      <c r="H326" s="68">
        <v>6.79</v>
      </c>
      <c r="I326" s="68">
        <v>31819.64</v>
      </c>
      <c r="J326" s="68">
        <v>583.52</v>
      </c>
      <c r="K326" s="68">
        <v>2654.72</v>
      </c>
      <c r="L326" s="68">
        <v>73.39</v>
      </c>
      <c r="M326" s="68" t="s">
        <v>257</v>
      </c>
      <c r="N326" s="69">
        <v>120.5</v>
      </c>
      <c r="O326" s="66">
        <v>4</v>
      </c>
      <c r="P326" s="66"/>
      <c r="Q326" s="66" t="s">
        <v>258</v>
      </c>
      <c r="R326" s="61"/>
      <c r="S326" s="61"/>
    </row>
    <row r="327" spans="1:19" ht="13.8" customHeight="1" x14ac:dyDescent="0.3">
      <c r="A327" s="62" t="s">
        <v>283</v>
      </c>
      <c r="B327" s="63">
        <f>IFERROR(INDEX('Boulder Sample Log'!A$5:A$204,MATCH(A327,'Boulder Sample Log'!E$5:E$204,0)),"")</f>
        <v>46120</v>
      </c>
      <c r="C327" s="62">
        <v>362</v>
      </c>
      <c r="D327" s="62" t="s">
        <v>256</v>
      </c>
      <c r="E327" s="62">
        <v>2</v>
      </c>
      <c r="F327" s="64">
        <v>4.29</v>
      </c>
      <c r="G327" s="62" t="s">
        <v>257</v>
      </c>
      <c r="H327" s="64">
        <v>9.67</v>
      </c>
      <c r="I327" s="64">
        <v>33228.379999999997</v>
      </c>
      <c r="J327" s="64">
        <v>671.26</v>
      </c>
      <c r="K327" s="64">
        <v>3920.07</v>
      </c>
      <c r="L327" s="64">
        <v>68.900000000000006</v>
      </c>
      <c r="M327" s="64">
        <v>11.4</v>
      </c>
      <c r="N327" s="65">
        <v>120.68</v>
      </c>
      <c r="O327" s="62">
        <v>4</v>
      </c>
      <c r="P327" s="62"/>
      <c r="Q327" s="62" t="s">
        <v>258</v>
      </c>
      <c r="R327" s="61"/>
      <c r="S327" s="61"/>
    </row>
    <row r="328" spans="1:19" ht="13.8" customHeight="1" x14ac:dyDescent="0.3">
      <c r="A328" s="66" t="s">
        <v>283</v>
      </c>
      <c r="B328" s="67">
        <f>IFERROR(INDEX('Boulder Sample Log'!A$5:A$204,MATCH(A328,'Boulder Sample Log'!E$5:E$204,0)),"")</f>
        <v>46120</v>
      </c>
      <c r="C328" s="66">
        <v>363</v>
      </c>
      <c r="D328" s="66" t="s">
        <v>256</v>
      </c>
      <c r="E328" s="66">
        <v>2</v>
      </c>
      <c r="F328" s="68" t="s">
        <v>257</v>
      </c>
      <c r="G328" s="66" t="s">
        <v>257</v>
      </c>
      <c r="H328" s="68">
        <v>8.1999999999999993</v>
      </c>
      <c r="I328" s="68">
        <v>32464.14</v>
      </c>
      <c r="J328" s="68">
        <v>620.08000000000004</v>
      </c>
      <c r="K328" s="68">
        <v>3695.44</v>
      </c>
      <c r="L328" s="68">
        <v>65.16</v>
      </c>
      <c r="M328" s="68">
        <v>12.58</v>
      </c>
      <c r="N328" s="69">
        <v>120.51</v>
      </c>
      <c r="O328" s="66">
        <v>4</v>
      </c>
      <c r="P328" s="66"/>
      <c r="Q328" s="66" t="s">
        <v>258</v>
      </c>
      <c r="R328" s="61"/>
      <c r="S328" s="61"/>
    </row>
    <row r="329" spans="1:19" ht="13.8" customHeight="1" x14ac:dyDescent="0.3">
      <c r="A329" s="62" t="s">
        <v>283</v>
      </c>
      <c r="B329" s="63">
        <f>IFERROR(INDEX('Boulder Sample Log'!A$5:A$204,MATCH(A329,'Boulder Sample Log'!E$5:E$204,0)),"")</f>
        <v>46120</v>
      </c>
      <c r="C329" s="62">
        <v>364</v>
      </c>
      <c r="D329" s="62" t="s">
        <v>256</v>
      </c>
      <c r="E329" s="62">
        <v>2</v>
      </c>
      <c r="F329" s="64" t="s">
        <v>257</v>
      </c>
      <c r="G329" s="62" t="s">
        <v>257</v>
      </c>
      <c r="H329" s="64">
        <v>8.9499999999999993</v>
      </c>
      <c r="I329" s="64">
        <v>32553.37</v>
      </c>
      <c r="J329" s="64">
        <v>596.39</v>
      </c>
      <c r="K329" s="64">
        <v>4060.49</v>
      </c>
      <c r="L329" s="64">
        <v>63.33</v>
      </c>
      <c r="M329" s="64">
        <v>8.5</v>
      </c>
      <c r="N329" s="65">
        <v>120.16</v>
      </c>
      <c r="O329" s="62">
        <v>4</v>
      </c>
      <c r="P329" s="62"/>
      <c r="Q329" s="62" t="s">
        <v>258</v>
      </c>
      <c r="R329" s="61"/>
      <c r="S329" s="61"/>
    </row>
    <row r="330" spans="1:19" ht="13.8" customHeight="1" x14ac:dyDescent="0.3">
      <c r="A330" s="66" t="s">
        <v>283</v>
      </c>
      <c r="B330" s="67">
        <f>IFERROR(INDEX('Boulder Sample Log'!A$5:A$204,MATCH(A330,'Boulder Sample Log'!E$5:E$204,0)),"")</f>
        <v>46120</v>
      </c>
      <c r="C330" s="66">
        <v>365</v>
      </c>
      <c r="D330" s="66" t="s">
        <v>256</v>
      </c>
      <c r="E330" s="66">
        <v>3</v>
      </c>
      <c r="F330" s="68" t="s">
        <v>257</v>
      </c>
      <c r="G330" s="66">
        <v>2.62</v>
      </c>
      <c r="H330" s="68">
        <v>4.59</v>
      </c>
      <c r="I330" s="68">
        <v>32547.75</v>
      </c>
      <c r="J330" s="68">
        <v>565.87</v>
      </c>
      <c r="K330" s="68">
        <v>4781.28</v>
      </c>
      <c r="L330" s="68">
        <v>64.37</v>
      </c>
      <c r="M330" s="68">
        <v>11.86</v>
      </c>
      <c r="N330" s="69">
        <v>120.29</v>
      </c>
      <c r="O330" s="66">
        <v>4</v>
      </c>
      <c r="P330" s="66"/>
      <c r="Q330" s="66" t="s">
        <v>258</v>
      </c>
      <c r="R330" s="61"/>
      <c r="S330" s="61"/>
    </row>
    <row r="331" spans="1:19" ht="13.8" customHeight="1" x14ac:dyDescent="0.3">
      <c r="A331" s="62" t="s">
        <v>283</v>
      </c>
      <c r="B331" s="63">
        <f>IFERROR(INDEX('Boulder Sample Log'!A$5:A$204,MATCH(A331,'Boulder Sample Log'!E$5:E$204,0)),"")</f>
        <v>46120</v>
      </c>
      <c r="C331" s="62">
        <v>366</v>
      </c>
      <c r="D331" s="62" t="s">
        <v>256</v>
      </c>
      <c r="E331" s="62">
        <v>3</v>
      </c>
      <c r="F331" s="64">
        <v>2.83</v>
      </c>
      <c r="G331" s="62" t="s">
        <v>257</v>
      </c>
      <c r="H331" s="64">
        <v>7.07</v>
      </c>
      <c r="I331" s="64">
        <v>34989.15</v>
      </c>
      <c r="J331" s="64">
        <v>647.91999999999996</v>
      </c>
      <c r="K331" s="64">
        <v>2431.44</v>
      </c>
      <c r="L331" s="64">
        <v>73.66</v>
      </c>
      <c r="M331" s="64" t="s">
        <v>257</v>
      </c>
      <c r="N331" s="65">
        <v>123.14</v>
      </c>
      <c r="O331" s="62">
        <v>4</v>
      </c>
      <c r="P331" s="62"/>
      <c r="Q331" s="62" t="s">
        <v>258</v>
      </c>
      <c r="R331" s="61"/>
      <c r="S331" s="61"/>
    </row>
    <row r="332" spans="1:19" ht="13.8" customHeight="1" x14ac:dyDescent="0.3">
      <c r="A332" s="66" t="s">
        <v>283</v>
      </c>
      <c r="B332" s="67">
        <f>IFERROR(INDEX('Boulder Sample Log'!A$5:A$204,MATCH(A332,'Boulder Sample Log'!E$5:E$204,0)),"")</f>
        <v>46120</v>
      </c>
      <c r="C332" s="66">
        <v>367</v>
      </c>
      <c r="D332" s="66" t="s">
        <v>256</v>
      </c>
      <c r="E332" s="66">
        <v>3</v>
      </c>
      <c r="F332" s="68" t="s">
        <v>257</v>
      </c>
      <c r="G332" s="66" t="s">
        <v>257</v>
      </c>
      <c r="H332" s="68">
        <v>8.9</v>
      </c>
      <c r="I332" s="68">
        <v>32827.93</v>
      </c>
      <c r="J332" s="68">
        <v>581.29999999999995</v>
      </c>
      <c r="K332" s="68">
        <v>2272.41</v>
      </c>
      <c r="L332" s="68">
        <v>72.67</v>
      </c>
      <c r="M332" s="68">
        <v>4.3499999999999996</v>
      </c>
      <c r="N332" s="69">
        <v>120.39</v>
      </c>
      <c r="O332" s="66">
        <v>4</v>
      </c>
      <c r="P332" s="66"/>
      <c r="Q332" s="66" t="s">
        <v>258</v>
      </c>
      <c r="R332" s="61"/>
      <c r="S332" s="61"/>
    </row>
    <row r="333" spans="1:19" ht="13.8" customHeight="1" x14ac:dyDescent="0.3">
      <c r="A333" s="62" t="s">
        <v>283</v>
      </c>
      <c r="B333" s="63">
        <f>IFERROR(INDEX('Boulder Sample Log'!A$5:A$204,MATCH(A333,'Boulder Sample Log'!E$5:E$204,0)),"")</f>
        <v>46120</v>
      </c>
      <c r="C333" s="62">
        <v>368</v>
      </c>
      <c r="D333" s="62" t="s">
        <v>256</v>
      </c>
      <c r="E333" s="62">
        <v>4</v>
      </c>
      <c r="F333" s="64">
        <v>4.25</v>
      </c>
      <c r="G333" s="62" t="s">
        <v>257</v>
      </c>
      <c r="H333" s="64">
        <v>8.02</v>
      </c>
      <c r="I333" s="64">
        <v>31922.41</v>
      </c>
      <c r="J333" s="64">
        <v>567.14</v>
      </c>
      <c r="K333" s="64">
        <v>3007.99</v>
      </c>
      <c r="L333" s="64">
        <v>52.05</v>
      </c>
      <c r="M333" s="64">
        <v>8.94</v>
      </c>
      <c r="N333" s="65">
        <v>120.48</v>
      </c>
      <c r="O333" s="62">
        <v>4</v>
      </c>
      <c r="P333" s="62"/>
      <c r="Q333" s="62" t="s">
        <v>258</v>
      </c>
      <c r="R333" s="61"/>
      <c r="S333" s="61"/>
    </row>
    <row r="334" spans="1:19" ht="13.8" customHeight="1" x14ac:dyDescent="0.3">
      <c r="A334" s="66" t="s">
        <v>283</v>
      </c>
      <c r="B334" s="67">
        <f>IFERROR(INDEX('Boulder Sample Log'!A$5:A$204,MATCH(A334,'Boulder Sample Log'!E$5:E$204,0)),"")</f>
        <v>46120</v>
      </c>
      <c r="C334" s="66">
        <v>369</v>
      </c>
      <c r="D334" s="66" t="s">
        <v>256</v>
      </c>
      <c r="E334" s="66">
        <v>4</v>
      </c>
      <c r="F334" s="68" t="s">
        <v>257</v>
      </c>
      <c r="G334" s="66" t="s">
        <v>257</v>
      </c>
      <c r="H334" s="68">
        <v>7.7</v>
      </c>
      <c r="I334" s="68">
        <v>30719.040000000001</v>
      </c>
      <c r="J334" s="68">
        <v>558.99</v>
      </c>
      <c r="K334" s="68">
        <v>3260.42</v>
      </c>
      <c r="L334" s="68">
        <v>53.48</v>
      </c>
      <c r="M334" s="68">
        <v>5.63</v>
      </c>
      <c r="N334" s="69">
        <v>120.59</v>
      </c>
      <c r="O334" s="66">
        <v>4</v>
      </c>
      <c r="P334" s="66"/>
      <c r="Q334" s="66" t="s">
        <v>258</v>
      </c>
      <c r="R334" s="61"/>
      <c r="S334" s="61"/>
    </row>
    <row r="335" spans="1:19" ht="13.8" customHeight="1" x14ac:dyDescent="0.3">
      <c r="A335" s="62" t="s">
        <v>283</v>
      </c>
      <c r="B335" s="63">
        <f>IFERROR(INDEX('Boulder Sample Log'!A$5:A$204,MATCH(A335,'Boulder Sample Log'!E$5:E$204,0)),"")</f>
        <v>46120</v>
      </c>
      <c r="C335" s="62">
        <v>370</v>
      </c>
      <c r="D335" s="62" t="s">
        <v>256</v>
      </c>
      <c r="E335" s="62">
        <v>4</v>
      </c>
      <c r="F335" s="64" t="s">
        <v>257</v>
      </c>
      <c r="G335" s="62" t="s">
        <v>257</v>
      </c>
      <c r="H335" s="64">
        <v>6.93</v>
      </c>
      <c r="I335" s="64">
        <v>31334.63</v>
      </c>
      <c r="J335" s="64">
        <v>558.99</v>
      </c>
      <c r="K335" s="64">
        <v>1439.35</v>
      </c>
      <c r="L335" s="64">
        <v>53.1</v>
      </c>
      <c r="M335" s="64">
        <v>5.76</v>
      </c>
      <c r="N335" s="65">
        <v>120.67</v>
      </c>
      <c r="O335" s="62">
        <v>4</v>
      </c>
      <c r="P335" s="62"/>
      <c r="Q335" s="62" t="s">
        <v>258</v>
      </c>
      <c r="R335" s="61"/>
      <c r="S335" s="61"/>
    </row>
    <row r="336" spans="1:19" ht="13.8" customHeight="1" x14ac:dyDescent="0.3">
      <c r="A336" s="66" t="s">
        <v>283</v>
      </c>
      <c r="B336" s="67">
        <f>IFERROR(INDEX('Boulder Sample Log'!A$5:A$204,MATCH(A336,'Boulder Sample Log'!E$5:E$204,0)),"")</f>
        <v>46120</v>
      </c>
      <c r="C336" s="66">
        <v>371</v>
      </c>
      <c r="D336" s="66" t="s">
        <v>256</v>
      </c>
      <c r="E336" s="66">
        <v>5</v>
      </c>
      <c r="F336" s="68" t="s">
        <v>257</v>
      </c>
      <c r="G336" s="66" t="s">
        <v>257</v>
      </c>
      <c r="H336" s="68">
        <v>6.88</v>
      </c>
      <c r="I336" s="68">
        <v>35614.959999999999</v>
      </c>
      <c r="J336" s="68">
        <v>677.6</v>
      </c>
      <c r="K336" s="68">
        <v>643.46</v>
      </c>
      <c r="L336" s="68">
        <v>81.41</v>
      </c>
      <c r="M336" s="68">
        <v>9.4</v>
      </c>
      <c r="N336" s="69">
        <v>123.21</v>
      </c>
      <c r="O336" s="66">
        <v>4</v>
      </c>
      <c r="P336" s="66"/>
      <c r="Q336" s="66" t="s">
        <v>258</v>
      </c>
      <c r="R336" s="61"/>
      <c r="S336" s="61"/>
    </row>
    <row r="337" spans="1:19" ht="13.8" customHeight="1" x14ac:dyDescent="0.3">
      <c r="A337" s="62" t="s">
        <v>283</v>
      </c>
      <c r="B337" s="63">
        <f>IFERROR(INDEX('Boulder Sample Log'!A$5:A$204,MATCH(A337,'Boulder Sample Log'!E$5:E$204,0)),"")</f>
        <v>46120</v>
      </c>
      <c r="C337" s="62">
        <v>372</v>
      </c>
      <c r="D337" s="62" t="s">
        <v>256</v>
      </c>
      <c r="E337" s="62">
        <v>5</v>
      </c>
      <c r="F337" s="64" t="s">
        <v>257</v>
      </c>
      <c r="G337" s="62" t="s">
        <v>257</v>
      </c>
      <c r="H337" s="64">
        <v>8.31</v>
      </c>
      <c r="I337" s="64">
        <v>35933.85</v>
      </c>
      <c r="J337" s="64">
        <v>708.27</v>
      </c>
      <c r="K337" s="64">
        <v>1172.78</v>
      </c>
      <c r="L337" s="64">
        <v>75.84</v>
      </c>
      <c r="M337" s="64">
        <v>13.16</v>
      </c>
      <c r="N337" s="65">
        <v>123.12</v>
      </c>
      <c r="O337" s="62">
        <v>4</v>
      </c>
      <c r="P337" s="62"/>
      <c r="Q337" s="62" t="s">
        <v>258</v>
      </c>
      <c r="R337" s="61"/>
      <c r="S337" s="61"/>
    </row>
    <row r="338" spans="1:19" ht="13.8" customHeight="1" x14ac:dyDescent="0.3">
      <c r="A338" s="66" t="s">
        <v>283</v>
      </c>
      <c r="B338" s="67">
        <f>IFERROR(INDEX('Boulder Sample Log'!A$5:A$204,MATCH(A338,'Boulder Sample Log'!E$5:E$204,0)),"")</f>
        <v>46120</v>
      </c>
      <c r="C338" s="66">
        <v>373</v>
      </c>
      <c r="D338" s="66" t="s">
        <v>256</v>
      </c>
      <c r="E338" s="66">
        <v>5</v>
      </c>
      <c r="F338" s="68">
        <v>3.55</v>
      </c>
      <c r="G338" s="66" t="s">
        <v>257</v>
      </c>
      <c r="H338" s="68">
        <v>8.83</v>
      </c>
      <c r="I338" s="68">
        <v>34660.550000000003</v>
      </c>
      <c r="J338" s="68">
        <v>627.5</v>
      </c>
      <c r="K338" s="68">
        <v>2826.62</v>
      </c>
      <c r="L338" s="68">
        <v>65.12</v>
      </c>
      <c r="M338" s="68">
        <v>20.61</v>
      </c>
      <c r="N338" s="69">
        <v>120.64</v>
      </c>
      <c r="O338" s="66">
        <v>4</v>
      </c>
      <c r="P338" s="66"/>
      <c r="Q338" s="66" t="s">
        <v>258</v>
      </c>
      <c r="R338" s="61"/>
      <c r="S338" s="61"/>
    </row>
    <row r="339" spans="1:19" ht="13.8" customHeight="1" x14ac:dyDescent="0.3">
      <c r="A339" s="62" t="s">
        <v>284</v>
      </c>
      <c r="B339" s="63">
        <f>IFERROR(INDEX('Boulder Sample Log'!A$5:A$204,MATCH(A339,'Boulder Sample Log'!E$5:E$204,0)),"")</f>
        <v>46121</v>
      </c>
      <c r="C339" s="62">
        <v>401</v>
      </c>
      <c r="D339" s="62" t="s">
        <v>256</v>
      </c>
      <c r="E339" s="62">
        <v>1</v>
      </c>
      <c r="F339" s="64">
        <v>72.08</v>
      </c>
      <c r="G339" s="64" t="s">
        <v>257</v>
      </c>
      <c r="H339" s="64" t="s">
        <v>257</v>
      </c>
      <c r="I339" s="64">
        <v>133.85</v>
      </c>
      <c r="J339" s="64" t="s">
        <v>257</v>
      </c>
      <c r="K339" s="64">
        <v>8202.1</v>
      </c>
      <c r="L339" s="64" t="s">
        <v>257</v>
      </c>
      <c r="M339" s="64" t="s">
        <v>257</v>
      </c>
      <c r="N339" s="64">
        <v>120.45</v>
      </c>
      <c r="O339" s="62">
        <v>4</v>
      </c>
      <c r="P339" s="62"/>
      <c r="Q339" s="62" t="s">
        <v>258</v>
      </c>
      <c r="R339" s="61"/>
      <c r="S339" s="61"/>
    </row>
    <row r="340" spans="1:19" ht="13.8" customHeight="1" x14ac:dyDescent="0.3">
      <c r="A340" s="66" t="s">
        <v>284</v>
      </c>
      <c r="B340" s="67">
        <f>IFERROR(INDEX('Boulder Sample Log'!A$5:A$204,MATCH(A340,'Boulder Sample Log'!E$5:E$204,0)),"")</f>
        <v>46121</v>
      </c>
      <c r="C340" s="66">
        <v>402</v>
      </c>
      <c r="D340" s="66" t="s">
        <v>256</v>
      </c>
      <c r="E340" s="66">
        <v>1</v>
      </c>
      <c r="F340" s="68">
        <v>153.62</v>
      </c>
      <c r="G340" s="68" t="s">
        <v>257</v>
      </c>
      <c r="H340" s="68" t="s">
        <v>257</v>
      </c>
      <c r="I340" s="68">
        <v>129.9</v>
      </c>
      <c r="J340" s="68" t="s">
        <v>257</v>
      </c>
      <c r="K340" s="68">
        <v>1269.78</v>
      </c>
      <c r="L340" s="68" t="s">
        <v>257</v>
      </c>
      <c r="M340" s="68" t="s">
        <v>257</v>
      </c>
      <c r="N340" s="68">
        <v>120.38</v>
      </c>
      <c r="O340" s="66">
        <v>4</v>
      </c>
      <c r="P340" s="66"/>
      <c r="Q340" s="66" t="s">
        <v>258</v>
      </c>
      <c r="R340" s="61"/>
      <c r="S340" s="61"/>
    </row>
    <row r="341" spans="1:19" ht="13.8" customHeight="1" x14ac:dyDescent="0.3">
      <c r="A341" s="62" t="s">
        <v>284</v>
      </c>
      <c r="B341" s="63">
        <f>IFERROR(INDEX('Boulder Sample Log'!A$5:A$204,MATCH(A341,'Boulder Sample Log'!E$5:E$204,0)),"")</f>
        <v>46121</v>
      </c>
      <c r="C341" s="62">
        <v>403</v>
      </c>
      <c r="D341" s="62" t="s">
        <v>256</v>
      </c>
      <c r="E341" s="62">
        <v>1</v>
      </c>
      <c r="F341" s="64">
        <v>126.76</v>
      </c>
      <c r="G341" s="64" t="s">
        <v>257</v>
      </c>
      <c r="H341" s="64" t="s">
        <v>257</v>
      </c>
      <c r="I341" s="64">
        <v>116.11</v>
      </c>
      <c r="J341" s="64" t="s">
        <v>257</v>
      </c>
      <c r="K341" s="64">
        <v>4304.51</v>
      </c>
      <c r="L341" s="64" t="s">
        <v>257</v>
      </c>
      <c r="M341" s="64" t="s">
        <v>257</v>
      </c>
      <c r="N341" s="64">
        <v>120.24</v>
      </c>
      <c r="O341" s="62">
        <v>4</v>
      </c>
      <c r="P341" s="62"/>
      <c r="Q341" s="62" t="s">
        <v>258</v>
      </c>
      <c r="R341" s="61"/>
      <c r="S341" s="61"/>
    </row>
    <row r="342" spans="1:19" ht="13.8" customHeight="1" x14ac:dyDescent="0.3">
      <c r="A342" s="66" t="s">
        <v>284</v>
      </c>
      <c r="B342" s="67">
        <f>IFERROR(INDEX('Boulder Sample Log'!A$5:A$204,MATCH(A342,'Boulder Sample Log'!E$5:E$204,0)),"")</f>
        <v>46121</v>
      </c>
      <c r="C342" s="66">
        <v>404</v>
      </c>
      <c r="D342" s="66" t="s">
        <v>256</v>
      </c>
      <c r="E342" s="66">
        <v>2</v>
      </c>
      <c r="F342" s="68">
        <v>8.65</v>
      </c>
      <c r="G342" s="68" t="s">
        <v>257</v>
      </c>
      <c r="H342" s="68">
        <v>3.66</v>
      </c>
      <c r="I342" s="68">
        <v>697.13</v>
      </c>
      <c r="J342" s="68">
        <v>42.15</v>
      </c>
      <c r="K342" s="68">
        <v>17076.84</v>
      </c>
      <c r="L342" s="68">
        <v>3.61</v>
      </c>
      <c r="M342" s="68" t="s">
        <v>257</v>
      </c>
      <c r="N342" s="68">
        <v>122.77</v>
      </c>
      <c r="O342" s="66">
        <v>4</v>
      </c>
      <c r="P342" s="66"/>
      <c r="Q342" s="66" t="s">
        <v>258</v>
      </c>
      <c r="R342" s="61"/>
      <c r="S342" s="61"/>
    </row>
    <row r="343" spans="1:19" ht="13.8" customHeight="1" x14ac:dyDescent="0.3">
      <c r="A343" s="62" t="s">
        <v>284</v>
      </c>
      <c r="B343" s="63">
        <f>IFERROR(INDEX('Boulder Sample Log'!A$5:A$204,MATCH(A343,'Boulder Sample Log'!E$5:E$204,0)),"")</f>
        <v>46121</v>
      </c>
      <c r="C343" s="62">
        <v>405</v>
      </c>
      <c r="D343" s="62" t="s">
        <v>256</v>
      </c>
      <c r="E343" s="62">
        <v>2</v>
      </c>
      <c r="F343" s="64">
        <v>9.86</v>
      </c>
      <c r="G343" s="64">
        <v>1.82</v>
      </c>
      <c r="H343" s="64">
        <v>3.36</v>
      </c>
      <c r="I343" s="64">
        <v>744.16</v>
      </c>
      <c r="J343" s="64">
        <v>91.12</v>
      </c>
      <c r="K343" s="64">
        <v>18093.07</v>
      </c>
      <c r="L343" s="64">
        <v>8.0500000000000007</v>
      </c>
      <c r="M343" s="64" t="s">
        <v>257</v>
      </c>
      <c r="N343" s="64">
        <v>122.84</v>
      </c>
      <c r="O343" s="62">
        <v>4</v>
      </c>
      <c r="P343" s="62"/>
      <c r="Q343" s="62" t="s">
        <v>258</v>
      </c>
      <c r="R343" s="61"/>
      <c r="S343" s="61"/>
    </row>
    <row r="344" spans="1:19" ht="13.8" customHeight="1" x14ac:dyDescent="0.3">
      <c r="A344" s="66" t="s">
        <v>284</v>
      </c>
      <c r="B344" s="67">
        <f>IFERROR(INDEX('Boulder Sample Log'!A$5:A$204,MATCH(A344,'Boulder Sample Log'!E$5:E$204,0)),"")</f>
        <v>46121</v>
      </c>
      <c r="C344" s="66">
        <v>406</v>
      </c>
      <c r="D344" s="66" t="s">
        <v>256</v>
      </c>
      <c r="E344" s="66">
        <v>2</v>
      </c>
      <c r="F344" s="68">
        <v>9.0500000000000007</v>
      </c>
      <c r="G344" s="68">
        <v>1.41</v>
      </c>
      <c r="H344" s="68" t="s">
        <v>257</v>
      </c>
      <c r="I344" s="68">
        <v>667.58</v>
      </c>
      <c r="J344" s="68">
        <v>30.63</v>
      </c>
      <c r="K344" s="68">
        <v>10079.290000000001</v>
      </c>
      <c r="L344" s="68" t="s">
        <v>257</v>
      </c>
      <c r="M344" s="68" t="s">
        <v>257</v>
      </c>
      <c r="N344" s="68">
        <v>120.11</v>
      </c>
      <c r="O344" s="66">
        <v>4</v>
      </c>
      <c r="P344" s="66"/>
      <c r="Q344" s="66" t="s">
        <v>258</v>
      </c>
      <c r="R344" s="61"/>
      <c r="S344" s="61"/>
    </row>
    <row r="345" spans="1:19" ht="13.8" customHeight="1" x14ac:dyDescent="0.3">
      <c r="A345" s="62" t="s">
        <v>284</v>
      </c>
      <c r="B345" s="63">
        <f>IFERROR(INDEX('Boulder Sample Log'!A$5:A$204,MATCH(A345,'Boulder Sample Log'!E$5:E$204,0)),"")</f>
        <v>46121</v>
      </c>
      <c r="C345" s="62">
        <v>407</v>
      </c>
      <c r="D345" s="62" t="s">
        <v>256</v>
      </c>
      <c r="E345" s="62">
        <v>3</v>
      </c>
      <c r="F345" s="64">
        <v>20.9</v>
      </c>
      <c r="G345" s="64" t="s">
        <v>257</v>
      </c>
      <c r="H345" s="64" t="s">
        <v>257</v>
      </c>
      <c r="I345" s="64">
        <v>836.93</v>
      </c>
      <c r="J345" s="64">
        <v>115.1</v>
      </c>
      <c r="K345" s="64">
        <v>20409.86</v>
      </c>
      <c r="L345" s="64">
        <v>24.36</v>
      </c>
      <c r="M345" s="64" t="s">
        <v>257</v>
      </c>
      <c r="N345" s="64">
        <v>120.15</v>
      </c>
      <c r="O345" s="62">
        <v>4</v>
      </c>
      <c r="P345" s="62"/>
      <c r="Q345" s="62" t="s">
        <v>258</v>
      </c>
      <c r="R345" s="61"/>
      <c r="S345" s="61"/>
    </row>
    <row r="346" spans="1:19" ht="13.8" customHeight="1" x14ac:dyDescent="0.3">
      <c r="A346" s="66" t="s">
        <v>284</v>
      </c>
      <c r="B346" s="67">
        <f>IFERROR(INDEX('Boulder Sample Log'!A$5:A$204,MATCH(A346,'Boulder Sample Log'!E$5:E$204,0)),"")</f>
        <v>46121</v>
      </c>
      <c r="C346" s="66">
        <v>408</v>
      </c>
      <c r="D346" s="66" t="s">
        <v>256</v>
      </c>
      <c r="E346" s="66">
        <v>3</v>
      </c>
      <c r="F346" s="68">
        <v>11.68</v>
      </c>
      <c r="G346" s="68">
        <v>1.42</v>
      </c>
      <c r="H346" s="68" t="s">
        <v>257</v>
      </c>
      <c r="I346" s="68">
        <v>786.19</v>
      </c>
      <c r="J346" s="68">
        <v>101.57</v>
      </c>
      <c r="K346" s="68">
        <v>15853.51</v>
      </c>
      <c r="L346" s="68">
        <v>20.81</v>
      </c>
      <c r="M346" s="68" t="s">
        <v>257</v>
      </c>
      <c r="N346" s="68">
        <v>120.66</v>
      </c>
      <c r="O346" s="66">
        <v>4</v>
      </c>
      <c r="P346" s="66"/>
      <c r="Q346" s="66" t="s">
        <v>258</v>
      </c>
      <c r="R346" s="61"/>
      <c r="S346" s="61"/>
    </row>
    <row r="347" spans="1:19" ht="13.8" customHeight="1" x14ac:dyDescent="0.3">
      <c r="A347" s="62" t="s">
        <v>284</v>
      </c>
      <c r="B347" s="63">
        <f>IFERROR(INDEX('Boulder Sample Log'!A$5:A$204,MATCH(A347,'Boulder Sample Log'!E$5:E$204,0)),"")</f>
        <v>46121</v>
      </c>
      <c r="C347" s="62">
        <v>409</v>
      </c>
      <c r="D347" s="62" t="s">
        <v>256</v>
      </c>
      <c r="E347" s="62">
        <v>3</v>
      </c>
      <c r="F347" s="64">
        <v>12.33</v>
      </c>
      <c r="G347" s="64">
        <v>1.2</v>
      </c>
      <c r="H347" s="64" t="s">
        <v>257</v>
      </c>
      <c r="I347" s="64">
        <v>728.44</v>
      </c>
      <c r="J347" s="64">
        <v>132.25</v>
      </c>
      <c r="K347" s="64">
        <v>19842.02</v>
      </c>
      <c r="L347" s="64">
        <v>11.35</v>
      </c>
      <c r="M347" s="64" t="s">
        <v>257</v>
      </c>
      <c r="N347" s="64">
        <v>120.32</v>
      </c>
      <c r="O347" s="62">
        <v>4</v>
      </c>
      <c r="P347" s="62"/>
      <c r="Q347" s="62" t="s">
        <v>258</v>
      </c>
      <c r="R347" s="61"/>
      <c r="S347" s="61"/>
    </row>
    <row r="348" spans="1:19" ht="13.8" customHeight="1" x14ac:dyDescent="0.3">
      <c r="A348" s="66" t="s">
        <v>284</v>
      </c>
      <c r="B348" s="67">
        <f>IFERROR(INDEX('Boulder Sample Log'!A$5:A$204,MATCH(A348,'Boulder Sample Log'!E$5:E$204,0)),"")</f>
        <v>46121</v>
      </c>
      <c r="C348" s="66">
        <v>410</v>
      </c>
      <c r="D348" s="66" t="s">
        <v>256</v>
      </c>
      <c r="E348" s="66">
        <v>4</v>
      </c>
      <c r="F348" s="68">
        <v>5.08</v>
      </c>
      <c r="G348" s="68" t="s">
        <v>257</v>
      </c>
      <c r="H348" s="68">
        <v>5.53</v>
      </c>
      <c r="I348" s="68">
        <v>1100.04</v>
      </c>
      <c r="J348" s="68" t="s">
        <v>257</v>
      </c>
      <c r="K348" s="68">
        <v>8709.7199999999993</v>
      </c>
      <c r="L348" s="68" t="s">
        <v>257</v>
      </c>
      <c r="M348" s="68" t="s">
        <v>257</v>
      </c>
      <c r="N348" s="68">
        <v>120.39</v>
      </c>
      <c r="O348" s="66">
        <v>4</v>
      </c>
      <c r="P348" s="66"/>
      <c r="Q348" s="66" t="s">
        <v>258</v>
      </c>
      <c r="R348" s="61"/>
      <c r="S348" s="61"/>
    </row>
    <row r="349" spans="1:19" ht="13.8" customHeight="1" x14ac:dyDescent="0.3">
      <c r="A349" s="62" t="s">
        <v>284</v>
      </c>
      <c r="B349" s="63">
        <f>IFERROR(INDEX('Boulder Sample Log'!A$5:A$204,MATCH(A349,'Boulder Sample Log'!E$5:E$204,0)),"")</f>
        <v>46121</v>
      </c>
      <c r="C349" s="62">
        <v>411</v>
      </c>
      <c r="D349" s="62" t="s">
        <v>256</v>
      </c>
      <c r="E349" s="62">
        <v>4</v>
      </c>
      <c r="F349" s="64">
        <v>6.1</v>
      </c>
      <c r="G349" s="64" t="s">
        <v>257</v>
      </c>
      <c r="H349" s="64">
        <v>10.72</v>
      </c>
      <c r="I349" s="64">
        <v>1292.3399999999999</v>
      </c>
      <c r="J349" s="64" t="s">
        <v>257</v>
      </c>
      <c r="K349" s="64">
        <v>10492.85</v>
      </c>
      <c r="L349" s="64" t="s">
        <v>257</v>
      </c>
      <c r="M349" s="64" t="s">
        <v>257</v>
      </c>
      <c r="N349" s="64">
        <v>122.91</v>
      </c>
      <c r="O349" s="62">
        <v>4</v>
      </c>
      <c r="P349" s="62"/>
      <c r="Q349" s="62" t="s">
        <v>258</v>
      </c>
      <c r="R349" s="61"/>
      <c r="S349" s="61"/>
    </row>
    <row r="350" spans="1:19" ht="13.8" customHeight="1" x14ac:dyDescent="0.3">
      <c r="A350" s="66" t="s">
        <v>284</v>
      </c>
      <c r="B350" s="67">
        <f>IFERROR(INDEX('Boulder Sample Log'!A$5:A$204,MATCH(A350,'Boulder Sample Log'!E$5:E$204,0)),"")</f>
        <v>46121</v>
      </c>
      <c r="C350" s="66">
        <v>412</v>
      </c>
      <c r="D350" s="66" t="s">
        <v>256</v>
      </c>
      <c r="E350" s="66">
        <v>4</v>
      </c>
      <c r="F350" s="68">
        <v>5.63</v>
      </c>
      <c r="G350" s="68" t="s">
        <v>257</v>
      </c>
      <c r="H350" s="68">
        <v>7.18</v>
      </c>
      <c r="I350" s="68">
        <v>1583.58</v>
      </c>
      <c r="J350" s="68" t="s">
        <v>257</v>
      </c>
      <c r="K350" s="68">
        <v>8645.09</v>
      </c>
      <c r="L350" s="68" t="s">
        <v>257</v>
      </c>
      <c r="M350" s="68" t="s">
        <v>257</v>
      </c>
      <c r="N350" s="68">
        <v>123.02</v>
      </c>
      <c r="O350" s="66">
        <v>4</v>
      </c>
      <c r="P350" s="66"/>
      <c r="Q350" s="66" t="s">
        <v>258</v>
      </c>
      <c r="R350" s="61"/>
      <c r="S350" s="61"/>
    </row>
    <row r="351" spans="1:19" ht="13.8" customHeight="1" x14ac:dyDescent="0.3">
      <c r="A351" s="62" t="s">
        <v>284</v>
      </c>
      <c r="B351" s="63">
        <f>IFERROR(INDEX('Boulder Sample Log'!A$5:A$204,MATCH(A351,'Boulder Sample Log'!E$5:E$204,0)),"")</f>
        <v>46121</v>
      </c>
      <c r="C351" s="62">
        <v>413</v>
      </c>
      <c r="D351" s="62" t="s">
        <v>256</v>
      </c>
      <c r="E351" s="62">
        <v>5</v>
      </c>
      <c r="F351" s="64">
        <v>6.75</v>
      </c>
      <c r="G351" s="64" t="s">
        <v>257</v>
      </c>
      <c r="H351" s="64">
        <v>3.64</v>
      </c>
      <c r="I351" s="64">
        <v>788.86</v>
      </c>
      <c r="J351" s="64" t="s">
        <v>257</v>
      </c>
      <c r="K351" s="64">
        <v>10025.08</v>
      </c>
      <c r="L351" s="64" t="s">
        <v>257</v>
      </c>
      <c r="M351" s="64" t="s">
        <v>257</v>
      </c>
      <c r="N351" s="64">
        <v>120.5</v>
      </c>
      <c r="O351" s="62">
        <v>4</v>
      </c>
      <c r="P351" s="62"/>
      <c r="Q351" s="62" t="s">
        <v>258</v>
      </c>
      <c r="R351" s="61"/>
      <c r="S351" s="61"/>
    </row>
    <row r="352" spans="1:19" ht="13.8" customHeight="1" x14ac:dyDescent="0.3">
      <c r="A352" s="66" t="s">
        <v>284</v>
      </c>
      <c r="B352" s="67">
        <f>IFERROR(INDEX('Boulder Sample Log'!A$5:A$204,MATCH(A352,'Boulder Sample Log'!E$5:E$204,0)),"")</f>
        <v>46121</v>
      </c>
      <c r="C352" s="66">
        <v>414</v>
      </c>
      <c r="D352" s="66" t="s">
        <v>256</v>
      </c>
      <c r="E352" s="66">
        <v>5</v>
      </c>
      <c r="F352" s="68">
        <v>11.09</v>
      </c>
      <c r="G352" s="68">
        <v>1.46</v>
      </c>
      <c r="H352" s="68">
        <v>3.51</v>
      </c>
      <c r="I352" s="68">
        <v>853.18</v>
      </c>
      <c r="J352" s="68">
        <v>22.08</v>
      </c>
      <c r="K352" s="68">
        <v>9891.59</v>
      </c>
      <c r="L352" s="68" t="s">
        <v>257</v>
      </c>
      <c r="M352" s="68" t="s">
        <v>257</v>
      </c>
      <c r="N352" s="68">
        <v>120.35</v>
      </c>
      <c r="O352" s="66">
        <v>4</v>
      </c>
      <c r="P352" s="66"/>
      <c r="Q352" s="66" t="s">
        <v>258</v>
      </c>
      <c r="R352" s="61"/>
      <c r="S352" s="61"/>
    </row>
    <row r="353" spans="1:19" ht="13.8" customHeight="1" x14ac:dyDescent="0.3">
      <c r="A353" s="62" t="s">
        <v>284</v>
      </c>
      <c r="B353" s="63">
        <f>IFERROR(INDEX('Boulder Sample Log'!A$5:A$204,MATCH(A353,'Boulder Sample Log'!E$5:E$204,0)),"")</f>
        <v>46121</v>
      </c>
      <c r="C353" s="62">
        <v>415</v>
      </c>
      <c r="D353" s="62" t="s">
        <v>256</v>
      </c>
      <c r="E353" s="62">
        <v>5</v>
      </c>
      <c r="F353" s="64">
        <v>28.62</v>
      </c>
      <c r="G353" s="64">
        <v>1.1000000000000001</v>
      </c>
      <c r="H353" s="64">
        <v>4.96</v>
      </c>
      <c r="I353" s="64">
        <v>974.07</v>
      </c>
      <c r="J353" s="64">
        <v>17.82</v>
      </c>
      <c r="K353" s="64">
        <v>9358.26</v>
      </c>
      <c r="L353" s="64" t="s">
        <v>257</v>
      </c>
      <c r="M353" s="64" t="s">
        <v>257</v>
      </c>
      <c r="N353" s="64">
        <v>120.35</v>
      </c>
      <c r="O353" s="62">
        <v>4</v>
      </c>
      <c r="P353" s="62"/>
      <c r="Q353" s="62" t="s">
        <v>258</v>
      </c>
      <c r="R353" s="61"/>
      <c r="S353" s="61"/>
    </row>
    <row r="354" spans="1:19" ht="13.8" customHeight="1" x14ac:dyDescent="0.3">
      <c r="A354" s="66" t="s">
        <v>285</v>
      </c>
      <c r="B354" s="67">
        <f>IFERROR(INDEX('Boulder Sample Log'!A$5:A$204,MATCH(A354,'Boulder Sample Log'!E$5:E$204,0)),"")</f>
        <v>46121</v>
      </c>
      <c r="C354" s="66">
        <v>416</v>
      </c>
      <c r="D354" s="66" t="s">
        <v>256</v>
      </c>
      <c r="E354" s="66">
        <v>1</v>
      </c>
      <c r="F354" s="68">
        <v>11.35</v>
      </c>
      <c r="G354" s="68">
        <v>3.32</v>
      </c>
      <c r="H354" s="68">
        <v>7.6</v>
      </c>
      <c r="I354" s="68">
        <v>32967.47</v>
      </c>
      <c r="J354" s="68">
        <v>313.67</v>
      </c>
      <c r="K354" s="68">
        <v>8522.98</v>
      </c>
      <c r="L354" s="68">
        <v>41.67</v>
      </c>
      <c r="M354" s="68">
        <v>24.25</v>
      </c>
      <c r="N354" s="68">
        <v>122.86</v>
      </c>
      <c r="O354" s="66">
        <v>4</v>
      </c>
      <c r="P354" s="66"/>
      <c r="Q354" s="66" t="s">
        <v>258</v>
      </c>
      <c r="R354" s="61"/>
      <c r="S354" s="61"/>
    </row>
    <row r="355" spans="1:19" ht="13.8" customHeight="1" x14ac:dyDescent="0.3">
      <c r="A355" s="62" t="s">
        <v>285</v>
      </c>
      <c r="B355" s="63">
        <f>IFERROR(INDEX('Boulder Sample Log'!A$5:A$204,MATCH(A355,'Boulder Sample Log'!E$5:E$204,0)),"")</f>
        <v>46121</v>
      </c>
      <c r="C355" s="62">
        <v>417</v>
      </c>
      <c r="D355" s="62" t="s">
        <v>256</v>
      </c>
      <c r="E355" s="62">
        <v>1</v>
      </c>
      <c r="F355" s="64">
        <v>9.5299999999999994</v>
      </c>
      <c r="G355" s="64" t="s">
        <v>257</v>
      </c>
      <c r="H355" s="64">
        <v>8.6</v>
      </c>
      <c r="I355" s="64">
        <v>30596.01</v>
      </c>
      <c r="J355" s="64">
        <v>249.45</v>
      </c>
      <c r="K355" s="64">
        <v>12174.3</v>
      </c>
      <c r="L355" s="64">
        <v>40.71</v>
      </c>
      <c r="M355" s="64">
        <v>19.87</v>
      </c>
      <c r="N355" s="64">
        <v>120.63</v>
      </c>
      <c r="O355" s="62">
        <v>4</v>
      </c>
      <c r="P355" s="62"/>
      <c r="Q355" s="62" t="s">
        <v>258</v>
      </c>
      <c r="R355" s="61"/>
      <c r="S355" s="61"/>
    </row>
    <row r="356" spans="1:19" ht="13.8" customHeight="1" x14ac:dyDescent="0.3">
      <c r="A356" s="66" t="s">
        <v>285</v>
      </c>
      <c r="B356" s="67">
        <f>IFERROR(INDEX('Boulder Sample Log'!A$5:A$204,MATCH(A356,'Boulder Sample Log'!E$5:E$204,0)),"")</f>
        <v>46121</v>
      </c>
      <c r="C356" s="66">
        <v>418</v>
      </c>
      <c r="D356" s="66" t="s">
        <v>256</v>
      </c>
      <c r="E356" s="66">
        <v>2</v>
      </c>
      <c r="F356" s="68">
        <v>16.600000000000001</v>
      </c>
      <c r="G356" s="68" t="s">
        <v>257</v>
      </c>
      <c r="H356" s="68">
        <v>5.33</v>
      </c>
      <c r="I356" s="68">
        <v>28977.599999999999</v>
      </c>
      <c r="J356" s="68">
        <v>236.21</v>
      </c>
      <c r="K356" s="68">
        <v>11704.32</v>
      </c>
      <c r="L356" s="68">
        <v>33.01</v>
      </c>
      <c r="M356" s="68">
        <v>23.06</v>
      </c>
      <c r="N356" s="68">
        <v>120.3</v>
      </c>
      <c r="O356" s="66">
        <v>4</v>
      </c>
      <c r="P356" s="66"/>
      <c r="Q356" s="66" t="s">
        <v>258</v>
      </c>
      <c r="R356" s="61"/>
      <c r="S356" s="61"/>
    </row>
    <row r="357" spans="1:19" ht="13.8" customHeight="1" x14ac:dyDescent="0.3">
      <c r="A357" s="62" t="s">
        <v>285</v>
      </c>
      <c r="B357" s="63">
        <f>IFERROR(INDEX('Boulder Sample Log'!A$5:A$204,MATCH(A357,'Boulder Sample Log'!E$5:E$204,0)),"")</f>
        <v>46121</v>
      </c>
      <c r="C357" s="62">
        <v>419</v>
      </c>
      <c r="D357" s="62" t="s">
        <v>256</v>
      </c>
      <c r="E357" s="62">
        <v>2</v>
      </c>
      <c r="F357" s="64">
        <v>9</v>
      </c>
      <c r="G357" s="64" t="s">
        <v>257</v>
      </c>
      <c r="H357" s="64">
        <v>23.8</v>
      </c>
      <c r="I357" s="64">
        <v>25710.71</v>
      </c>
      <c r="J357" s="64">
        <v>209.43</v>
      </c>
      <c r="K357" s="64">
        <v>10531.87</v>
      </c>
      <c r="L357" s="64">
        <v>33.18</v>
      </c>
      <c r="M357" s="64">
        <v>20.86</v>
      </c>
      <c r="N357" s="64">
        <v>120.47</v>
      </c>
      <c r="O357" s="62">
        <v>4</v>
      </c>
      <c r="P357" s="62"/>
      <c r="Q357" s="62" t="s">
        <v>258</v>
      </c>
      <c r="R357" s="61"/>
      <c r="S357" s="61"/>
    </row>
    <row r="358" spans="1:19" ht="13.8" customHeight="1" x14ac:dyDescent="0.3">
      <c r="A358" s="66" t="s">
        <v>285</v>
      </c>
      <c r="B358" s="67">
        <f>IFERROR(INDEX('Boulder Sample Log'!A$5:A$204,MATCH(A358,'Boulder Sample Log'!E$5:E$204,0)),"")</f>
        <v>46121</v>
      </c>
      <c r="C358" s="66">
        <v>420</v>
      </c>
      <c r="D358" s="66" t="s">
        <v>256</v>
      </c>
      <c r="E358" s="66">
        <v>3</v>
      </c>
      <c r="F358" s="68">
        <v>6.74</v>
      </c>
      <c r="G358" s="68" t="s">
        <v>257</v>
      </c>
      <c r="H358" s="68">
        <v>4.29</v>
      </c>
      <c r="I358" s="68">
        <v>9819.16</v>
      </c>
      <c r="J358" s="68" t="s">
        <v>257</v>
      </c>
      <c r="K358" s="68">
        <v>13761.45</v>
      </c>
      <c r="L358" s="68">
        <v>8.0500000000000007</v>
      </c>
      <c r="M358" s="68">
        <v>16.22</v>
      </c>
      <c r="N358" s="68">
        <v>120.46</v>
      </c>
      <c r="O358" s="66">
        <v>4</v>
      </c>
      <c r="P358" s="66"/>
      <c r="Q358" s="66" t="s">
        <v>258</v>
      </c>
      <c r="R358" s="61"/>
      <c r="S358" s="61"/>
    </row>
    <row r="359" spans="1:19" ht="13.8" customHeight="1" x14ac:dyDescent="0.3">
      <c r="A359" s="62" t="s">
        <v>285</v>
      </c>
      <c r="B359" s="63">
        <f>IFERROR(INDEX('Boulder Sample Log'!A$5:A$204,MATCH(A359,'Boulder Sample Log'!E$5:E$204,0)),"")</f>
        <v>46121</v>
      </c>
      <c r="C359" s="62">
        <v>421</v>
      </c>
      <c r="D359" s="62" t="s">
        <v>256</v>
      </c>
      <c r="E359" s="62">
        <v>3</v>
      </c>
      <c r="F359" s="64">
        <v>3.41</v>
      </c>
      <c r="G359" s="64" t="s">
        <v>257</v>
      </c>
      <c r="H359" s="64">
        <v>4.92</v>
      </c>
      <c r="I359" s="64">
        <v>10437.52</v>
      </c>
      <c r="J359" s="64">
        <v>40.479999999999997</v>
      </c>
      <c r="K359" s="64">
        <v>14607.92</v>
      </c>
      <c r="L359" s="64">
        <v>8.52</v>
      </c>
      <c r="M359" s="64">
        <v>21.37</v>
      </c>
      <c r="N359" s="64">
        <v>120.51</v>
      </c>
      <c r="O359" s="62">
        <v>4</v>
      </c>
      <c r="P359" s="62"/>
      <c r="Q359" s="62" t="s">
        <v>258</v>
      </c>
      <c r="R359" s="61"/>
      <c r="S359" s="61"/>
    </row>
    <row r="360" spans="1:19" ht="13.8" customHeight="1" x14ac:dyDescent="0.3">
      <c r="A360" s="66" t="s">
        <v>285</v>
      </c>
      <c r="B360" s="67">
        <f>IFERROR(INDEX('Boulder Sample Log'!A$5:A$204,MATCH(A360,'Boulder Sample Log'!E$5:E$204,0)),"")</f>
        <v>46121</v>
      </c>
      <c r="C360" s="66">
        <v>422</v>
      </c>
      <c r="D360" s="66" t="s">
        <v>256</v>
      </c>
      <c r="E360" s="66">
        <v>4</v>
      </c>
      <c r="F360" s="68" t="s">
        <v>257</v>
      </c>
      <c r="G360" s="68" t="s">
        <v>257</v>
      </c>
      <c r="H360" s="68">
        <v>5.0999999999999996</v>
      </c>
      <c r="I360" s="68">
        <v>21821.22</v>
      </c>
      <c r="J360" s="68">
        <v>235.55</v>
      </c>
      <c r="K360" s="68">
        <v>9459.94</v>
      </c>
      <c r="L360" s="68">
        <v>34.869999999999997</v>
      </c>
      <c r="M360" s="68">
        <v>9.0299999999999994</v>
      </c>
      <c r="N360" s="68">
        <v>120.5</v>
      </c>
      <c r="O360" s="66">
        <v>4</v>
      </c>
      <c r="P360" s="66"/>
      <c r="Q360" s="66" t="s">
        <v>258</v>
      </c>
      <c r="R360" s="61"/>
      <c r="S360" s="61"/>
    </row>
    <row r="361" spans="1:19" ht="13.8" customHeight="1" x14ac:dyDescent="0.3">
      <c r="A361" s="62" t="s">
        <v>285</v>
      </c>
      <c r="B361" s="63">
        <f>IFERROR(INDEX('Boulder Sample Log'!A$5:A$204,MATCH(A361,'Boulder Sample Log'!E$5:E$204,0)),"")</f>
        <v>46121</v>
      </c>
      <c r="C361" s="62">
        <v>423</v>
      </c>
      <c r="D361" s="62" t="s">
        <v>256</v>
      </c>
      <c r="E361" s="62">
        <v>4</v>
      </c>
      <c r="F361" s="64" t="s">
        <v>257</v>
      </c>
      <c r="G361" s="64" t="s">
        <v>257</v>
      </c>
      <c r="H361" s="64">
        <v>4.16</v>
      </c>
      <c r="I361" s="64">
        <v>23570.639999999999</v>
      </c>
      <c r="J361" s="64">
        <v>266.95999999999998</v>
      </c>
      <c r="K361" s="64">
        <v>8434.5300000000007</v>
      </c>
      <c r="L361" s="64">
        <v>39.619999999999997</v>
      </c>
      <c r="M361" s="64">
        <v>8.34</v>
      </c>
      <c r="N361" s="64">
        <v>120.28</v>
      </c>
      <c r="O361" s="62">
        <v>4</v>
      </c>
      <c r="P361" s="62"/>
      <c r="Q361" s="62" t="s">
        <v>258</v>
      </c>
      <c r="R361" s="61"/>
      <c r="S361" s="61"/>
    </row>
    <row r="362" spans="1:19" ht="13.8" customHeight="1" x14ac:dyDescent="0.3">
      <c r="A362" s="66" t="s">
        <v>285</v>
      </c>
      <c r="B362" s="67">
        <f>IFERROR(INDEX('Boulder Sample Log'!A$5:A$204,MATCH(A362,'Boulder Sample Log'!E$5:E$204,0)),"")</f>
        <v>46121</v>
      </c>
      <c r="C362" s="66">
        <v>424</v>
      </c>
      <c r="D362" s="66" t="s">
        <v>256</v>
      </c>
      <c r="E362" s="66">
        <v>5</v>
      </c>
      <c r="F362" s="68">
        <v>4.2</v>
      </c>
      <c r="G362" s="68">
        <v>4.7</v>
      </c>
      <c r="H362" s="68">
        <v>11.89</v>
      </c>
      <c r="I362" s="68">
        <v>30018.39</v>
      </c>
      <c r="J362" s="68">
        <v>276.08</v>
      </c>
      <c r="K362" s="68">
        <v>8973.94</v>
      </c>
      <c r="L362" s="68">
        <v>35.94</v>
      </c>
      <c r="M362" s="68">
        <v>23.05</v>
      </c>
      <c r="N362" s="68">
        <v>123.02</v>
      </c>
      <c r="O362" s="66">
        <v>4</v>
      </c>
      <c r="P362" s="66"/>
      <c r="Q362" s="66" t="s">
        <v>258</v>
      </c>
      <c r="R362" s="61"/>
      <c r="S362" s="61"/>
    </row>
    <row r="363" spans="1:19" ht="13.8" customHeight="1" x14ac:dyDescent="0.3">
      <c r="A363" s="62" t="s">
        <v>285</v>
      </c>
      <c r="B363" s="63">
        <f>IFERROR(INDEX('Boulder Sample Log'!A$5:A$204,MATCH(A363,'Boulder Sample Log'!E$5:E$204,0)),"")</f>
        <v>46121</v>
      </c>
      <c r="C363" s="62">
        <v>425</v>
      </c>
      <c r="D363" s="62" t="s">
        <v>256</v>
      </c>
      <c r="E363" s="62">
        <v>5</v>
      </c>
      <c r="F363" s="64">
        <v>7.21</v>
      </c>
      <c r="G363" s="64">
        <v>3.92</v>
      </c>
      <c r="H363" s="64">
        <v>6.95</v>
      </c>
      <c r="I363" s="64">
        <v>28568.09</v>
      </c>
      <c r="J363" s="64">
        <v>276.29000000000002</v>
      </c>
      <c r="K363" s="64">
        <v>8885.44</v>
      </c>
      <c r="L363" s="64">
        <v>37.64</v>
      </c>
      <c r="M363" s="64">
        <v>20.6</v>
      </c>
      <c r="N363" s="64">
        <v>120.51</v>
      </c>
      <c r="O363" s="62">
        <v>4</v>
      </c>
      <c r="P363" s="62"/>
      <c r="Q363" s="62" t="s">
        <v>258</v>
      </c>
      <c r="R363" s="61"/>
      <c r="S363" s="61"/>
    </row>
    <row r="364" spans="1:19" ht="13.8" customHeight="1" x14ac:dyDescent="0.3">
      <c r="A364" s="66" t="s">
        <v>286</v>
      </c>
      <c r="B364" s="67">
        <f>IFERROR(INDEX('Boulder Sample Log'!A$5:A$204,MATCH(A364,'Boulder Sample Log'!E$5:E$204,0)),"")</f>
        <v>46121</v>
      </c>
      <c r="C364" s="66">
        <v>426</v>
      </c>
      <c r="D364" s="66" t="s">
        <v>256</v>
      </c>
      <c r="E364" s="66">
        <v>1</v>
      </c>
      <c r="F364" s="68" t="s">
        <v>257</v>
      </c>
      <c r="G364" s="68" t="s">
        <v>257</v>
      </c>
      <c r="H364" s="68">
        <v>11.69</v>
      </c>
      <c r="I364" s="68">
        <v>16973.2</v>
      </c>
      <c r="J364" s="68">
        <v>235.63</v>
      </c>
      <c r="K364" s="68">
        <v>672.34</v>
      </c>
      <c r="L364" s="68">
        <v>28.01</v>
      </c>
      <c r="M364" s="68" t="s">
        <v>257</v>
      </c>
      <c r="N364" s="68">
        <v>122.95</v>
      </c>
      <c r="O364" s="66">
        <v>4</v>
      </c>
      <c r="P364" s="66"/>
      <c r="Q364" s="66" t="s">
        <v>258</v>
      </c>
      <c r="R364" s="61"/>
      <c r="S364" s="61"/>
    </row>
    <row r="365" spans="1:19" ht="13.8" customHeight="1" x14ac:dyDescent="0.3">
      <c r="A365" s="62" t="s">
        <v>286</v>
      </c>
      <c r="B365" s="63">
        <f>IFERROR(INDEX('Boulder Sample Log'!A$5:A$204,MATCH(A365,'Boulder Sample Log'!E$5:E$204,0)),"")</f>
        <v>46121</v>
      </c>
      <c r="C365" s="62">
        <v>427</v>
      </c>
      <c r="D365" s="62" t="s">
        <v>256</v>
      </c>
      <c r="E365" s="62">
        <v>1</v>
      </c>
      <c r="F365" s="64" t="s">
        <v>257</v>
      </c>
      <c r="G365" s="64" t="s">
        <v>257</v>
      </c>
      <c r="H365" s="64">
        <v>10.55</v>
      </c>
      <c r="I365" s="64">
        <v>17084.89</v>
      </c>
      <c r="J365" s="64">
        <v>232.6</v>
      </c>
      <c r="K365" s="64">
        <v>2684.9</v>
      </c>
      <c r="L365" s="64">
        <v>33.46</v>
      </c>
      <c r="M365" s="64">
        <v>5.83</v>
      </c>
      <c r="N365" s="64">
        <v>120.5</v>
      </c>
      <c r="O365" s="62">
        <v>4</v>
      </c>
      <c r="P365" s="62"/>
      <c r="Q365" s="62" t="s">
        <v>258</v>
      </c>
      <c r="R365" s="61"/>
      <c r="S365" s="61"/>
    </row>
    <row r="366" spans="1:19" ht="13.8" customHeight="1" x14ac:dyDescent="0.3">
      <c r="A366" s="66" t="s">
        <v>286</v>
      </c>
      <c r="B366" s="67">
        <f>IFERROR(INDEX('Boulder Sample Log'!A$5:A$204,MATCH(A366,'Boulder Sample Log'!E$5:E$204,0)),"")</f>
        <v>46121</v>
      </c>
      <c r="C366" s="66">
        <v>428</v>
      </c>
      <c r="D366" s="66" t="s">
        <v>256</v>
      </c>
      <c r="E366" s="66">
        <v>2</v>
      </c>
      <c r="F366" s="68" t="s">
        <v>257</v>
      </c>
      <c r="G366" s="68" t="s">
        <v>257</v>
      </c>
      <c r="H366" s="68">
        <v>11.52</v>
      </c>
      <c r="I366" s="68">
        <v>18357.57</v>
      </c>
      <c r="J366" s="68">
        <v>260.58</v>
      </c>
      <c r="K366" s="68">
        <v>3409.18</v>
      </c>
      <c r="L366" s="68">
        <v>36.39</v>
      </c>
      <c r="M366" s="68">
        <v>7.73</v>
      </c>
      <c r="N366" s="68">
        <v>120.45</v>
      </c>
      <c r="O366" s="66">
        <v>4</v>
      </c>
      <c r="P366" s="66"/>
      <c r="Q366" s="66" t="s">
        <v>258</v>
      </c>
      <c r="R366" s="61"/>
      <c r="S366" s="61"/>
    </row>
    <row r="367" spans="1:19" ht="13.8" customHeight="1" x14ac:dyDescent="0.3">
      <c r="A367" s="62" t="s">
        <v>286</v>
      </c>
      <c r="B367" s="63">
        <f>IFERROR(INDEX('Boulder Sample Log'!A$5:A$204,MATCH(A367,'Boulder Sample Log'!E$5:E$204,0)),"")</f>
        <v>46121</v>
      </c>
      <c r="C367" s="62">
        <v>429</v>
      </c>
      <c r="D367" s="62" t="s">
        <v>256</v>
      </c>
      <c r="E367" s="62">
        <v>2</v>
      </c>
      <c r="F367" s="64" t="s">
        <v>257</v>
      </c>
      <c r="G367" s="64" t="s">
        <v>257</v>
      </c>
      <c r="H367" s="64">
        <v>12.26</v>
      </c>
      <c r="I367" s="64">
        <v>16897.11</v>
      </c>
      <c r="J367" s="64">
        <v>226.17</v>
      </c>
      <c r="K367" s="64">
        <v>4214.54</v>
      </c>
      <c r="L367" s="64">
        <v>34.47</v>
      </c>
      <c r="M367" s="64" t="s">
        <v>257</v>
      </c>
      <c r="N367" s="64">
        <v>120.45</v>
      </c>
      <c r="O367" s="62">
        <v>4</v>
      </c>
      <c r="P367" s="62"/>
      <c r="Q367" s="62" t="s">
        <v>258</v>
      </c>
      <c r="R367" s="61"/>
      <c r="S367" s="61"/>
    </row>
    <row r="368" spans="1:19" ht="13.8" customHeight="1" x14ac:dyDescent="0.3">
      <c r="A368" s="66" t="s">
        <v>286</v>
      </c>
      <c r="B368" s="67">
        <f>IFERROR(INDEX('Boulder Sample Log'!A$5:A$204,MATCH(A368,'Boulder Sample Log'!E$5:E$204,0)),"")</f>
        <v>46121</v>
      </c>
      <c r="C368" s="66">
        <v>430</v>
      </c>
      <c r="D368" s="66" t="s">
        <v>256</v>
      </c>
      <c r="E368" s="66">
        <v>3</v>
      </c>
      <c r="F368" s="68" t="s">
        <v>257</v>
      </c>
      <c r="G368" s="68" t="s">
        <v>257</v>
      </c>
      <c r="H368" s="68">
        <v>13.55</v>
      </c>
      <c r="I368" s="68">
        <v>20955.14</v>
      </c>
      <c r="J368" s="68">
        <v>295.27</v>
      </c>
      <c r="K368" s="68">
        <v>8742.2800000000007</v>
      </c>
      <c r="L368" s="68">
        <v>46.27</v>
      </c>
      <c r="M368" s="68">
        <v>9.51</v>
      </c>
      <c r="N368" s="68">
        <v>120.11</v>
      </c>
      <c r="O368" s="66">
        <v>4</v>
      </c>
      <c r="P368" s="66"/>
      <c r="Q368" s="66" t="s">
        <v>258</v>
      </c>
      <c r="R368" s="61"/>
      <c r="S368" s="61"/>
    </row>
    <row r="369" spans="1:19" ht="13.8" customHeight="1" x14ac:dyDescent="0.3">
      <c r="A369" s="62" t="s">
        <v>286</v>
      </c>
      <c r="B369" s="63">
        <f>IFERROR(INDEX('Boulder Sample Log'!A$5:A$204,MATCH(A369,'Boulder Sample Log'!E$5:E$204,0)),"")</f>
        <v>46121</v>
      </c>
      <c r="C369" s="62">
        <v>431</v>
      </c>
      <c r="D369" s="62" t="s">
        <v>256</v>
      </c>
      <c r="E369" s="62">
        <v>3</v>
      </c>
      <c r="F369" s="64" t="s">
        <v>257</v>
      </c>
      <c r="G369" s="64" t="s">
        <v>257</v>
      </c>
      <c r="H369" s="64">
        <v>13.91</v>
      </c>
      <c r="I369" s="64">
        <v>19982.759999999998</v>
      </c>
      <c r="J369" s="64">
        <v>308.06</v>
      </c>
      <c r="K369" s="64">
        <v>21828.65</v>
      </c>
      <c r="L369" s="64">
        <v>36.729999999999997</v>
      </c>
      <c r="M369" s="64">
        <v>8.1999999999999993</v>
      </c>
      <c r="N369" s="64">
        <v>120.37</v>
      </c>
      <c r="O369" s="62">
        <v>4</v>
      </c>
      <c r="P369" s="62"/>
      <c r="Q369" s="62" t="s">
        <v>258</v>
      </c>
      <c r="R369" s="61"/>
      <c r="S369" s="61"/>
    </row>
    <row r="370" spans="1:19" ht="13.8" customHeight="1" x14ac:dyDescent="0.3">
      <c r="A370" s="66" t="s">
        <v>286</v>
      </c>
      <c r="B370" s="67">
        <f>IFERROR(INDEX('Boulder Sample Log'!A$5:A$204,MATCH(A370,'Boulder Sample Log'!E$5:E$204,0)),"")</f>
        <v>46121</v>
      </c>
      <c r="C370" s="66">
        <v>432</v>
      </c>
      <c r="D370" s="66" t="s">
        <v>256</v>
      </c>
      <c r="E370" s="66">
        <v>4</v>
      </c>
      <c r="F370" s="68" t="s">
        <v>257</v>
      </c>
      <c r="G370" s="68" t="s">
        <v>257</v>
      </c>
      <c r="H370" s="68">
        <v>13.4</v>
      </c>
      <c r="I370" s="68">
        <v>17336.22</v>
      </c>
      <c r="J370" s="68">
        <v>212.5</v>
      </c>
      <c r="K370" s="68">
        <v>2756.77</v>
      </c>
      <c r="L370" s="68">
        <v>31.08</v>
      </c>
      <c r="M370" s="68" t="s">
        <v>257</v>
      </c>
      <c r="N370" s="68">
        <v>120.42</v>
      </c>
      <c r="O370" s="66">
        <v>4</v>
      </c>
      <c r="P370" s="66"/>
      <c r="Q370" s="66" t="s">
        <v>258</v>
      </c>
      <c r="R370" s="61"/>
      <c r="S370" s="61"/>
    </row>
    <row r="371" spans="1:19" ht="13.8" customHeight="1" x14ac:dyDescent="0.3">
      <c r="A371" s="62" t="s">
        <v>286</v>
      </c>
      <c r="B371" s="63">
        <f>IFERROR(INDEX('Boulder Sample Log'!A$5:A$204,MATCH(A371,'Boulder Sample Log'!E$5:E$204,0)),"")</f>
        <v>46121</v>
      </c>
      <c r="C371" s="62">
        <v>433</v>
      </c>
      <c r="D371" s="62" t="s">
        <v>256</v>
      </c>
      <c r="E371" s="62">
        <v>4</v>
      </c>
      <c r="F371" s="64" t="s">
        <v>257</v>
      </c>
      <c r="G371" s="64" t="s">
        <v>257</v>
      </c>
      <c r="H371" s="64">
        <v>10.7</v>
      </c>
      <c r="I371" s="64">
        <v>15147.67</v>
      </c>
      <c r="J371" s="64">
        <v>181.47</v>
      </c>
      <c r="K371" s="64">
        <v>2062.2800000000002</v>
      </c>
      <c r="L371" s="64">
        <v>23.3</v>
      </c>
      <c r="M371" s="64" t="s">
        <v>257</v>
      </c>
      <c r="N371" s="64">
        <v>122.92</v>
      </c>
      <c r="O371" s="62">
        <v>4</v>
      </c>
      <c r="P371" s="62"/>
      <c r="Q371" s="62" t="s">
        <v>258</v>
      </c>
      <c r="R371" s="61"/>
      <c r="S371" s="61"/>
    </row>
    <row r="372" spans="1:19" ht="13.8" customHeight="1" x14ac:dyDescent="0.3">
      <c r="A372" s="66" t="s">
        <v>286</v>
      </c>
      <c r="B372" s="67">
        <f>IFERROR(INDEX('Boulder Sample Log'!A$5:A$204,MATCH(A372,'Boulder Sample Log'!E$5:E$204,0)),"")</f>
        <v>46121</v>
      </c>
      <c r="C372" s="66">
        <v>434</v>
      </c>
      <c r="D372" s="66" t="s">
        <v>256</v>
      </c>
      <c r="E372" s="66">
        <v>5</v>
      </c>
      <c r="F372" s="68" t="s">
        <v>257</v>
      </c>
      <c r="G372" s="68" t="s">
        <v>257</v>
      </c>
      <c r="H372" s="68">
        <v>13.45</v>
      </c>
      <c r="I372" s="68">
        <v>20522.45</v>
      </c>
      <c r="J372" s="68">
        <v>296.25</v>
      </c>
      <c r="K372" s="68">
        <v>4970.71</v>
      </c>
      <c r="L372" s="68">
        <v>38.590000000000003</v>
      </c>
      <c r="M372" s="68">
        <v>4.9000000000000004</v>
      </c>
      <c r="N372" s="68">
        <v>120.22</v>
      </c>
      <c r="O372" s="66">
        <v>4</v>
      </c>
      <c r="P372" s="66"/>
      <c r="Q372" s="66" t="s">
        <v>258</v>
      </c>
      <c r="R372" s="61"/>
      <c r="S372" s="61"/>
    </row>
    <row r="373" spans="1:19" ht="13.8" customHeight="1" x14ac:dyDescent="0.3">
      <c r="A373" s="62" t="s">
        <v>286</v>
      </c>
      <c r="B373" s="63">
        <f>IFERROR(INDEX('Boulder Sample Log'!A$5:A$204,MATCH(A373,'Boulder Sample Log'!E$5:E$204,0)),"")</f>
        <v>46121</v>
      </c>
      <c r="C373" s="62">
        <v>435</v>
      </c>
      <c r="D373" s="62" t="s">
        <v>256</v>
      </c>
      <c r="E373" s="62">
        <v>5</v>
      </c>
      <c r="F373" s="64" t="s">
        <v>257</v>
      </c>
      <c r="G373" s="64" t="s">
        <v>257</v>
      </c>
      <c r="H373" s="64">
        <v>13.51</v>
      </c>
      <c r="I373" s="64">
        <v>18348.66</v>
      </c>
      <c r="J373" s="64">
        <v>270.38</v>
      </c>
      <c r="K373" s="64">
        <v>5976.93</v>
      </c>
      <c r="L373" s="64">
        <v>39.07</v>
      </c>
      <c r="M373" s="64">
        <v>4.8099999999999996</v>
      </c>
      <c r="N373" s="64">
        <v>123.02</v>
      </c>
      <c r="O373" s="62">
        <v>4</v>
      </c>
      <c r="P373" s="62"/>
      <c r="Q373" s="62" t="s">
        <v>258</v>
      </c>
      <c r="R373" s="61"/>
      <c r="S373" s="61"/>
    </row>
    <row r="374" spans="1:19" ht="13.8" customHeight="1" x14ac:dyDescent="0.3">
      <c r="A374" s="66" t="s">
        <v>287</v>
      </c>
      <c r="B374" s="67">
        <f>IFERROR(INDEX('Boulder Sample Log'!A$5:A$204,MATCH(A374,'Boulder Sample Log'!E$5:E$204,0)),"")</f>
        <v>46121</v>
      </c>
      <c r="C374" s="66">
        <v>436</v>
      </c>
      <c r="D374" s="66" t="s">
        <v>256</v>
      </c>
      <c r="E374" s="66">
        <v>1</v>
      </c>
      <c r="F374" s="68" t="s">
        <v>257</v>
      </c>
      <c r="G374" s="68" t="s">
        <v>257</v>
      </c>
      <c r="H374" s="68">
        <v>9</v>
      </c>
      <c r="I374" s="68">
        <v>43493.03</v>
      </c>
      <c r="J374" s="68">
        <v>374.81</v>
      </c>
      <c r="K374" s="68">
        <v>19978.82</v>
      </c>
      <c r="L374" s="68">
        <v>30.09</v>
      </c>
      <c r="M374" s="68">
        <v>5.15</v>
      </c>
      <c r="N374" s="68">
        <v>120.43</v>
      </c>
      <c r="O374" s="66">
        <v>4</v>
      </c>
      <c r="P374" s="66"/>
      <c r="Q374" s="66" t="s">
        <v>258</v>
      </c>
      <c r="R374" s="61"/>
      <c r="S374" s="61"/>
    </row>
    <row r="375" spans="1:19" ht="13.8" customHeight="1" x14ac:dyDescent="0.3">
      <c r="A375" s="62" t="s">
        <v>287</v>
      </c>
      <c r="B375" s="63">
        <f>IFERROR(INDEX('Boulder Sample Log'!A$5:A$204,MATCH(A375,'Boulder Sample Log'!E$5:E$204,0)),"")</f>
        <v>46121</v>
      </c>
      <c r="C375" s="62">
        <v>437</v>
      </c>
      <c r="D375" s="62" t="s">
        <v>256</v>
      </c>
      <c r="E375" s="62">
        <v>1</v>
      </c>
      <c r="F375" s="64">
        <v>4.1900000000000004</v>
      </c>
      <c r="G375" s="64" t="s">
        <v>257</v>
      </c>
      <c r="H375" s="64">
        <v>8.3000000000000007</v>
      </c>
      <c r="I375" s="64">
        <v>61550.25</v>
      </c>
      <c r="J375" s="64">
        <v>260.43</v>
      </c>
      <c r="K375" s="64">
        <v>56227.51</v>
      </c>
      <c r="L375" s="64">
        <v>26.37</v>
      </c>
      <c r="M375" s="64">
        <v>11.03</v>
      </c>
      <c r="N375" s="64">
        <v>122.86</v>
      </c>
      <c r="O375" s="62">
        <v>4</v>
      </c>
      <c r="P375" s="62"/>
      <c r="Q375" s="62" t="s">
        <v>258</v>
      </c>
      <c r="R375" s="61"/>
      <c r="S375" s="61"/>
    </row>
    <row r="376" spans="1:19" ht="13.8" customHeight="1" x14ac:dyDescent="0.3">
      <c r="A376" s="66" t="s">
        <v>287</v>
      </c>
      <c r="B376" s="67">
        <f>IFERROR(INDEX('Boulder Sample Log'!A$5:A$204,MATCH(A376,'Boulder Sample Log'!E$5:E$204,0)),"")</f>
        <v>46121</v>
      </c>
      <c r="C376" s="66">
        <v>438</v>
      </c>
      <c r="D376" s="66" t="s">
        <v>256</v>
      </c>
      <c r="E376" s="66">
        <v>2</v>
      </c>
      <c r="F376" s="68" t="s">
        <v>257</v>
      </c>
      <c r="G376" s="68" t="s">
        <v>257</v>
      </c>
      <c r="H376" s="68">
        <v>6.28</v>
      </c>
      <c r="I376" s="68">
        <v>44583.91</v>
      </c>
      <c r="J376" s="68">
        <v>235.61</v>
      </c>
      <c r="K376" s="68">
        <v>28707.34</v>
      </c>
      <c r="L376" s="68">
        <v>19.329999999999998</v>
      </c>
      <c r="M376" s="68">
        <v>4.76</v>
      </c>
      <c r="N376" s="68">
        <v>120.43</v>
      </c>
      <c r="O376" s="66">
        <v>4</v>
      </c>
      <c r="P376" s="66"/>
      <c r="Q376" s="66" t="s">
        <v>258</v>
      </c>
      <c r="R376" s="61"/>
      <c r="S376" s="61"/>
    </row>
    <row r="377" spans="1:19" ht="13.8" customHeight="1" x14ac:dyDescent="0.3">
      <c r="A377" s="62" t="s">
        <v>287</v>
      </c>
      <c r="B377" s="63">
        <f>IFERROR(INDEX('Boulder Sample Log'!A$5:A$204,MATCH(A377,'Boulder Sample Log'!E$5:E$204,0)),"")</f>
        <v>46121</v>
      </c>
      <c r="C377" s="62">
        <v>439</v>
      </c>
      <c r="D377" s="62" t="s">
        <v>256</v>
      </c>
      <c r="E377" s="62">
        <v>2</v>
      </c>
      <c r="F377" s="64" t="s">
        <v>257</v>
      </c>
      <c r="G377" s="64" t="s">
        <v>257</v>
      </c>
      <c r="H377" s="64">
        <v>6.34</v>
      </c>
      <c r="I377" s="64">
        <v>29930.58</v>
      </c>
      <c r="J377" s="64">
        <v>257.49</v>
      </c>
      <c r="K377" s="64">
        <v>38984.28</v>
      </c>
      <c r="L377" s="64">
        <v>18.03</v>
      </c>
      <c r="M377" s="64">
        <v>5.81</v>
      </c>
      <c r="N377" s="64">
        <v>120.37</v>
      </c>
      <c r="O377" s="62">
        <v>4</v>
      </c>
      <c r="P377" s="62"/>
      <c r="Q377" s="62" t="s">
        <v>258</v>
      </c>
      <c r="R377" s="61"/>
      <c r="S377" s="61"/>
    </row>
    <row r="378" spans="1:19" ht="13.8" customHeight="1" x14ac:dyDescent="0.3">
      <c r="A378" s="66" t="s">
        <v>287</v>
      </c>
      <c r="B378" s="67">
        <f>IFERROR(INDEX('Boulder Sample Log'!A$5:A$204,MATCH(A378,'Boulder Sample Log'!E$5:E$204,0)),"")</f>
        <v>46121</v>
      </c>
      <c r="C378" s="66">
        <v>440</v>
      </c>
      <c r="D378" s="66" t="s">
        <v>256</v>
      </c>
      <c r="E378" s="66">
        <v>3</v>
      </c>
      <c r="F378" s="68">
        <v>2.88</v>
      </c>
      <c r="G378" s="68" t="s">
        <v>257</v>
      </c>
      <c r="H378" s="68">
        <v>8.19</v>
      </c>
      <c r="I378" s="68">
        <v>31884.19</v>
      </c>
      <c r="J378" s="68">
        <v>314.33999999999997</v>
      </c>
      <c r="K378" s="68">
        <v>69551.19</v>
      </c>
      <c r="L378" s="68">
        <v>19.25</v>
      </c>
      <c r="M378" s="68">
        <v>15.47</v>
      </c>
      <c r="N378" s="68">
        <v>120.47</v>
      </c>
      <c r="O378" s="66">
        <v>4</v>
      </c>
      <c r="P378" s="66"/>
      <c r="Q378" s="66" t="s">
        <v>258</v>
      </c>
      <c r="R378" s="61"/>
      <c r="S378" s="61"/>
    </row>
    <row r="379" spans="1:19" ht="13.8" customHeight="1" x14ac:dyDescent="0.3">
      <c r="A379" s="62" t="s">
        <v>287</v>
      </c>
      <c r="B379" s="63">
        <f>IFERROR(INDEX('Boulder Sample Log'!A$5:A$204,MATCH(A379,'Boulder Sample Log'!E$5:E$204,0)),"")</f>
        <v>46121</v>
      </c>
      <c r="C379" s="62">
        <v>441</v>
      </c>
      <c r="D379" s="62" t="s">
        <v>256</v>
      </c>
      <c r="E379" s="62">
        <v>3</v>
      </c>
      <c r="F379" s="64" t="s">
        <v>257</v>
      </c>
      <c r="G379" s="64" t="s">
        <v>257</v>
      </c>
      <c r="H379" s="64">
        <v>8.57</v>
      </c>
      <c r="I379" s="64">
        <v>28119.64</v>
      </c>
      <c r="J379" s="64">
        <v>284.87</v>
      </c>
      <c r="K379" s="64">
        <v>70181.94</v>
      </c>
      <c r="L379" s="64">
        <v>15.18</v>
      </c>
      <c r="M379" s="64">
        <v>9.23</v>
      </c>
      <c r="N379" s="64">
        <v>122.84</v>
      </c>
      <c r="O379" s="62">
        <v>4</v>
      </c>
      <c r="P379" s="62"/>
      <c r="Q379" s="62" t="s">
        <v>258</v>
      </c>
      <c r="R379" s="61"/>
      <c r="S379" s="61"/>
    </row>
    <row r="380" spans="1:19" ht="13.8" customHeight="1" x14ac:dyDescent="0.3">
      <c r="A380" s="66" t="s">
        <v>287</v>
      </c>
      <c r="B380" s="67">
        <f>IFERROR(INDEX('Boulder Sample Log'!A$5:A$204,MATCH(A380,'Boulder Sample Log'!E$5:E$204,0)),"")</f>
        <v>46121</v>
      </c>
      <c r="C380" s="66">
        <v>442</v>
      </c>
      <c r="D380" s="66" t="s">
        <v>256</v>
      </c>
      <c r="E380" s="66">
        <v>4</v>
      </c>
      <c r="F380" s="68">
        <v>2.69</v>
      </c>
      <c r="G380" s="68" t="s">
        <v>257</v>
      </c>
      <c r="H380" s="68">
        <v>9.84</v>
      </c>
      <c r="I380" s="68">
        <v>33558.43</v>
      </c>
      <c r="J380" s="68">
        <v>501.25</v>
      </c>
      <c r="K380" s="68">
        <v>38699.910000000003</v>
      </c>
      <c r="L380" s="68">
        <v>39.46</v>
      </c>
      <c r="M380" s="68">
        <v>9.64</v>
      </c>
      <c r="N380" s="68">
        <v>120.37</v>
      </c>
      <c r="O380" s="66">
        <v>4</v>
      </c>
      <c r="P380" s="66"/>
      <c r="Q380" s="66" t="s">
        <v>258</v>
      </c>
      <c r="R380" s="61"/>
      <c r="S380" s="61"/>
    </row>
    <row r="381" spans="1:19" ht="13.8" customHeight="1" x14ac:dyDescent="0.3">
      <c r="A381" s="62" t="s">
        <v>287</v>
      </c>
      <c r="B381" s="63">
        <f>IFERROR(INDEX('Boulder Sample Log'!A$5:A$204,MATCH(A381,'Boulder Sample Log'!E$5:E$204,0)),"")</f>
        <v>46121</v>
      </c>
      <c r="C381" s="62">
        <v>443</v>
      </c>
      <c r="D381" s="62" t="s">
        <v>256</v>
      </c>
      <c r="E381" s="62">
        <v>4</v>
      </c>
      <c r="F381" s="64">
        <v>3.23</v>
      </c>
      <c r="G381" s="64">
        <v>1.69</v>
      </c>
      <c r="H381" s="64">
        <v>10.220000000000001</v>
      </c>
      <c r="I381" s="64">
        <v>32462.82</v>
      </c>
      <c r="J381" s="64">
        <v>345.58</v>
      </c>
      <c r="K381" s="64">
        <v>75372.67</v>
      </c>
      <c r="L381" s="64">
        <v>24.27</v>
      </c>
      <c r="M381" s="64">
        <v>11.57</v>
      </c>
      <c r="N381" s="64">
        <v>120.19</v>
      </c>
      <c r="O381" s="62">
        <v>4</v>
      </c>
      <c r="P381" s="62"/>
      <c r="Q381" s="62" t="s">
        <v>258</v>
      </c>
      <c r="R381" s="61"/>
      <c r="S381" s="61"/>
    </row>
    <row r="382" spans="1:19" ht="13.8" customHeight="1" x14ac:dyDescent="0.3">
      <c r="A382" s="66" t="s">
        <v>287</v>
      </c>
      <c r="B382" s="67">
        <f>IFERROR(INDEX('Boulder Sample Log'!A$5:A$204,MATCH(A382,'Boulder Sample Log'!E$5:E$204,0)),"")</f>
        <v>46121</v>
      </c>
      <c r="C382" s="66">
        <v>444</v>
      </c>
      <c r="D382" s="66" t="s">
        <v>256</v>
      </c>
      <c r="E382" s="66">
        <v>5</v>
      </c>
      <c r="F382" s="68" t="s">
        <v>257</v>
      </c>
      <c r="G382" s="68" t="s">
        <v>257</v>
      </c>
      <c r="H382" s="68">
        <v>10.62</v>
      </c>
      <c r="I382" s="68">
        <v>25889.45</v>
      </c>
      <c r="J382" s="68">
        <v>444.81</v>
      </c>
      <c r="K382" s="68">
        <v>30637.57</v>
      </c>
      <c r="L382" s="68">
        <v>34.03</v>
      </c>
      <c r="M382" s="68">
        <v>13.09</v>
      </c>
      <c r="N382" s="68">
        <v>120.51</v>
      </c>
      <c r="O382" s="66">
        <v>4</v>
      </c>
      <c r="P382" s="66"/>
      <c r="Q382" s="66" t="s">
        <v>258</v>
      </c>
      <c r="R382" s="61"/>
      <c r="S382" s="61"/>
    </row>
    <row r="383" spans="1:19" ht="13.8" customHeight="1" x14ac:dyDescent="0.3">
      <c r="A383" s="62" t="s">
        <v>287</v>
      </c>
      <c r="B383" s="63">
        <f>IFERROR(INDEX('Boulder Sample Log'!A$5:A$204,MATCH(A383,'Boulder Sample Log'!E$5:E$204,0)),"")</f>
        <v>46121</v>
      </c>
      <c r="C383" s="62">
        <v>445</v>
      </c>
      <c r="D383" s="62" t="s">
        <v>256</v>
      </c>
      <c r="E383" s="62">
        <v>5</v>
      </c>
      <c r="F383" s="64" t="s">
        <v>257</v>
      </c>
      <c r="G383" s="64" t="s">
        <v>257</v>
      </c>
      <c r="H383" s="64">
        <v>8.77</v>
      </c>
      <c r="I383" s="64">
        <v>27867.71</v>
      </c>
      <c r="J383" s="64">
        <v>440.13</v>
      </c>
      <c r="K383" s="64">
        <v>51283.83</v>
      </c>
      <c r="L383" s="64">
        <v>37.74</v>
      </c>
      <c r="M383" s="64">
        <v>5.63</v>
      </c>
      <c r="N383" s="64">
        <v>120.65</v>
      </c>
      <c r="O383" s="62">
        <v>4</v>
      </c>
      <c r="P383" s="62"/>
      <c r="Q383" s="62" t="s">
        <v>258</v>
      </c>
      <c r="R383" s="61"/>
      <c r="S383" s="61"/>
    </row>
    <row r="384" spans="1:19" ht="13.8" customHeight="1" x14ac:dyDescent="0.3">
      <c r="A384" s="66" t="s">
        <v>288</v>
      </c>
      <c r="B384" s="67">
        <f>IFERROR(INDEX('Boulder Sample Log'!A$5:A$204,MATCH(A384,'Boulder Sample Log'!E$5:E$204,0)),"")</f>
        <v>46121</v>
      </c>
      <c r="C384" s="66">
        <v>446</v>
      </c>
      <c r="D384" s="66" t="s">
        <v>256</v>
      </c>
      <c r="E384" s="66">
        <v>1</v>
      </c>
      <c r="F384" s="68">
        <v>2.94</v>
      </c>
      <c r="G384" s="68">
        <v>64.11</v>
      </c>
      <c r="H384" s="68">
        <v>11.02</v>
      </c>
      <c r="I384" s="68">
        <v>32251.03</v>
      </c>
      <c r="J384" s="68" t="s">
        <v>257</v>
      </c>
      <c r="K384" s="68">
        <v>19820.39</v>
      </c>
      <c r="L384" s="68" t="s">
        <v>257</v>
      </c>
      <c r="M384" s="68">
        <v>5.61</v>
      </c>
      <c r="N384" s="68">
        <v>120.54</v>
      </c>
      <c r="O384" s="66">
        <v>4</v>
      </c>
      <c r="P384" s="66"/>
      <c r="Q384" s="66" t="s">
        <v>258</v>
      </c>
      <c r="R384" s="61"/>
      <c r="S384" s="61"/>
    </row>
    <row r="385" spans="1:19" ht="13.8" customHeight="1" x14ac:dyDescent="0.3">
      <c r="A385" s="62" t="s">
        <v>288</v>
      </c>
      <c r="B385" s="63">
        <f>IFERROR(INDEX('Boulder Sample Log'!A$5:A$204,MATCH(A385,'Boulder Sample Log'!E$5:E$204,0)),"")</f>
        <v>46121</v>
      </c>
      <c r="C385" s="62">
        <v>447</v>
      </c>
      <c r="D385" s="62" t="s">
        <v>256</v>
      </c>
      <c r="E385" s="62">
        <v>1</v>
      </c>
      <c r="F385" s="64" t="s">
        <v>257</v>
      </c>
      <c r="G385" s="64">
        <v>72.400000000000006</v>
      </c>
      <c r="H385" s="64">
        <v>10.3</v>
      </c>
      <c r="I385" s="64">
        <v>34133.980000000003</v>
      </c>
      <c r="J385" s="64" t="s">
        <v>257</v>
      </c>
      <c r="K385" s="64">
        <v>21419.07</v>
      </c>
      <c r="L385" s="64" t="s">
        <v>257</v>
      </c>
      <c r="M385" s="64" t="s">
        <v>257</v>
      </c>
      <c r="N385" s="64">
        <v>120.03</v>
      </c>
      <c r="O385" s="62">
        <v>4</v>
      </c>
      <c r="P385" s="62"/>
      <c r="Q385" s="62" t="s">
        <v>258</v>
      </c>
      <c r="R385" s="61"/>
      <c r="S385" s="61"/>
    </row>
    <row r="386" spans="1:19" ht="13.8" customHeight="1" x14ac:dyDescent="0.3">
      <c r="A386" s="66" t="s">
        <v>288</v>
      </c>
      <c r="B386" s="67">
        <f>IFERROR(INDEX('Boulder Sample Log'!A$5:A$204,MATCH(A386,'Boulder Sample Log'!E$5:E$204,0)),"")</f>
        <v>46121</v>
      </c>
      <c r="C386" s="66">
        <v>448</v>
      </c>
      <c r="D386" s="66" t="s">
        <v>256</v>
      </c>
      <c r="E386" s="66">
        <v>1</v>
      </c>
      <c r="F386" s="68" t="s">
        <v>257</v>
      </c>
      <c r="G386" s="68">
        <v>69</v>
      </c>
      <c r="H386" s="68">
        <v>7.29</v>
      </c>
      <c r="I386" s="68">
        <v>32014.77</v>
      </c>
      <c r="J386" s="68" t="s">
        <v>257</v>
      </c>
      <c r="K386" s="68">
        <v>20471.53</v>
      </c>
      <c r="L386" s="68" t="s">
        <v>257</v>
      </c>
      <c r="M386" s="68" t="s">
        <v>257</v>
      </c>
      <c r="N386" s="68">
        <v>120.49</v>
      </c>
      <c r="O386" s="66">
        <v>4</v>
      </c>
      <c r="P386" s="66"/>
      <c r="Q386" s="66" t="s">
        <v>258</v>
      </c>
      <c r="R386" s="61"/>
      <c r="S386" s="61"/>
    </row>
    <row r="387" spans="1:19" ht="13.8" customHeight="1" x14ac:dyDescent="0.3">
      <c r="A387" s="62" t="s">
        <v>288</v>
      </c>
      <c r="B387" s="63">
        <f>IFERROR(INDEX('Boulder Sample Log'!A$5:A$204,MATCH(A387,'Boulder Sample Log'!E$5:E$204,0)),"")</f>
        <v>46121</v>
      </c>
      <c r="C387" s="62">
        <v>450</v>
      </c>
      <c r="D387" s="62" t="s">
        <v>256</v>
      </c>
      <c r="E387" s="62">
        <v>2</v>
      </c>
      <c r="F387" s="64">
        <v>6.1</v>
      </c>
      <c r="G387" s="64">
        <v>43.42</v>
      </c>
      <c r="H387" s="64">
        <v>7.34</v>
      </c>
      <c r="I387" s="64">
        <v>49860.65</v>
      </c>
      <c r="J387" s="64">
        <v>376.9</v>
      </c>
      <c r="K387" s="64">
        <v>27369.58</v>
      </c>
      <c r="L387" s="64">
        <v>45.17</v>
      </c>
      <c r="M387" s="64">
        <v>13.88</v>
      </c>
      <c r="N387" s="64">
        <v>120.49</v>
      </c>
      <c r="O387" s="62">
        <v>4</v>
      </c>
      <c r="P387" s="62"/>
      <c r="Q387" s="62" t="s">
        <v>258</v>
      </c>
      <c r="R387" s="61"/>
      <c r="S387" s="61"/>
    </row>
    <row r="388" spans="1:19" ht="13.8" customHeight="1" x14ac:dyDescent="0.3">
      <c r="A388" s="66" t="s">
        <v>288</v>
      </c>
      <c r="B388" s="67">
        <f>IFERROR(INDEX('Boulder Sample Log'!A$5:A$204,MATCH(A388,'Boulder Sample Log'!E$5:E$204,0)),"")</f>
        <v>46121</v>
      </c>
      <c r="C388" s="66">
        <v>453</v>
      </c>
      <c r="D388" s="66" t="s">
        <v>256</v>
      </c>
      <c r="E388" s="66">
        <v>2</v>
      </c>
      <c r="F388" s="68">
        <v>4.7300000000000004</v>
      </c>
      <c r="G388" s="68" t="s">
        <v>257</v>
      </c>
      <c r="H388" s="68">
        <v>8.3699999999999992</v>
      </c>
      <c r="I388" s="68">
        <v>36526.86</v>
      </c>
      <c r="J388" s="68">
        <v>606.77</v>
      </c>
      <c r="K388" s="68">
        <v>3460.49</v>
      </c>
      <c r="L388" s="68">
        <v>76.13</v>
      </c>
      <c r="M388" s="68">
        <v>16.7</v>
      </c>
      <c r="N388" s="68">
        <v>120.5</v>
      </c>
      <c r="O388" s="66">
        <v>4</v>
      </c>
      <c r="P388" s="66"/>
      <c r="Q388" s="66" t="s">
        <v>258</v>
      </c>
      <c r="R388" s="61"/>
      <c r="S388" s="61"/>
    </row>
    <row r="389" spans="1:19" ht="13.8" customHeight="1" x14ac:dyDescent="0.3">
      <c r="A389" s="62" t="s">
        <v>288</v>
      </c>
      <c r="B389" s="63">
        <f>IFERROR(INDEX('Boulder Sample Log'!A$5:A$204,MATCH(A389,'Boulder Sample Log'!E$5:E$204,0)),"")</f>
        <v>46121</v>
      </c>
      <c r="C389" s="62">
        <v>454</v>
      </c>
      <c r="D389" s="62" t="s">
        <v>256</v>
      </c>
      <c r="E389" s="62">
        <v>2</v>
      </c>
      <c r="F389" s="64">
        <v>3.26</v>
      </c>
      <c r="G389" s="64">
        <v>5.46</v>
      </c>
      <c r="H389" s="64">
        <v>6.97</v>
      </c>
      <c r="I389" s="64">
        <v>37366.6</v>
      </c>
      <c r="J389" s="64">
        <v>581.71</v>
      </c>
      <c r="K389" s="64">
        <v>11815.75</v>
      </c>
      <c r="L389" s="64">
        <v>59.39</v>
      </c>
      <c r="M389" s="64">
        <v>14.47</v>
      </c>
      <c r="N389" s="64">
        <v>120.38</v>
      </c>
      <c r="O389" s="62">
        <v>4</v>
      </c>
      <c r="P389" s="62"/>
      <c r="Q389" s="62" t="s">
        <v>258</v>
      </c>
      <c r="R389" s="61"/>
      <c r="S389" s="61"/>
    </row>
    <row r="390" spans="1:19" ht="13.8" customHeight="1" x14ac:dyDescent="0.3">
      <c r="A390" s="66" t="s">
        <v>288</v>
      </c>
      <c r="B390" s="67">
        <f>IFERROR(INDEX('Boulder Sample Log'!A$5:A$204,MATCH(A390,'Boulder Sample Log'!E$5:E$204,0)),"")</f>
        <v>46121</v>
      </c>
      <c r="C390" s="66">
        <v>455</v>
      </c>
      <c r="D390" s="66" t="s">
        <v>256</v>
      </c>
      <c r="E390" s="66">
        <v>3</v>
      </c>
      <c r="F390" s="68" t="s">
        <v>257</v>
      </c>
      <c r="G390" s="68" t="s">
        <v>257</v>
      </c>
      <c r="H390" s="68">
        <v>7.36</v>
      </c>
      <c r="I390" s="68">
        <v>32244.2</v>
      </c>
      <c r="J390" s="68">
        <v>569.52</v>
      </c>
      <c r="K390" s="68">
        <v>4083.05</v>
      </c>
      <c r="L390" s="68">
        <v>71.97</v>
      </c>
      <c r="M390" s="68">
        <v>13.55</v>
      </c>
      <c r="N390" s="68">
        <v>120.53</v>
      </c>
      <c r="O390" s="66">
        <v>4</v>
      </c>
      <c r="P390" s="66"/>
      <c r="Q390" s="66" t="s">
        <v>258</v>
      </c>
      <c r="R390" s="61"/>
      <c r="S390" s="61"/>
    </row>
    <row r="391" spans="1:19" ht="13.8" customHeight="1" x14ac:dyDescent="0.3">
      <c r="A391" s="62" t="s">
        <v>288</v>
      </c>
      <c r="B391" s="63">
        <f>IFERROR(INDEX('Boulder Sample Log'!A$5:A$204,MATCH(A391,'Boulder Sample Log'!E$5:E$204,0)),"")</f>
        <v>46121</v>
      </c>
      <c r="C391" s="62">
        <v>456</v>
      </c>
      <c r="D391" s="62" t="s">
        <v>256</v>
      </c>
      <c r="E391" s="62">
        <v>3</v>
      </c>
      <c r="F391" s="64" t="s">
        <v>257</v>
      </c>
      <c r="G391" s="64" t="s">
        <v>257</v>
      </c>
      <c r="H391" s="64">
        <v>6.77</v>
      </c>
      <c r="I391" s="64">
        <v>30128.95</v>
      </c>
      <c r="J391" s="64">
        <v>537.73</v>
      </c>
      <c r="K391" s="64">
        <v>2694.65</v>
      </c>
      <c r="L391" s="64">
        <v>54.29</v>
      </c>
      <c r="M391" s="64">
        <v>5.72</v>
      </c>
      <c r="N391" s="64">
        <v>120.52</v>
      </c>
      <c r="O391" s="62">
        <v>4</v>
      </c>
      <c r="P391" s="62"/>
      <c r="Q391" s="62" t="s">
        <v>258</v>
      </c>
      <c r="R391" s="61"/>
      <c r="S391" s="61"/>
    </row>
    <row r="392" spans="1:19" ht="13.8" customHeight="1" x14ac:dyDescent="0.3">
      <c r="A392" s="66" t="s">
        <v>288</v>
      </c>
      <c r="B392" s="67">
        <f>IFERROR(INDEX('Boulder Sample Log'!A$5:A$204,MATCH(A392,'Boulder Sample Log'!E$5:E$204,0)),"")</f>
        <v>46121</v>
      </c>
      <c r="C392" s="66">
        <v>457</v>
      </c>
      <c r="D392" s="66" t="s">
        <v>256</v>
      </c>
      <c r="E392" s="66">
        <v>3</v>
      </c>
      <c r="F392" s="68" t="s">
        <v>257</v>
      </c>
      <c r="G392" s="68" t="s">
        <v>257</v>
      </c>
      <c r="H392" s="68">
        <v>6.28</v>
      </c>
      <c r="I392" s="68">
        <v>31413.81</v>
      </c>
      <c r="J392" s="68">
        <v>539.33000000000004</v>
      </c>
      <c r="K392" s="68">
        <v>1969.35</v>
      </c>
      <c r="L392" s="68">
        <v>58.46</v>
      </c>
      <c r="M392" s="68">
        <v>10.89</v>
      </c>
      <c r="N392" s="68">
        <v>120.12</v>
      </c>
      <c r="O392" s="66">
        <v>4</v>
      </c>
      <c r="P392" s="66"/>
      <c r="Q392" s="66" t="s">
        <v>258</v>
      </c>
      <c r="R392" s="61"/>
      <c r="S392" s="61"/>
    </row>
    <row r="393" spans="1:19" ht="13.8" customHeight="1" x14ac:dyDescent="0.3">
      <c r="A393" s="62" t="s">
        <v>288</v>
      </c>
      <c r="B393" s="63">
        <f>IFERROR(INDEX('Boulder Sample Log'!A$5:A$204,MATCH(A393,'Boulder Sample Log'!E$5:E$204,0)),"")</f>
        <v>46121</v>
      </c>
      <c r="C393" s="62">
        <v>458</v>
      </c>
      <c r="D393" s="62" t="s">
        <v>256</v>
      </c>
      <c r="E393" s="62">
        <v>4</v>
      </c>
      <c r="F393" s="64">
        <v>2.8</v>
      </c>
      <c r="G393" s="64" t="s">
        <v>257</v>
      </c>
      <c r="H393" s="64">
        <v>7.23</v>
      </c>
      <c r="I393" s="64">
        <v>33009.97</v>
      </c>
      <c r="J393" s="64">
        <v>604.35</v>
      </c>
      <c r="K393" s="64">
        <v>2054</v>
      </c>
      <c r="L393" s="64">
        <v>60.73</v>
      </c>
      <c r="M393" s="64">
        <v>12.69</v>
      </c>
      <c r="N393" s="64">
        <v>120.64</v>
      </c>
      <c r="O393" s="62">
        <v>4</v>
      </c>
      <c r="P393" s="62"/>
      <c r="Q393" s="62" t="s">
        <v>258</v>
      </c>
      <c r="R393" s="61"/>
      <c r="S393" s="61"/>
    </row>
    <row r="394" spans="1:19" ht="13.8" customHeight="1" x14ac:dyDescent="0.3">
      <c r="A394" s="66" t="s">
        <v>288</v>
      </c>
      <c r="B394" s="67">
        <f>IFERROR(INDEX('Boulder Sample Log'!A$5:A$204,MATCH(A394,'Boulder Sample Log'!E$5:E$204,0)),"")</f>
        <v>46121</v>
      </c>
      <c r="C394" s="66">
        <v>459</v>
      </c>
      <c r="D394" s="66" t="s">
        <v>256</v>
      </c>
      <c r="E394" s="66">
        <v>4</v>
      </c>
      <c r="F394" s="68" t="s">
        <v>257</v>
      </c>
      <c r="G394" s="68" t="s">
        <v>257</v>
      </c>
      <c r="H394" s="68">
        <v>6.12</v>
      </c>
      <c r="I394" s="68">
        <v>29816.81</v>
      </c>
      <c r="J394" s="68">
        <v>528.07000000000005</v>
      </c>
      <c r="K394" s="68">
        <v>2121.16</v>
      </c>
      <c r="L394" s="68">
        <v>47.65</v>
      </c>
      <c r="M394" s="68">
        <v>7.87</v>
      </c>
      <c r="N394" s="68">
        <v>122.71</v>
      </c>
      <c r="O394" s="66">
        <v>4</v>
      </c>
      <c r="P394" s="66"/>
      <c r="Q394" s="66" t="s">
        <v>258</v>
      </c>
      <c r="R394" s="61"/>
      <c r="S394" s="61"/>
    </row>
    <row r="395" spans="1:19" ht="13.8" customHeight="1" x14ac:dyDescent="0.3">
      <c r="A395" s="62" t="s">
        <v>288</v>
      </c>
      <c r="B395" s="63">
        <f>IFERROR(INDEX('Boulder Sample Log'!A$5:A$204,MATCH(A395,'Boulder Sample Log'!E$5:E$204,0)),"")</f>
        <v>46121</v>
      </c>
      <c r="C395" s="62">
        <v>460</v>
      </c>
      <c r="D395" s="62" t="s">
        <v>256</v>
      </c>
      <c r="E395" s="62">
        <v>4</v>
      </c>
      <c r="F395" s="64" t="s">
        <v>257</v>
      </c>
      <c r="G395" s="64">
        <v>1.44</v>
      </c>
      <c r="H395" s="64">
        <v>6.76</v>
      </c>
      <c r="I395" s="64">
        <v>29460.12</v>
      </c>
      <c r="J395" s="64">
        <v>497.82</v>
      </c>
      <c r="K395" s="64">
        <v>3211.61</v>
      </c>
      <c r="L395" s="64">
        <v>48.29</v>
      </c>
      <c r="M395" s="64">
        <v>8.57</v>
      </c>
      <c r="N395" s="64">
        <v>123.51</v>
      </c>
      <c r="O395" s="62">
        <v>4</v>
      </c>
      <c r="P395" s="62"/>
      <c r="Q395" s="62" t="s">
        <v>258</v>
      </c>
      <c r="R395" s="61"/>
      <c r="S395" s="61"/>
    </row>
    <row r="396" spans="1:19" ht="13.8" customHeight="1" x14ac:dyDescent="0.3">
      <c r="A396" s="66" t="s">
        <v>288</v>
      </c>
      <c r="B396" s="67">
        <f>IFERROR(INDEX('Boulder Sample Log'!A$5:A$204,MATCH(A396,'Boulder Sample Log'!E$5:E$204,0)),"")</f>
        <v>46121</v>
      </c>
      <c r="C396" s="66">
        <v>462</v>
      </c>
      <c r="D396" s="66" t="s">
        <v>256</v>
      </c>
      <c r="E396" s="66">
        <v>5</v>
      </c>
      <c r="F396" s="68">
        <v>4</v>
      </c>
      <c r="G396" s="68">
        <v>12.3</v>
      </c>
      <c r="H396" s="68">
        <v>6.09</v>
      </c>
      <c r="I396" s="68">
        <v>37584.85</v>
      </c>
      <c r="J396" s="68">
        <v>344.44</v>
      </c>
      <c r="K396" s="68">
        <v>3136.06</v>
      </c>
      <c r="L396" s="68">
        <v>34.909999999999997</v>
      </c>
      <c r="M396" s="68">
        <v>7.34</v>
      </c>
      <c r="N396" s="68">
        <v>120.5</v>
      </c>
      <c r="O396" s="66">
        <v>4</v>
      </c>
      <c r="P396" s="66"/>
      <c r="Q396" s="66" t="s">
        <v>258</v>
      </c>
      <c r="R396" s="61"/>
      <c r="S396" s="61"/>
    </row>
    <row r="397" spans="1:19" ht="13.8" customHeight="1" x14ac:dyDescent="0.3">
      <c r="A397" s="62" t="s">
        <v>288</v>
      </c>
      <c r="B397" s="63">
        <f>IFERROR(INDEX('Boulder Sample Log'!A$5:A$204,MATCH(A397,'Boulder Sample Log'!E$5:E$204,0)),"")</f>
        <v>46121</v>
      </c>
      <c r="C397" s="62">
        <v>463</v>
      </c>
      <c r="D397" s="62" t="s">
        <v>256</v>
      </c>
      <c r="E397" s="62">
        <v>5</v>
      </c>
      <c r="F397" s="64">
        <v>2.79</v>
      </c>
      <c r="G397" s="64">
        <v>10.42</v>
      </c>
      <c r="H397" s="64">
        <v>6.54</v>
      </c>
      <c r="I397" s="64">
        <v>48802.12</v>
      </c>
      <c r="J397" s="64">
        <v>381.75</v>
      </c>
      <c r="K397" s="64">
        <v>32235.19</v>
      </c>
      <c r="L397" s="64">
        <v>33.39</v>
      </c>
      <c r="M397" s="64">
        <v>6.55</v>
      </c>
      <c r="N397" s="64">
        <v>120.61</v>
      </c>
      <c r="O397" s="62">
        <v>4</v>
      </c>
      <c r="P397" s="62"/>
      <c r="Q397" s="62" t="s">
        <v>258</v>
      </c>
      <c r="R397" s="61"/>
      <c r="S397" s="61"/>
    </row>
    <row r="398" spans="1:19" ht="13.8" customHeight="1" x14ac:dyDescent="0.3">
      <c r="A398" s="66" t="s">
        <v>288</v>
      </c>
      <c r="B398" s="67">
        <f>IFERROR(INDEX('Boulder Sample Log'!A$5:A$204,MATCH(A398,'Boulder Sample Log'!E$5:E$204,0)),"")</f>
        <v>46121</v>
      </c>
      <c r="C398" s="66">
        <v>464</v>
      </c>
      <c r="D398" s="66" t="s">
        <v>256</v>
      </c>
      <c r="E398" s="66">
        <v>5</v>
      </c>
      <c r="F398" s="68">
        <v>6.58</v>
      </c>
      <c r="G398" s="68">
        <v>14</v>
      </c>
      <c r="H398" s="68">
        <v>5.8</v>
      </c>
      <c r="I398" s="68">
        <v>39078.660000000003</v>
      </c>
      <c r="J398" s="68">
        <v>371.47</v>
      </c>
      <c r="K398" s="68">
        <v>2845.08</v>
      </c>
      <c r="L398" s="68">
        <v>42.11</v>
      </c>
      <c r="M398" s="68">
        <v>9.6999999999999993</v>
      </c>
      <c r="N398" s="68">
        <v>120.44</v>
      </c>
      <c r="O398" s="66">
        <v>4</v>
      </c>
      <c r="P398" s="66"/>
      <c r="Q398" s="66" t="s">
        <v>258</v>
      </c>
      <c r="R398" s="61"/>
      <c r="S398" s="61"/>
    </row>
    <row r="399" spans="1:19" ht="13.8" customHeight="1" x14ac:dyDescent="0.3">
      <c r="A399" s="70" t="s">
        <v>289</v>
      </c>
      <c r="B399" s="71">
        <f>IFERROR(INDEX('Boulder Sample Log'!A$5:A$204,MATCH(A399,'Boulder Sample Log'!E$5:E$204,0)),"")</f>
        <v>46125</v>
      </c>
      <c r="C399" s="70">
        <v>498</v>
      </c>
      <c r="D399" s="70" t="s">
        <v>256</v>
      </c>
      <c r="E399" s="70">
        <v>1</v>
      </c>
      <c r="F399" s="70" t="s">
        <v>257</v>
      </c>
      <c r="G399" s="70" t="s">
        <v>257</v>
      </c>
      <c r="H399" s="72">
        <v>9.4700000000000006</v>
      </c>
      <c r="I399" s="72">
        <v>43372.95</v>
      </c>
      <c r="J399" s="72">
        <v>692.82</v>
      </c>
      <c r="K399" s="72">
        <v>3184.49</v>
      </c>
      <c r="L399" s="72">
        <v>52.24</v>
      </c>
      <c r="M399" s="72">
        <v>12.43</v>
      </c>
      <c r="N399" s="72">
        <v>120.3</v>
      </c>
      <c r="O399" s="70">
        <v>4</v>
      </c>
      <c r="P399" s="70"/>
      <c r="Q399" s="62" t="s">
        <v>258</v>
      </c>
      <c r="R399" s="61"/>
      <c r="S399" s="61"/>
    </row>
    <row r="400" spans="1:19" ht="13.8" customHeight="1" x14ac:dyDescent="0.3">
      <c r="A400" s="73" t="s">
        <v>289</v>
      </c>
      <c r="B400" s="74">
        <f>IFERROR(INDEX('Boulder Sample Log'!A$5:A$204,MATCH(A400,'Boulder Sample Log'!E$5:E$204,0)),"")</f>
        <v>46125</v>
      </c>
      <c r="C400" s="73">
        <v>499</v>
      </c>
      <c r="D400" s="73" t="s">
        <v>256</v>
      </c>
      <c r="E400" s="73">
        <v>1</v>
      </c>
      <c r="F400" s="73" t="s">
        <v>257</v>
      </c>
      <c r="G400" s="73" t="s">
        <v>257</v>
      </c>
      <c r="H400" s="75">
        <v>8.41</v>
      </c>
      <c r="I400" s="75">
        <v>47427.62</v>
      </c>
      <c r="J400" s="75">
        <v>548.28</v>
      </c>
      <c r="K400" s="75">
        <v>4953.83</v>
      </c>
      <c r="L400" s="75">
        <v>44.9</v>
      </c>
      <c r="M400" s="75">
        <v>21.23</v>
      </c>
      <c r="N400" s="75">
        <v>122.85</v>
      </c>
      <c r="O400" s="73">
        <v>4</v>
      </c>
      <c r="P400" s="73"/>
      <c r="Q400" s="66" t="s">
        <v>258</v>
      </c>
      <c r="R400" s="61"/>
      <c r="S400" s="61"/>
    </row>
    <row r="401" spans="1:19" ht="13.8" customHeight="1" x14ac:dyDescent="0.3">
      <c r="A401" s="70" t="s">
        <v>289</v>
      </c>
      <c r="B401" s="71">
        <f>IFERROR(INDEX('Boulder Sample Log'!A$5:A$204,MATCH(A401,'Boulder Sample Log'!E$5:E$204,0)),"")</f>
        <v>46125</v>
      </c>
      <c r="C401" s="70">
        <v>500</v>
      </c>
      <c r="D401" s="70" t="s">
        <v>256</v>
      </c>
      <c r="E401" s="70">
        <v>2</v>
      </c>
      <c r="F401" s="72">
        <v>4.17</v>
      </c>
      <c r="G401" s="70" t="s">
        <v>257</v>
      </c>
      <c r="H401" s="72">
        <v>8.25</v>
      </c>
      <c r="I401" s="72">
        <v>36203.31</v>
      </c>
      <c r="J401" s="72">
        <v>618.36</v>
      </c>
      <c r="K401" s="72">
        <v>1216.22</v>
      </c>
      <c r="L401" s="72">
        <v>69.760000000000005</v>
      </c>
      <c r="M401" s="72">
        <v>17.149999999999999</v>
      </c>
      <c r="N401" s="72">
        <v>120.34</v>
      </c>
      <c r="O401" s="70">
        <v>4</v>
      </c>
      <c r="P401" s="70"/>
      <c r="Q401" s="62" t="s">
        <v>258</v>
      </c>
      <c r="R401" s="61"/>
      <c r="S401" s="61"/>
    </row>
    <row r="402" spans="1:19" ht="13.8" customHeight="1" x14ac:dyDescent="0.3">
      <c r="A402" s="73" t="s">
        <v>289</v>
      </c>
      <c r="B402" s="74">
        <f>IFERROR(INDEX('Boulder Sample Log'!A$5:A$204,MATCH(A402,'Boulder Sample Log'!E$5:E$204,0)),"")</f>
        <v>46125</v>
      </c>
      <c r="C402" s="73">
        <v>501</v>
      </c>
      <c r="D402" s="73" t="s">
        <v>256</v>
      </c>
      <c r="E402" s="73">
        <v>2</v>
      </c>
      <c r="F402" s="75">
        <v>2.89</v>
      </c>
      <c r="G402" s="73" t="s">
        <v>257</v>
      </c>
      <c r="H402" s="75">
        <v>8.3699999999999992</v>
      </c>
      <c r="I402" s="75">
        <v>33765.040000000001</v>
      </c>
      <c r="J402" s="75">
        <v>576.21</v>
      </c>
      <c r="K402" s="75">
        <v>881.97</v>
      </c>
      <c r="L402" s="75">
        <v>51.09</v>
      </c>
      <c r="M402" s="75">
        <v>13.45</v>
      </c>
      <c r="N402" s="75">
        <v>120.47</v>
      </c>
      <c r="O402" s="73">
        <v>4</v>
      </c>
      <c r="P402" s="73"/>
      <c r="Q402" s="66" t="s">
        <v>258</v>
      </c>
      <c r="R402" s="61"/>
      <c r="S402" s="61"/>
    </row>
    <row r="403" spans="1:19" ht="13.8" customHeight="1" x14ac:dyDescent="0.3">
      <c r="A403" s="70" t="s">
        <v>289</v>
      </c>
      <c r="B403" s="71">
        <f>IFERROR(INDEX('Boulder Sample Log'!A$5:A$204,MATCH(A403,'Boulder Sample Log'!E$5:E$204,0)),"")</f>
        <v>46125</v>
      </c>
      <c r="C403" s="70">
        <v>502</v>
      </c>
      <c r="D403" s="70" t="s">
        <v>256</v>
      </c>
      <c r="E403" s="70">
        <v>3</v>
      </c>
      <c r="F403" s="70" t="s">
        <v>257</v>
      </c>
      <c r="G403" s="70" t="s">
        <v>257</v>
      </c>
      <c r="H403" s="72">
        <v>5.52</v>
      </c>
      <c r="I403" s="72">
        <v>32882.800000000003</v>
      </c>
      <c r="J403" s="72">
        <v>562.22</v>
      </c>
      <c r="K403" s="72">
        <v>1136.3800000000001</v>
      </c>
      <c r="L403" s="72">
        <v>48.07</v>
      </c>
      <c r="M403" s="72">
        <v>13.08</v>
      </c>
      <c r="N403" s="72">
        <v>120.47</v>
      </c>
      <c r="O403" s="70">
        <v>4</v>
      </c>
      <c r="P403" s="70"/>
      <c r="Q403" s="62" t="s">
        <v>258</v>
      </c>
      <c r="R403" s="61"/>
      <c r="S403" s="61"/>
    </row>
    <row r="404" spans="1:19" ht="13.8" customHeight="1" x14ac:dyDescent="0.3">
      <c r="A404" s="73" t="s">
        <v>289</v>
      </c>
      <c r="B404" s="74">
        <f>IFERROR(INDEX('Boulder Sample Log'!A$5:A$204,MATCH(A404,'Boulder Sample Log'!E$5:E$204,0)),"")</f>
        <v>46125</v>
      </c>
      <c r="C404" s="73">
        <v>503</v>
      </c>
      <c r="D404" s="73" t="s">
        <v>256</v>
      </c>
      <c r="E404" s="73">
        <v>3</v>
      </c>
      <c r="F404" s="73" t="s">
        <v>257</v>
      </c>
      <c r="G404" s="73" t="s">
        <v>257</v>
      </c>
      <c r="H404" s="75">
        <v>7.87</v>
      </c>
      <c r="I404" s="75">
        <v>32605.21</v>
      </c>
      <c r="J404" s="75">
        <v>564.76</v>
      </c>
      <c r="K404" s="75">
        <v>1546.61</v>
      </c>
      <c r="L404" s="75">
        <v>54.66</v>
      </c>
      <c r="M404" s="75">
        <v>12.42</v>
      </c>
      <c r="N404" s="75">
        <v>120.46</v>
      </c>
      <c r="O404" s="73">
        <v>4</v>
      </c>
      <c r="P404" s="73"/>
      <c r="Q404" s="66" t="s">
        <v>258</v>
      </c>
      <c r="R404" s="61"/>
      <c r="S404" s="61"/>
    </row>
    <row r="405" spans="1:19" ht="13.8" customHeight="1" x14ac:dyDescent="0.3">
      <c r="A405" s="70" t="s">
        <v>289</v>
      </c>
      <c r="B405" s="71">
        <f>IFERROR(INDEX('Boulder Sample Log'!A$5:A$204,MATCH(A405,'Boulder Sample Log'!E$5:E$204,0)),"")</f>
        <v>46125</v>
      </c>
      <c r="C405" s="70">
        <v>504</v>
      </c>
      <c r="D405" s="70" t="s">
        <v>256</v>
      </c>
      <c r="E405" s="70">
        <v>4</v>
      </c>
      <c r="F405" s="72">
        <v>3.47</v>
      </c>
      <c r="G405" s="70" t="s">
        <v>257</v>
      </c>
      <c r="H405" s="72">
        <v>7.3</v>
      </c>
      <c r="I405" s="72">
        <v>32325.83</v>
      </c>
      <c r="J405" s="72">
        <v>544.48</v>
      </c>
      <c r="K405" s="72">
        <v>1373.65</v>
      </c>
      <c r="L405" s="72">
        <v>55.96</v>
      </c>
      <c r="M405" s="72">
        <v>13.01</v>
      </c>
      <c r="N405" s="72">
        <v>120.09</v>
      </c>
      <c r="O405" s="70">
        <v>4</v>
      </c>
      <c r="P405" s="70"/>
      <c r="Q405" s="62" t="s">
        <v>258</v>
      </c>
      <c r="R405" s="61"/>
      <c r="S405" s="61"/>
    </row>
    <row r="406" spans="1:19" ht="13.8" customHeight="1" x14ac:dyDescent="0.3">
      <c r="A406" s="73" t="s">
        <v>289</v>
      </c>
      <c r="B406" s="74">
        <f>IFERROR(INDEX('Boulder Sample Log'!A$5:A$204,MATCH(A406,'Boulder Sample Log'!E$5:E$204,0)),"")</f>
        <v>46125</v>
      </c>
      <c r="C406" s="73">
        <v>505</v>
      </c>
      <c r="D406" s="73" t="s">
        <v>256</v>
      </c>
      <c r="E406" s="73">
        <v>4</v>
      </c>
      <c r="F406" s="75">
        <v>7.12</v>
      </c>
      <c r="G406" s="73" t="s">
        <v>257</v>
      </c>
      <c r="H406" s="75">
        <v>7.69</v>
      </c>
      <c r="I406" s="75">
        <v>34693.21</v>
      </c>
      <c r="J406" s="75">
        <v>542.59</v>
      </c>
      <c r="K406" s="75">
        <v>1342.12</v>
      </c>
      <c r="L406" s="75">
        <v>56.27</v>
      </c>
      <c r="M406" s="75">
        <v>13.89</v>
      </c>
      <c r="N406" s="75">
        <v>120.46</v>
      </c>
      <c r="O406" s="73">
        <v>4</v>
      </c>
      <c r="P406" s="73"/>
      <c r="Q406" s="66" t="s">
        <v>258</v>
      </c>
      <c r="R406" s="61"/>
      <c r="S406" s="61"/>
    </row>
    <row r="407" spans="1:19" ht="13.8" customHeight="1" x14ac:dyDescent="0.3">
      <c r="A407" s="70" t="s">
        <v>289</v>
      </c>
      <c r="B407" s="71">
        <f>IFERROR(INDEX('Boulder Sample Log'!A$5:A$204,MATCH(A407,'Boulder Sample Log'!E$5:E$204,0)),"")</f>
        <v>46125</v>
      </c>
      <c r="C407" s="70">
        <v>506</v>
      </c>
      <c r="D407" s="70" t="s">
        <v>256</v>
      </c>
      <c r="E407" s="70">
        <v>5</v>
      </c>
      <c r="F407" s="70" t="s">
        <v>257</v>
      </c>
      <c r="G407" s="70" t="s">
        <v>257</v>
      </c>
      <c r="H407" s="72">
        <v>6.91</v>
      </c>
      <c r="I407" s="72">
        <v>29893.16</v>
      </c>
      <c r="J407" s="72">
        <v>543.64</v>
      </c>
      <c r="K407" s="72">
        <v>1316.03</v>
      </c>
      <c r="L407" s="72">
        <v>38.869999999999997</v>
      </c>
      <c r="M407" s="72">
        <v>8.94</v>
      </c>
      <c r="N407" s="72">
        <v>120.38</v>
      </c>
      <c r="O407" s="70">
        <v>4</v>
      </c>
      <c r="P407" s="70"/>
      <c r="Q407" s="62" t="s">
        <v>258</v>
      </c>
      <c r="R407" s="61"/>
      <c r="S407" s="61"/>
    </row>
    <row r="408" spans="1:19" ht="13.8" customHeight="1" x14ac:dyDescent="0.3">
      <c r="A408" s="73" t="s">
        <v>289</v>
      </c>
      <c r="B408" s="74">
        <f>IFERROR(INDEX('Boulder Sample Log'!A$5:A$204,MATCH(A408,'Boulder Sample Log'!E$5:E$204,0)),"")</f>
        <v>46125</v>
      </c>
      <c r="C408" s="73">
        <v>507</v>
      </c>
      <c r="D408" s="73" t="s">
        <v>256</v>
      </c>
      <c r="E408" s="73">
        <v>5</v>
      </c>
      <c r="F408" s="73" t="s">
        <v>257</v>
      </c>
      <c r="G408" s="73" t="s">
        <v>257</v>
      </c>
      <c r="H408" s="75">
        <v>8.8800000000000008</v>
      </c>
      <c r="I408" s="75">
        <v>30148.01</v>
      </c>
      <c r="J408" s="75">
        <v>561.83000000000004</v>
      </c>
      <c r="K408" s="75">
        <v>1639.54</v>
      </c>
      <c r="L408" s="75">
        <v>39.22</v>
      </c>
      <c r="M408" s="75">
        <v>19.59</v>
      </c>
      <c r="N408" s="75">
        <v>122.86</v>
      </c>
      <c r="O408" s="73">
        <v>4</v>
      </c>
      <c r="P408" s="73"/>
      <c r="Q408" s="66" t="s">
        <v>258</v>
      </c>
      <c r="R408" s="61"/>
      <c r="S408" s="61"/>
    </row>
    <row r="409" spans="1:19" ht="13.8" customHeight="1" x14ac:dyDescent="0.3">
      <c r="A409" s="70" t="s">
        <v>290</v>
      </c>
      <c r="B409" s="71">
        <f>IFERROR(INDEX('Boulder Sample Log'!A$5:A$204,MATCH(A409,'Boulder Sample Log'!E$5:E$204,0)),"")</f>
        <v>46125</v>
      </c>
      <c r="C409" s="70">
        <v>508</v>
      </c>
      <c r="D409" s="70" t="s">
        <v>256</v>
      </c>
      <c r="E409" s="70">
        <v>1</v>
      </c>
      <c r="F409" s="70" t="s">
        <v>257</v>
      </c>
      <c r="G409" s="70" t="s">
        <v>257</v>
      </c>
      <c r="H409" s="72">
        <v>8.4499999999999993</v>
      </c>
      <c r="I409" s="72">
        <v>31623.65</v>
      </c>
      <c r="J409" s="72">
        <v>548.09</v>
      </c>
      <c r="K409" s="72">
        <v>4368.32</v>
      </c>
      <c r="L409" s="72">
        <v>55.18</v>
      </c>
      <c r="M409" s="72">
        <v>12.13</v>
      </c>
      <c r="N409" s="72">
        <v>120.26</v>
      </c>
      <c r="O409" s="70">
        <v>4</v>
      </c>
      <c r="P409" s="70"/>
      <c r="Q409" s="62" t="s">
        <v>258</v>
      </c>
      <c r="R409" s="61"/>
      <c r="S409" s="61"/>
    </row>
    <row r="410" spans="1:19" ht="13.8" customHeight="1" x14ac:dyDescent="0.3">
      <c r="A410" s="73" t="s">
        <v>290</v>
      </c>
      <c r="B410" s="74">
        <f>IFERROR(INDEX('Boulder Sample Log'!A$5:A$204,MATCH(A410,'Boulder Sample Log'!E$5:E$204,0)),"")</f>
        <v>46125</v>
      </c>
      <c r="C410" s="73">
        <v>509</v>
      </c>
      <c r="D410" s="73" t="s">
        <v>256</v>
      </c>
      <c r="E410" s="73">
        <v>1</v>
      </c>
      <c r="F410" s="75">
        <v>4.7699999999999996</v>
      </c>
      <c r="G410" s="73" t="s">
        <v>257</v>
      </c>
      <c r="H410" s="75">
        <v>8.4600000000000009</v>
      </c>
      <c r="I410" s="75">
        <v>31470.52</v>
      </c>
      <c r="J410" s="75">
        <v>539.71</v>
      </c>
      <c r="K410" s="75">
        <v>3558.9</v>
      </c>
      <c r="L410" s="75">
        <v>53.46</v>
      </c>
      <c r="M410" s="75">
        <v>16.05</v>
      </c>
      <c r="N410" s="75">
        <v>120.43</v>
      </c>
      <c r="O410" s="73">
        <v>4</v>
      </c>
      <c r="P410" s="73"/>
      <c r="Q410" s="66" t="s">
        <v>258</v>
      </c>
      <c r="R410" s="61"/>
      <c r="S410" s="61"/>
    </row>
    <row r="411" spans="1:19" ht="13.8" customHeight="1" x14ac:dyDescent="0.3">
      <c r="A411" s="70" t="s">
        <v>290</v>
      </c>
      <c r="B411" s="71">
        <f>IFERROR(INDEX('Boulder Sample Log'!A$5:A$204,MATCH(A411,'Boulder Sample Log'!E$5:E$204,0)),"")</f>
        <v>46125</v>
      </c>
      <c r="C411" s="70">
        <v>510</v>
      </c>
      <c r="D411" s="70" t="s">
        <v>256</v>
      </c>
      <c r="E411" s="70">
        <v>2</v>
      </c>
      <c r="F411" s="72">
        <v>3.3</v>
      </c>
      <c r="G411" s="70" t="s">
        <v>257</v>
      </c>
      <c r="H411" s="72">
        <v>8.36</v>
      </c>
      <c r="I411" s="72">
        <v>33583.839999999997</v>
      </c>
      <c r="J411" s="72">
        <v>514.47</v>
      </c>
      <c r="K411" s="72">
        <v>4078.67</v>
      </c>
      <c r="L411" s="72">
        <v>46.8</v>
      </c>
      <c r="M411" s="72">
        <v>16.920000000000002</v>
      </c>
      <c r="N411" s="72">
        <v>122.97</v>
      </c>
      <c r="O411" s="70">
        <v>4</v>
      </c>
      <c r="P411" s="70"/>
      <c r="Q411" s="62" t="s">
        <v>258</v>
      </c>
      <c r="R411" s="61"/>
      <c r="S411" s="61"/>
    </row>
    <row r="412" spans="1:19" ht="13.8" customHeight="1" x14ac:dyDescent="0.3">
      <c r="A412" s="73" t="s">
        <v>290</v>
      </c>
      <c r="B412" s="74">
        <f>IFERROR(INDEX('Boulder Sample Log'!A$5:A$204,MATCH(A412,'Boulder Sample Log'!E$5:E$204,0)),"")</f>
        <v>46125</v>
      </c>
      <c r="C412" s="73">
        <v>511</v>
      </c>
      <c r="D412" s="73" t="s">
        <v>256</v>
      </c>
      <c r="E412" s="73">
        <v>2</v>
      </c>
      <c r="F412" s="73" t="s">
        <v>257</v>
      </c>
      <c r="G412" s="73" t="s">
        <v>257</v>
      </c>
      <c r="H412" s="75">
        <v>9</v>
      </c>
      <c r="I412" s="75">
        <v>32583.919999999998</v>
      </c>
      <c r="J412" s="75">
        <v>490.13</v>
      </c>
      <c r="K412" s="75">
        <v>2308.48</v>
      </c>
      <c r="L412" s="75">
        <v>45.17</v>
      </c>
      <c r="M412" s="75">
        <v>11.71</v>
      </c>
      <c r="N412" s="75">
        <v>122.96</v>
      </c>
      <c r="O412" s="73">
        <v>4</v>
      </c>
      <c r="P412" s="73"/>
      <c r="Q412" s="66" t="s">
        <v>258</v>
      </c>
      <c r="R412" s="61"/>
      <c r="S412" s="61"/>
    </row>
    <row r="413" spans="1:19" ht="13.8" customHeight="1" x14ac:dyDescent="0.3">
      <c r="A413" s="70" t="s">
        <v>290</v>
      </c>
      <c r="B413" s="71">
        <f>IFERROR(INDEX('Boulder Sample Log'!A$5:A$204,MATCH(A413,'Boulder Sample Log'!E$5:E$204,0)),"")</f>
        <v>46125</v>
      </c>
      <c r="C413" s="70">
        <v>513</v>
      </c>
      <c r="D413" s="70" t="s">
        <v>256</v>
      </c>
      <c r="E413" s="70">
        <v>3</v>
      </c>
      <c r="F413" s="70" t="s">
        <v>257</v>
      </c>
      <c r="G413" s="72">
        <v>48.43</v>
      </c>
      <c r="H413" s="72">
        <v>12.59</v>
      </c>
      <c r="I413" s="72">
        <v>36859.760000000002</v>
      </c>
      <c r="J413" s="70" t="s">
        <v>257</v>
      </c>
      <c r="K413" s="72">
        <v>18062.150000000001</v>
      </c>
      <c r="L413" s="70" t="s">
        <v>257</v>
      </c>
      <c r="M413" s="70" t="s">
        <v>257</v>
      </c>
      <c r="N413" s="72">
        <v>122.93</v>
      </c>
      <c r="O413" s="70">
        <v>4</v>
      </c>
      <c r="P413" s="70"/>
      <c r="Q413" s="62" t="s">
        <v>258</v>
      </c>
      <c r="R413" s="61"/>
      <c r="S413" s="61"/>
    </row>
    <row r="414" spans="1:19" ht="13.8" customHeight="1" x14ac:dyDescent="0.3">
      <c r="A414" s="73" t="s">
        <v>290</v>
      </c>
      <c r="B414" s="74">
        <f>IFERROR(INDEX('Boulder Sample Log'!A$5:A$204,MATCH(A414,'Boulder Sample Log'!E$5:E$204,0)),"")</f>
        <v>46125</v>
      </c>
      <c r="C414" s="73">
        <v>514</v>
      </c>
      <c r="D414" s="73" t="s">
        <v>256</v>
      </c>
      <c r="E414" s="73">
        <v>3</v>
      </c>
      <c r="F414" s="73" t="s">
        <v>257</v>
      </c>
      <c r="G414" s="75">
        <v>47.65</v>
      </c>
      <c r="H414" s="75">
        <v>6.7</v>
      </c>
      <c r="I414" s="75">
        <v>23803.54</v>
      </c>
      <c r="J414" s="73" t="s">
        <v>257</v>
      </c>
      <c r="K414" s="75">
        <v>13020.56</v>
      </c>
      <c r="L414" s="73" t="s">
        <v>257</v>
      </c>
      <c r="M414" s="73" t="s">
        <v>257</v>
      </c>
      <c r="N414" s="75">
        <v>122.73</v>
      </c>
      <c r="O414" s="73">
        <v>4</v>
      </c>
      <c r="P414" s="73"/>
      <c r="Q414" s="66" t="s">
        <v>258</v>
      </c>
      <c r="R414" s="61"/>
      <c r="S414" s="61"/>
    </row>
    <row r="415" spans="1:19" ht="13.8" customHeight="1" x14ac:dyDescent="0.3">
      <c r="A415" s="70" t="s">
        <v>290</v>
      </c>
      <c r="B415" s="71">
        <f>IFERROR(INDEX('Boulder Sample Log'!A$5:A$204,MATCH(A415,'Boulder Sample Log'!E$5:E$204,0)),"")</f>
        <v>46125</v>
      </c>
      <c r="C415" s="70">
        <v>515</v>
      </c>
      <c r="D415" s="70" t="s">
        <v>256</v>
      </c>
      <c r="E415" s="70">
        <v>3</v>
      </c>
      <c r="F415" s="70" t="s">
        <v>257</v>
      </c>
      <c r="G415" s="72">
        <v>48.64</v>
      </c>
      <c r="H415" s="72">
        <v>14.98</v>
      </c>
      <c r="I415" s="72">
        <v>32584.62</v>
      </c>
      <c r="J415" s="70" t="s">
        <v>257</v>
      </c>
      <c r="K415" s="72">
        <v>19123.77</v>
      </c>
      <c r="L415" s="70" t="s">
        <v>257</v>
      </c>
      <c r="M415" s="70" t="s">
        <v>257</v>
      </c>
      <c r="N415" s="72">
        <v>123.08</v>
      </c>
      <c r="O415" s="70">
        <v>4</v>
      </c>
      <c r="P415" s="70"/>
      <c r="Q415" s="62" t="s">
        <v>258</v>
      </c>
      <c r="R415" s="61"/>
      <c r="S415" s="61"/>
    </row>
    <row r="416" spans="1:19" ht="13.8" customHeight="1" x14ac:dyDescent="0.3">
      <c r="A416" s="73" t="s">
        <v>290</v>
      </c>
      <c r="B416" s="74">
        <f>IFERROR(INDEX('Boulder Sample Log'!A$5:A$204,MATCH(A416,'Boulder Sample Log'!E$5:E$204,0)),"")</f>
        <v>46125</v>
      </c>
      <c r="C416" s="73">
        <v>517</v>
      </c>
      <c r="D416" s="73" t="s">
        <v>256</v>
      </c>
      <c r="E416" s="73">
        <v>4</v>
      </c>
      <c r="F416" s="73" t="s">
        <v>257</v>
      </c>
      <c r="G416" s="75">
        <v>59.04</v>
      </c>
      <c r="H416" s="75">
        <v>6.05</v>
      </c>
      <c r="I416" s="75">
        <v>4036.03</v>
      </c>
      <c r="J416" s="73" t="s">
        <v>257</v>
      </c>
      <c r="K416" s="75">
        <v>2518.1</v>
      </c>
      <c r="L416" s="73" t="s">
        <v>257</v>
      </c>
      <c r="M416" s="73" t="s">
        <v>257</v>
      </c>
      <c r="N416" s="75">
        <v>120.52</v>
      </c>
      <c r="O416" s="73">
        <v>4</v>
      </c>
      <c r="P416" s="73"/>
      <c r="Q416" s="66" t="s">
        <v>258</v>
      </c>
      <c r="R416" s="61"/>
      <c r="S416" s="61"/>
    </row>
    <row r="417" spans="1:19" ht="13.8" customHeight="1" x14ac:dyDescent="0.3">
      <c r="A417" s="70" t="s">
        <v>290</v>
      </c>
      <c r="B417" s="71">
        <f>IFERROR(INDEX('Boulder Sample Log'!A$5:A$204,MATCH(A417,'Boulder Sample Log'!E$5:E$204,0)),"")</f>
        <v>46125</v>
      </c>
      <c r="C417" s="70">
        <v>519</v>
      </c>
      <c r="D417" s="70" t="s">
        <v>256</v>
      </c>
      <c r="E417" s="70">
        <v>4</v>
      </c>
      <c r="F417" s="70" t="s">
        <v>257</v>
      </c>
      <c r="G417" s="72">
        <v>62.85</v>
      </c>
      <c r="H417" s="72">
        <v>6.64</v>
      </c>
      <c r="I417" s="72">
        <v>4765.38</v>
      </c>
      <c r="J417" s="70" t="s">
        <v>257</v>
      </c>
      <c r="K417" s="72">
        <v>3252.03</v>
      </c>
      <c r="L417" s="70" t="s">
        <v>257</v>
      </c>
      <c r="M417" s="70" t="s">
        <v>257</v>
      </c>
      <c r="N417" s="72">
        <v>120.56</v>
      </c>
      <c r="O417" s="70">
        <v>4</v>
      </c>
      <c r="P417" s="70"/>
      <c r="Q417" s="62" t="s">
        <v>258</v>
      </c>
      <c r="R417" s="61"/>
      <c r="S417" s="61"/>
    </row>
    <row r="418" spans="1:19" ht="13.8" customHeight="1" x14ac:dyDescent="0.3">
      <c r="A418" s="73" t="s">
        <v>290</v>
      </c>
      <c r="B418" s="74">
        <f>IFERROR(INDEX('Boulder Sample Log'!A$5:A$204,MATCH(A418,'Boulder Sample Log'!E$5:E$204,0)),"")</f>
        <v>46125</v>
      </c>
      <c r="C418" s="73">
        <v>520</v>
      </c>
      <c r="D418" s="73" t="s">
        <v>256</v>
      </c>
      <c r="E418" s="73">
        <v>5</v>
      </c>
      <c r="F418" s="73" t="s">
        <v>257</v>
      </c>
      <c r="G418" s="75">
        <v>34.6</v>
      </c>
      <c r="H418" s="75">
        <v>7.77</v>
      </c>
      <c r="I418" s="75">
        <v>22422.74</v>
      </c>
      <c r="J418" s="73" t="s">
        <v>257</v>
      </c>
      <c r="K418" s="75">
        <v>17885.849999999999</v>
      </c>
      <c r="L418" s="73" t="s">
        <v>257</v>
      </c>
      <c r="M418" s="73" t="s">
        <v>257</v>
      </c>
      <c r="N418" s="75">
        <v>120.34</v>
      </c>
      <c r="O418" s="73">
        <v>4</v>
      </c>
      <c r="P418" s="73"/>
      <c r="Q418" s="66" t="s">
        <v>258</v>
      </c>
      <c r="R418" s="61"/>
      <c r="S418" s="61"/>
    </row>
    <row r="419" spans="1:19" ht="13.8" customHeight="1" x14ac:dyDescent="0.3">
      <c r="A419" s="70" t="s">
        <v>290</v>
      </c>
      <c r="B419" s="71">
        <f>IFERROR(INDEX('Boulder Sample Log'!A$5:A$204,MATCH(A419,'Boulder Sample Log'!E$5:E$204,0)),"")</f>
        <v>46125</v>
      </c>
      <c r="C419" s="70">
        <v>521</v>
      </c>
      <c r="D419" s="70" t="s">
        <v>256</v>
      </c>
      <c r="E419" s="70">
        <v>5</v>
      </c>
      <c r="F419" s="70" t="s">
        <v>257</v>
      </c>
      <c r="G419" s="72">
        <v>40.369999999999997</v>
      </c>
      <c r="H419" s="72">
        <v>7.12</v>
      </c>
      <c r="I419" s="72">
        <v>16750.419999999998</v>
      </c>
      <c r="J419" s="70" t="s">
        <v>257</v>
      </c>
      <c r="K419" s="72">
        <v>11493.1</v>
      </c>
      <c r="L419" s="70" t="s">
        <v>257</v>
      </c>
      <c r="M419" s="70" t="s">
        <v>257</v>
      </c>
      <c r="N419" s="72">
        <v>120.57</v>
      </c>
      <c r="O419" s="70">
        <v>4</v>
      </c>
      <c r="P419" s="70"/>
      <c r="Q419" s="62" t="s">
        <v>258</v>
      </c>
      <c r="R419" s="61"/>
      <c r="S419" s="61"/>
    </row>
    <row r="420" spans="1:19" ht="13.8" customHeight="1" x14ac:dyDescent="0.3">
      <c r="A420" s="73" t="s">
        <v>291</v>
      </c>
      <c r="B420" s="74">
        <f>IFERROR(INDEX('Boulder Sample Log'!A$5:A$204,MATCH(A420,'Boulder Sample Log'!E$5:E$204,0)),"")</f>
        <v>46125</v>
      </c>
      <c r="C420" s="73">
        <v>522</v>
      </c>
      <c r="D420" s="73" t="s">
        <v>256</v>
      </c>
      <c r="E420" s="73">
        <v>1</v>
      </c>
      <c r="F420" s="75">
        <v>15.98</v>
      </c>
      <c r="G420" s="73" t="s">
        <v>257</v>
      </c>
      <c r="H420" s="73" t="s">
        <v>257</v>
      </c>
      <c r="I420" s="75">
        <v>22516</v>
      </c>
      <c r="J420" s="73" t="s">
        <v>257</v>
      </c>
      <c r="K420" s="75">
        <v>38935.919999999998</v>
      </c>
      <c r="L420" s="75">
        <v>13.67</v>
      </c>
      <c r="M420" s="73" t="s">
        <v>257</v>
      </c>
      <c r="N420" s="75">
        <v>122.79</v>
      </c>
      <c r="O420" s="73">
        <v>4</v>
      </c>
      <c r="P420" s="73"/>
      <c r="Q420" s="66" t="s">
        <v>258</v>
      </c>
      <c r="R420" s="61"/>
      <c r="S420" s="61"/>
    </row>
    <row r="421" spans="1:19" ht="13.8" customHeight="1" x14ac:dyDescent="0.3">
      <c r="A421" s="70" t="s">
        <v>291</v>
      </c>
      <c r="B421" s="71">
        <f>IFERROR(INDEX('Boulder Sample Log'!A$5:A$204,MATCH(A421,'Boulder Sample Log'!E$5:E$204,0)),"")</f>
        <v>46125</v>
      </c>
      <c r="C421" s="70">
        <v>523</v>
      </c>
      <c r="D421" s="70" t="s">
        <v>256</v>
      </c>
      <c r="E421" s="70">
        <v>1</v>
      </c>
      <c r="F421" s="72">
        <v>10.08</v>
      </c>
      <c r="G421" s="70" t="s">
        <v>257</v>
      </c>
      <c r="H421" s="70" t="s">
        <v>257</v>
      </c>
      <c r="I421" s="72">
        <v>22783.33</v>
      </c>
      <c r="J421" s="70" t="s">
        <v>257</v>
      </c>
      <c r="K421" s="72">
        <v>28623.06</v>
      </c>
      <c r="L421" s="72">
        <v>29.92</v>
      </c>
      <c r="M421" s="70" t="s">
        <v>257</v>
      </c>
      <c r="N421" s="72">
        <v>120.57</v>
      </c>
      <c r="O421" s="70">
        <v>4</v>
      </c>
      <c r="P421" s="70"/>
      <c r="Q421" s="62" t="s">
        <v>258</v>
      </c>
      <c r="R421" s="61"/>
      <c r="S421" s="61"/>
    </row>
    <row r="422" spans="1:19" ht="13.8" customHeight="1" x14ac:dyDescent="0.3">
      <c r="A422" s="73" t="s">
        <v>291</v>
      </c>
      <c r="B422" s="74">
        <f>IFERROR(INDEX('Boulder Sample Log'!A$5:A$204,MATCH(A422,'Boulder Sample Log'!E$5:E$204,0)),"")</f>
        <v>46125</v>
      </c>
      <c r="C422" s="73">
        <v>524</v>
      </c>
      <c r="D422" s="73" t="s">
        <v>256</v>
      </c>
      <c r="E422" s="73">
        <v>2</v>
      </c>
      <c r="F422" s="75">
        <v>12.89</v>
      </c>
      <c r="G422" s="73" t="s">
        <v>257</v>
      </c>
      <c r="H422" s="75">
        <v>8.6300000000000008</v>
      </c>
      <c r="I422" s="75">
        <v>11368.15</v>
      </c>
      <c r="J422" s="73" t="s">
        <v>257</v>
      </c>
      <c r="K422" s="75">
        <v>14204.98</v>
      </c>
      <c r="L422" s="75">
        <v>3.57</v>
      </c>
      <c r="M422" s="73" t="s">
        <v>257</v>
      </c>
      <c r="N422" s="75">
        <v>120.64</v>
      </c>
      <c r="O422" s="73">
        <v>4</v>
      </c>
      <c r="P422" s="73"/>
      <c r="Q422" s="66" t="s">
        <v>258</v>
      </c>
      <c r="R422" s="61"/>
      <c r="S422" s="61"/>
    </row>
    <row r="423" spans="1:19" ht="13.8" customHeight="1" x14ac:dyDescent="0.3">
      <c r="A423" s="70" t="s">
        <v>291</v>
      </c>
      <c r="B423" s="71">
        <f>IFERROR(INDEX('Boulder Sample Log'!A$5:A$204,MATCH(A423,'Boulder Sample Log'!E$5:E$204,0)),"")</f>
        <v>46125</v>
      </c>
      <c r="C423" s="70">
        <v>525</v>
      </c>
      <c r="D423" s="70" t="s">
        <v>256</v>
      </c>
      <c r="E423" s="70">
        <v>2</v>
      </c>
      <c r="F423" s="72">
        <v>7.54</v>
      </c>
      <c r="G423" s="70" t="s">
        <v>257</v>
      </c>
      <c r="H423" s="72">
        <v>6.44</v>
      </c>
      <c r="I423" s="72">
        <v>8801.77</v>
      </c>
      <c r="J423" s="70" t="s">
        <v>257</v>
      </c>
      <c r="K423" s="72">
        <v>9341.69</v>
      </c>
      <c r="L423" s="70" t="s">
        <v>257</v>
      </c>
      <c r="M423" s="70" t="s">
        <v>257</v>
      </c>
      <c r="N423" s="72">
        <v>120.43</v>
      </c>
      <c r="O423" s="70">
        <v>4</v>
      </c>
      <c r="P423" s="70"/>
      <c r="Q423" s="62" t="s">
        <v>258</v>
      </c>
      <c r="R423" s="61"/>
      <c r="S423" s="61"/>
    </row>
    <row r="424" spans="1:19" ht="13.8" customHeight="1" x14ac:dyDescent="0.3">
      <c r="A424" s="73" t="s">
        <v>291</v>
      </c>
      <c r="B424" s="74">
        <f>IFERROR(INDEX('Boulder Sample Log'!A$5:A$204,MATCH(A424,'Boulder Sample Log'!E$5:E$204,0)),"")</f>
        <v>46125</v>
      </c>
      <c r="C424" s="73">
        <v>526</v>
      </c>
      <c r="D424" s="73" t="s">
        <v>256</v>
      </c>
      <c r="E424" s="73">
        <v>3</v>
      </c>
      <c r="F424" s="75">
        <v>25.9</v>
      </c>
      <c r="G424" s="73" t="s">
        <v>257</v>
      </c>
      <c r="H424" s="75">
        <v>6.15</v>
      </c>
      <c r="I424" s="75">
        <v>19629.59</v>
      </c>
      <c r="J424" s="73" t="s">
        <v>257</v>
      </c>
      <c r="K424" s="75">
        <v>18205.93</v>
      </c>
      <c r="L424" s="75">
        <v>20.69</v>
      </c>
      <c r="M424" s="73" t="s">
        <v>257</v>
      </c>
      <c r="N424" s="75">
        <v>120.59</v>
      </c>
      <c r="O424" s="73">
        <v>4</v>
      </c>
      <c r="P424" s="73"/>
      <c r="Q424" s="66" t="s">
        <v>258</v>
      </c>
      <c r="R424" s="61"/>
      <c r="S424" s="61"/>
    </row>
    <row r="425" spans="1:19" ht="13.8" customHeight="1" x14ac:dyDescent="0.3">
      <c r="A425" s="70" t="s">
        <v>291</v>
      </c>
      <c r="B425" s="71">
        <f>IFERROR(INDEX('Boulder Sample Log'!A$5:A$204,MATCH(A425,'Boulder Sample Log'!E$5:E$204,0)),"")</f>
        <v>46125</v>
      </c>
      <c r="C425" s="70">
        <v>527</v>
      </c>
      <c r="D425" s="70" t="s">
        <v>256</v>
      </c>
      <c r="E425" s="70">
        <v>3</v>
      </c>
      <c r="F425" s="72">
        <v>6.4</v>
      </c>
      <c r="G425" s="70" t="s">
        <v>257</v>
      </c>
      <c r="H425" s="72">
        <v>5.84</v>
      </c>
      <c r="I425" s="72">
        <v>9045.0300000000007</v>
      </c>
      <c r="J425" s="70" t="s">
        <v>257</v>
      </c>
      <c r="K425" s="72">
        <v>28936.58</v>
      </c>
      <c r="L425" s="72">
        <v>10.72</v>
      </c>
      <c r="M425" s="70" t="s">
        <v>257</v>
      </c>
      <c r="N425" s="72">
        <v>120.42</v>
      </c>
      <c r="O425" s="70">
        <v>4</v>
      </c>
      <c r="P425" s="70"/>
      <c r="Q425" s="62" t="s">
        <v>258</v>
      </c>
      <c r="R425" s="61"/>
      <c r="S425" s="61"/>
    </row>
    <row r="426" spans="1:19" ht="13.8" customHeight="1" x14ac:dyDescent="0.3">
      <c r="A426" s="73" t="s">
        <v>291</v>
      </c>
      <c r="B426" s="74">
        <f>IFERROR(INDEX('Boulder Sample Log'!A$5:A$204,MATCH(A426,'Boulder Sample Log'!E$5:E$204,0)),"")</f>
        <v>46125</v>
      </c>
      <c r="C426" s="73">
        <v>528</v>
      </c>
      <c r="D426" s="73" t="s">
        <v>256</v>
      </c>
      <c r="E426" s="73">
        <v>3</v>
      </c>
      <c r="F426" s="75">
        <v>4.07</v>
      </c>
      <c r="G426" s="73" t="s">
        <v>257</v>
      </c>
      <c r="H426" s="75">
        <v>6.54</v>
      </c>
      <c r="I426" s="75">
        <v>13880.33</v>
      </c>
      <c r="J426" s="73" t="s">
        <v>257</v>
      </c>
      <c r="K426" s="75">
        <v>28041.01</v>
      </c>
      <c r="L426" s="75">
        <v>5.66</v>
      </c>
      <c r="M426" s="73" t="s">
        <v>257</v>
      </c>
      <c r="N426" s="75">
        <v>120.34</v>
      </c>
      <c r="O426" s="73">
        <v>4</v>
      </c>
      <c r="P426" s="73"/>
      <c r="Q426" s="66" t="s">
        <v>258</v>
      </c>
      <c r="R426" s="61"/>
      <c r="S426" s="61"/>
    </row>
    <row r="427" spans="1:19" ht="13.8" customHeight="1" x14ac:dyDescent="0.3">
      <c r="A427" s="70" t="s">
        <v>291</v>
      </c>
      <c r="B427" s="71">
        <f>IFERROR(INDEX('Boulder Sample Log'!A$5:A$204,MATCH(A427,'Boulder Sample Log'!E$5:E$204,0)),"")</f>
        <v>46125</v>
      </c>
      <c r="C427" s="70">
        <v>529</v>
      </c>
      <c r="D427" s="70" t="s">
        <v>256</v>
      </c>
      <c r="E427" s="70">
        <v>4</v>
      </c>
      <c r="F427" s="72">
        <v>27.84</v>
      </c>
      <c r="G427" s="72">
        <v>1.43</v>
      </c>
      <c r="H427" s="72">
        <v>10.93</v>
      </c>
      <c r="I427" s="72">
        <v>15061.77</v>
      </c>
      <c r="J427" s="70" t="s">
        <v>257</v>
      </c>
      <c r="K427" s="72">
        <v>26069.07</v>
      </c>
      <c r="L427" s="72">
        <v>30.17</v>
      </c>
      <c r="M427" s="70" t="s">
        <v>257</v>
      </c>
      <c r="N427" s="72">
        <v>120.5</v>
      </c>
      <c r="O427" s="70">
        <v>4</v>
      </c>
      <c r="P427" s="70"/>
      <c r="Q427" s="62" t="s">
        <v>258</v>
      </c>
      <c r="R427" s="61"/>
      <c r="S427" s="61"/>
    </row>
    <row r="428" spans="1:19" ht="13.8" customHeight="1" x14ac:dyDescent="0.3">
      <c r="A428" s="73" t="s">
        <v>291</v>
      </c>
      <c r="B428" s="74">
        <f>IFERROR(INDEX('Boulder Sample Log'!A$5:A$204,MATCH(A428,'Boulder Sample Log'!E$5:E$204,0)),"")</f>
        <v>46125</v>
      </c>
      <c r="C428" s="73">
        <v>530</v>
      </c>
      <c r="D428" s="73" t="s">
        <v>256</v>
      </c>
      <c r="E428" s="73">
        <v>4</v>
      </c>
      <c r="F428" s="75">
        <v>119.85</v>
      </c>
      <c r="G428" s="73" t="s">
        <v>257</v>
      </c>
      <c r="H428" s="75">
        <v>5.24</v>
      </c>
      <c r="I428" s="75">
        <v>17947.02</v>
      </c>
      <c r="J428" s="73" t="s">
        <v>257</v>
      </c>
      <c r="K428" s="75">
        <v>28614.95</v>
      </c>
      <c r="L428" s="75">
        <v>47.29</v>
      </c>
      <c r="M428" s="73" t="s">
        <v>257</v>
      </c>
      <c r="N428" s="75">
        <v>120.45</v>
      </c>
      <c r="O428" s="73">
        <v>4</v>
      </c>
      <c r="P428" s="73"/>
      <c r="Q428" s="66" t="s">
        <v>258</v>
      </c>
      <c r="R428" s="61"/>
      <c r="S428" s="61"/>
    </row>
    <row r="429" spans="1:19" ht="13.8" customHeight="1" x14ac:dyDescent="0.3">
      <c r="A429" s="70" t="s">
        <v>291</v>
      </c>
      <c r="B429" s="71">
        <f>IFERROR(INDEX('Boulder Sample Log'!A$5:A$204,MATCH(A429,'Boulder Sample Log'!E$5:E$204,0)),"")</f>
        <v>46125</v>
      </c>
      <c r="C429" s="70">
        <v>531</v>
      </c>
      <c r="D429" s="70" t="s">
        <v>256</v>
      </c>
      <c r="E429" s="70">
        <v>4</v>
      </c>
      <c r="F429" s="72">
        <v>65.540000000000006</v>
      </c>
      <c r="G429" s="70" t="s">
        <v>257</v>
      </c>
      <c r="H429" s="72">
        <v>5.37</v>
      </c>
      <c r="I429" s="72">
        <v>14540.99</v>
      </c>
      <c r="J429" s="70" t="s">
        <v>257</v>
      </c>
      <c r="K429" s="72">
        <v>26058.68</v>
      </c>
      <c r="L429" s="72">
        <v>49.6</v>
      </c>
      <c r="M429" s="70" t="s">
        <v>257</v>
      </c>
      <c r="N429" s="72">
        <v>120.59</v>
      </c>
      <c r="O429" s="70">
        <v>4</v>
      </c>
      <c r="P429" s="70"/>
      <c r="Q429" s="62" t="s">
        <v>258</v>
      </c>
      <c r="R429" s="61"/>
      <c r="S429" s="61"/>
    </row>
    <row r="430" spans="1:19" ht="13.8" customHeight="1" x14ac:dyDescent="0.3">
      <c r="A430" s="73" t="s">
        <v>291</v>
      </c>
      <c r="B430" s="74">
        <f>IFERROR(INDEX('Boulder Sample Log'!A$5:A$204,MATCH(A430,'Boulder Sample Log'!E$5:E$204,0)),"")</f>
        <v>46125</v>
      </c>
      <c r="C430" s="73">
        <v>532</v>
      </c>
      <c r="D430" s="73" t="s">
        <v>256</v>
      </c>
      <c r="E430" s="73">
        <v>5</v>
      </c>
      <c r="F430" s="75">
        <v>496.74</v>
      </c>
      <c r="G430" s="75">
        <v>10.95</v>
      </c>
      <c r="H430" s="73" t="s">
        <v>257</v>
      </c>
      <c r="I430" s="75">
        <v>73989.789999999994</v>
      </c>
      <c r="J430" s="75">
        <v>200.24</v>
      </c>
      <c r="K430" s="75">
        <v>49838.46</v>
      </c>
      <c r="L430" s="73" t="s">
        <v>257</v>
      </c>
      <c r="M430" s="73" t="s">
        <v>257</v>
      </c>
      <c r="N430" s="75">
        <v>120.44</v>
      </c>
      <c r="O430" s="73">
        <v>4</v>
      </c>
      <c r="P430" s="73"/>
      <c r="Q430" s="66" t="s">
        <v>258</v>
      </c>
      <c r="R430" s="61"/>
      <c r="S430" s="61"/>
    </row>
    <row r="431" spans="1:19" ht="13.8" customHeight="1" x14ac:dyDescent="0.3">
      <c r="A431" s="70" t="s">
        <v>291</v>
      </c>
      <c r="B431" s="71">
        <f>IFERROR(INDEX('Boulder Sample Log'!A$5:A$204,MATCH(A431,'Boulder Sample Log'!E$5:E$204,0)),"")</f>
        <v>46125</v>
      </c>
      <c r="C431" s="70">
        <v>533</v>
      </c>
      <c r="D431" s="70" t="s">
        <v>256</v>
      </c>
      <c r="E431" s="70">
        <v>5</v>
      </c>
      <c r="F431" s="72">
        <v>276.56</v>
      </c>
      <c r="G431" s="72">
        <v>10.91</v>
      </c>
      <c r="H431" s="72">
        <v>5.3</v>
      </c>
      <c r="I431" s="72">
        <v>77310.929999999993</v>
      </c>
      <c r="J431" s="72">
        <v>496.49</v>
      </c>
      <c r="K431" s="72">
        <v>59541.86</v>
      </c>
      <c r="L431" s="72">
        <v>183.22</v>
      </c>
      <c r="M431" s="72">
        <v>84.03</v>
      </c>
      <c r="N431" s="72">
        <v>120.44</v>
      </c>
      <c r="O431" s="70">
        <v>4</v>
      </c>
      <c r="P431" s="70"/>
      <c r="Q431" s="62" t="s">
        <v>258</v>
      </c>
      <c r="R431" s="61"/>
      <c r="S431" s="61"/>
    </row>
    <row r="432" spans="1:19" ht="13.8" customHeight="1" x14ac:dyDescent="0.3">
      <c r="A432" s="73" t="s">
        <v>291</v>
      </c>
      <c r="B432" s="74">
        <f>IFERROR(INDEX('Boulder Sample Log'!A$5:A$204,MATCH(A432,'Boulder Sample Log'!E$5:E$204,0)),"")</f>
        <v>46125</v>
      </c>
      <c r="C432" s="73">
        <v>534</v>
      </c>
      <c r="D432" s="73" t="s">
        <v>256</v>
      </c>
      <c r="E432" s="73">
        <v>5</v>
      </c>
      <c r="F432" s="75">
        <v>528.73</v>
      </c>
      <c r="G432" s="73" t="s">
        <v>257</v>
      </c>
      <c r="H432" s="73" t="s">
        <v>257</v>
      </c>
      <c r="I432" s="75">
        <v>41974.879999999997</v>
      </c>
      <c r="J432" s="75">
        <v>612.30999999999995</v>
      </c>
      <c r="K432" s="75">
        <v>72958.83</v>
      </c>
      <c r="L432" s="73" t="s">
        <v>257</v>
      </c>
      <c r="M432" s="73" t="s">
        <v>257</v>
      </c>
      <c r="N432" s="75">
        <v>120.69</v>
      </c>
      <c r="O432" s="73">
        <v>4</v>
      </c>
      <c r="P432" s="73"/>
      <c r="Q432" s="66" t="s">
        <v>258</v>
      </c>
      <c r="R432" s="61"/>
      <c r="S432" s="61"/>
    </row>
    <row r="433" spans="1:19" ht="13.8" customHeight="1" x14ac:dyDescent="0.3">
      <c r="A433" s="70" t="s">
        <v>292</v>
      </c>
      <c r="B433" s="71">
        <f>IFERROR(INDEX('Boulder Sample Log'!A$5:A$204,MATCH(A433,'Boulder Sample Log'!E$5:E$204,0)),"")</f>
        <v>46125</v>
      </c>
      <c r="C433" s="70">
        <v>535</v>
      </c>
      <c r="D433" s="70" t="s">
        <v>256</v>
      </c>
      <c r="E433" s="70">
        <v>1</v>
      </c>
      <c r="F433" s="72">
        <v>13.38</v>
      </c>
      <c r="G433" s="70" t="s">
        <v>257</v>
      </c>
      <c r="H433" s="72">
        <v>12.58</v>
      </c>
      <c r="I433" s="72">
        <v>48191.54</v>
      </c>
      <c r="J433" s="72">
        <v>323.05</v>
      </c>
      <c r="K433" s="72">
        <v>1911.05</v>
      </c>
      <c r="L433" s="72">
        <v>54.55</v>
      </c>
      <c r="M433" s="72">
        <v>11.91</v>
      </c>
      <c r="N433" s="72">
        <v>120.34</v>
      </c>
      <c r="O433" s="70">
        <v>4</v>
      </c>
      <c r="P433" s="70"/>
      <c r="Q433" s="62" t="s">
        <v>258</v>
      </c>
      <c r="R433" s="61"/>
      <c r="S433" s="61"/>
    </row>
    <row r="434" spans="1:19" ht="13.8" customHeight="1" x14ac:dyDescent="0.3">
      <c r="A434" s="73" t="s">
        <v>292</v>
      </c>
      <c r="B434" s="74">
        <f>IFERROR(INDEX('Boulder Sample Log'!A$5:A$204,MATCH(A434,'Boulder Sample Log'!E$5:E$204,0)),"")</f>
        <v>46125</v>
      </c>
      <c r="C434" s="73">
        <v>536</v>
      </c>
      <c r="D434" s="73" t="s">
        <v>256</v>
      </c>
      <c r="E434" s="73">
        <v>1</v>
      </c>
      <c r="F434" s="73" t="s">
        <v>257</v>
      </c>
      <c r="G434" s="73" t="s">
        <v>257</v>
      </c>
      <c r="H434" s="75">
        <v>8.8800000000000008</v>
      </c>
      <c r="I434" s="75">
        <v>31911.73</v>
      </c>
      <c r="J434" s="75">
        <v>244.3</v>
      </c>
      <c r="K434" s="75">
        <v>11736.8</v>
      </c>
      <c r="L434" s="75">
        <v>52.91</v>
      </c>
      <c r="M434" s="75">
        <v>11.84</v>
      </c>
      <c r="N434" s="75">
        <v>120.25</v>
      </c>
      <c r="O434" s="73">
        <v>4</v>
      </c>
      <c r="P434" s="73"/>
      <c r="Q434" s="66" t="s">
        <v>258</v>
      </c>
      <c r="R434" s="61"/>
      <c r="S434" s="61"/>
    </row>
    <row r="435" spans="1:19" ht="13.8" customHeight="1" x14ac:dyDescent="0.3">
      <c r="A435" s="70" t="s">
        <v>292</v>
      </c>
      <c r="B435" s="71">
        <f>IFERROR(INDEX('Boulder Sample Log'!A$5:A$204,MATCH(A435,'Boulder Sample Log'!E$5:E$204,0)),"")</f>
        <v>46125</v>
      </c>
      <c r="C435" s="70">
        <v>537</v>
      </c>
      <c r="D435" s="70" t="s">
        <v>256</v>
      </c>
      <c r="E435" s="70">
        <v>1</v>
      </c>
      <c r="F435" s="70" t="s">
        <v>257</v>
      </c>
      <c r="G435" s="70" t="s">
        <v>257</v>
      </c>
      <c r="H435" s="72">
        <v>7.67</v>
      </c>
      <c r="I435" s="72">
        <v>36062.79</v>
      </c>
      <c r="J435" s="72">
        <v>382.62</v>
      </c>
      <c r="K435" s="72">
        <v>2625.38</v>
      </c>
      <c r="L435" s="72">
        <v>70.819999999999993</v>
      </c>
      <c r="M435" s="72">
        <v>9.19</v>
      </c>
      <c r="N435" s="72">
        <v>120.6</v>
      </c>
      <c r="O435" s="70">
        <v>4</v>
      </c>
      <c r="P435" s="70"/>
      <c r="Q435" s="62" t="s">
        <v>258</v>
      </c>
      <c r="R435" s="61"/>
      <c r="S435" s="61"/>
    </row>
    <row r="436" spans="1:19" ht="13.8" customHeight="1" x14ac:dyDescent="0.3">
      <c r="A436" s="73" t="s">
        <v>292</v>
      </c>
      <c r="B436" s="74">
        <f>IFERROR(INDEX('Boulder Sample Log'!A$5:A$204,MATCH(A436,'Boulder Sample Log'!E$5:E$204,0)),"")</f>
        <v>46125</v>
      </c>
      <c r="C436" s="73">
        <v>538</v>
      </c>
      <c r="D436" s="73" t="s">
        <v>256</v>
      </c>
      <c r="E436" s="73">
        <v>2</v>
      </c>
      <c r="F436" s="73" t="s">
        <v>257</v>
      </c>
      <c r="G436" s="73" t="s">
        <v>257</v>
      </c>
      <c r="H436" s="75">
        <v>7.33</v>
      </c>
      <c r="I436" s="75">
        <v>32345.96</v>
      </c>
      <c r="J436" s="75">
        <v>518.26</v>
      </c>
      <c r="K436" s="75">
        <v>2624.82</v>
      </c>
      <c r="L436" s="75">
        <v>73.3</v>
      </c>
      <c r="M436" s="75">
        <v>8.36</v>
      </c>
      <c r="N436" s="75">
        <v>120.5</v>
      </c>
      <c r="O436" s="73">
        <v>4</v>
      </c>
      <c r="P436" s="73"/>
      <c r="Q436" s="66" t="s">
        <v>258</v>
      </c>
      <c r="R436" s="61"/>
      <c r="S436" s="61"/>
    </row>
    <row r="437" spans="1:19" ht="13.8" customHeight="1" x14ac:dyDescent="0.3">
      <c r="A437" s="70" t="s">
        <v>292</v>
      </c>
      <c r="B437" s="71">
        <f>IFERROR(INDEX('Boulder Sample Log'!A$5:A$204,MATCH(A437,'Boulder Sample Log'!E$5:E$204,0)),"")</f>
        <v>46125</v>
      </c>
      <c r="C437" s="70">
        <v>539</v>
      </c>
      <c r="D437" s="70" t="s">
        <v>256</v>
      </c>
      <c r="E437" s="70">
        <v>2</v>
      </c>
      <c r="F437" s="70" t="s">
        <v>257</v>
      </c>
      <c r="G437" s="70" t="s">
        <v>257</v>
      </c>
      <c r="H437" s="72">
        <v>7.31</v>
      </c>
      <c r="I437" s="72">
        <v>31230.34</v>
      </c>
      <c r="J437" s="72">
        <v>492.19</v>
      </c>
      <c r="K437" s="72">
        <v>2541.41</v>
      </c>
      <c r="L437" s="72">
        <v>63.56</v>
      </c>
      <c r="M437" s="72">
        <v>7.14</v>
      </c>
      <c r="N437" s="72">
        <v>120.48</v>
      </c>
      <c r="O437" s="70">
        <v>4</v>
      </c>
      <c r="P437" s="70"/>
      <c r="Q437" s="62" t="s">
        <v>258</v>
      </c>
      <c r="R437" s="61"/>
      <c r="S437" s="61"/>
    </row>
    <row r="438" spans="1:19" ht="13.8" customHeight="1" x14ac:dyDescent="0.3">
      <c r="A438" s="73" t="s">
        <v>292</v>
      </c>
      <c r="B438" s="74">
        <f>IFERROR(INDEX('Boulder Sample Log'!A$5:A$204,MATCH(A438,'Boulder Sample Log'!E$5:E$204,0)),"")</f>
        <v>46125</v>
      </c>
      <c r="C438" s="73">
        <v>540</v>
      </c>
      <c r="D438" s="73" t="s">
        <v>256</v>
      </c>
      <c r="E438" s="73">
        <v>3</v>
      </c>
      <c r="F438" s="75">
        <v>2.94</v>
      </c>
      <c r="G438" s="73" t="s">
        <v>257</v>
      </c>
      <c r="H438" s="75">
        <v>7.67</v>
      </c>
      <c r="I438" s="75">
        <v>32004.27</v>
      </c>
      <c r="J438" s="75">
        <v>394.84</v>
      </c>
      <c r="K438" s="75">
        <v>10878.19</v>
      </c>
      <c r="L438" s="75">
        <v>49.96</v>
      </c>
      <c r="M438" s="75">
        <v>7.72</v>
      </c>
      <c r="N438" s="75">
        <v>120.43</v>
      </c>
      <c r="O438" s="73">
        <v>4</v>
      </c>
      <c r="P438" s="73"/>
      <c r="Q438" s="66" t="s">
        <v>258</v>
      </c>
      <c r="R438" s="61"/>
      <c r="S438" s="61"/>
    </row>
    <row r="439" spans="1:19" ht="13.8" customHeight="1" x14ac:dyDescent="0.3">
      <c r="A439" s="70" t="s">
        <v>292</v>
      </c>
      <c r="B439" s="71">
        <f>IFERROR(INDEX('Boulder Sample Log'!A$5:A$204,MATCH(A439,'Boulder Sample Log'!E$5:E$204,0)),"")</f>
        <v>46125</v>
      </c>
      <c r="C439" s="70">
        <v>541</v>
      </c>
      <c r="D439" s="70" t="s">
        <v>256</v>
      </c>
      <c r="E439" s="70">
        <v>3</v>
      </c>
      <c r="F439" s="72">
        <v>2.72</v>
      </c>
      <c r="G439" s="70" t="s">
        <v>257</v>
      </c>
      <c r="H439" s="72">
        <v>6.78</v>
      </c>
      <c r="I439" s="72">
        <v>30523.759999999998</v>
      </c>
      <c r="J439" s="72">
        <v>369.19</v>
      </c>
      <c r="K439" s="72">
        <v>8853.14</v>
      </c>
      <c r="L439" s="72">
        <v>48.76</v>
      </c>
      <c r="M439" s="72">
        <v>6.68</v>
      </c>
      <c r="N439" s="72">
        <v>120.31</v>
      </c>
      <c r="O439" s="70">
        <v>4</v>
      </c>
      <c r="P439" s="70"/>
      <c r="Q439" s="62" t="s">
        <v>258</v>
      </c>
      <c r="R439" s="61"/>
      <c r="S439" s="61"/>
    </row>
    <row r="440" spans="1:19" ht="13.8" customHeight="1" x14ac:dyDescent="0.3">
      <c r="A440" s="73" t="s">
        <v>292</v>
      </c>
      <c r="B440" s="74">
        <f>IFERROR(INDEX('Boulder Sample Log'!A$5:A$204,MATCH(A440,'Boulder Sample Log'!E$5:E$204,0)),"")</f>
        <v>46125</v>
      </c>
      <c r="C440" s="73">
        <v>542</v>
      </c>
      <c r="D440" s="73" t="s">
        <v>256</v>
      </c>
      <c r="E440" s="73">
        <v>4</v>
      </c>
      <c r="F440" s="75">
        <v>13.72</v>
      </c>
      <c r="G440" s="73" t="s">
        <v>257</v>
      </c>
      <c r="H440" s="75">
        <v>11.13</v>
      </c>
      <c r="I440" s="75">
        <v>25500.34</v>
      </c>
      <c r="J440" s="75">
        <v>32.17</v>
      </c>
      <c r="K440" s="75">
        <v>13974.23</v>
      </c>
      <c r="L440" s="75">
        <v>26.63</v>
      </c>
      <c r="M440" s="73" t="s">
        <v>257</v>
      </c>
      <c r="N440" s="75">
        <v>120.05</v>
      </c>
      <c r="O440" s="73">
        <v>4</v>
      </c>
      <c r="P440" s="73"/>
      <c r="Q440" s="66" t="s">
        <v>258</v>
      </c>
      <c r="R440" s="61"/>
      <c r="S440" s="61"/>
    </row>
    <row r="441" spans="1:19" ht="13.8" customHeight="1" x14ac:dyDescent="0.3">
      <c r="A441" s="70" t="s">
        <v>292</v>
      </c>
      <c r="B441" s="71">
        <f>IFERROR(INDEX('Boulder Sample Log'!A$5:A$204,MATCH(A441,'Boulder Sample Log'!E$5:E$204,0)),"")</f>
        <v>46125</v>
      </c>
      <c r="C441" s="70">
        <v>543</v>
      </c>
      <c r="D441" s="70" t="s">
        <v>256</v>
      </c>
      <c r="E441" s="70">
        <v>4</v>
      </c>
      <c r="F441" s="72">
        <v>8.89</v>
      </c>
      <c r="G441" s="70" t="s">
        <v>257</v>
      </c>
      <c r="H441" s="72">
        <v>8.34</v>
      </c>
      <c r="I441" s="72">
        <v>26881.98</v>
      </c>
      <c r="J441" s="72">
        <v>210.03</v>
      </c>
      <c r="K441" s="72">
        <v>12720.68</v>
      </c>
      <c r="L441" s="72">
        <v>37.85</v>
      </c>
      <c r="M441" s="72">
        <v>7.31</v>
      </c>
      <c r="N441" s="72">
        <v>120.48</v>
      </c>
      <c r="O441" s="70">
        <v>4</v>
      </c>
      <c r="P441" s="70"/>
      <c r="Q441" s="62" t="s">
        <v>258</v>
      </c>
      <c r="R441" s="61"/>
      <c r="S441" s="61"/>
    </row>
    <row r="442" spans="1:19" ht="13.8" customHeight="1" x14ac:dyDescent="0.3">
      <c r="A442" s="73" t="s">
        <v>292</v>
      </c>
      <c r="B442" s="74">
        <f>IFERROR(INDEX('Boulder Sample Log'!A$5:A$204,MATCH(A442,'Boulder Sample Log'!E$5:E$204,0)),"")</f>
        <v>46125</v>
      </c>
      <c r="C442" s="73">
        <v>544</v>
      </c>
      <c r="D442" s="73" t="s">
        <v>256</v>
      </c>
      <c r="E442" s="73">
        <v>5</v>
      </c>
      <c r="F442" s="75">
        <v>8.99</v>
      </c>
      <c r="G442" s="73" t="s">
        <v>257</v>
      </c>
      <c r="H442" s="75">
        <v>8.23</v>
      </c>
      <c r="I442" s="75">
        <v>30490.94</v>
      </c>
      <c r="J442" s="75">
        <v>409.54</v>
      </c>
      <c r="K442" s="75">
        <v>10474.23</v>
      </c>
      <c r="L442" s="75">
        <v>44.75</v>
      </c>
      <c r="M442" s="75">
        <v>7.38</v>
      </c>
      <c r="N442" s="75">
        <v>120.56</v>
      </c>
      <c r="O442" s="73">
        <v>4</v>
      </c>
      <c r="P442" s="73"/>
      <c r="Q442" s="66" t="s">
        <v>258</v>
      </c>
      <c r="R442" s="61"/>
      <c r="S442" s="61"/>
    </row>
    <row r="443" spans="1:19" ht="13.8" customHeight="1" x14ac:dyDescent="0.3">
      <c r="A443" s="70" t="s">
        <v>292</v>
      </c>
      <c r="B443" s="71">
        <f>IFERROR(INDEX('Boulder Sample Log'!A$5:A$204,MATCH(A443,'Boulder Sample Log'!E$5:E$204,0)),"")</f>
        <v>46125</v>
      </c>
      <c r="C443" s="70">
        <v>545</v>
      </c>
      <c r="D443" s="70" t="s">
        <v>256</v>
      </c>
      <c r="E443" s="70">
        <v>5</v>
      </c>
      <c r="F443" s="72">
        <v>7.49</v>
      </c>
      <c r="G443" s="70" t="s">
        <v>257</v>
      </c>
      <c r="H443" s="72">
        <v>8.65</v>
      </c>
      <c r="I443" s="72">
        <v>34662.5</v>
      </c>
      <c r="J443" s="72">
        <v>546.99</v>
      </c>
      <c r="K443" s="72">
        <v>7806.9</v>
      </c>
      <c r="L443" s="72">
        <v>50.88</v>
      </c>
      <c r="M443" s="72">
        <v>10.65</v>
      </c>
      <c r="N443" s="72">
        <v>123.02</v>
      </c>
      <c r="O443" s="70">
        <v>4</v>
      </c>
      <c r="P443" s="70"/>
      <c r="Q443" s="62" t="s">
        <v>258</v>
      </c>
      <c r="R443" s="61"/>
      <c r="S443" s="61"/>
    </row>
    <row r="444" spans="1:19" ht="13.8" customHeight="1" x14ac:dyDescent="0.3">
      <c r="A444" s="73" t="s">
        <v>293</v>
      </c>
      <c r="B444" s="74">
        <f>IFERROR(INDEX('Boulder Sample Log'!A$5:A$204,MATCH(A444,'Boulder Sample Log'!E$5:E$204,0)),"")</f>
        <v>46125</v>
      </c>
      <c r="C444" s="73">
        <v>547</v>
      </c>
      <c r="D444" s="73" t="s">
        <v>256</v>
      </c>
      <c r="E444" s="73">
        <v>1</v>
      </c>
      <c r="F444" s="75">
        <v>8.1199999999999992</v>
      </c>
      <c r="G444" s="75">
        <v>11.91</v>
      </c>
      <c r="H444" s="75">
        <v>10.66</v>
      </c>
      <c r="I444" s="75">
        <v>25303.49</v>
      </c>
      <c r="J444" s="75">
        <v>308.45999999999998</v>
      </c>
      <c r="K444" s="75">
        <v>13012.71</v>
      </c>
      <c r="L444" s="75">
        <v>53.48</v>
      </c>
      <c r="M444" s="75">
        <v>19.27</v>
      </c>
      <c r="N444" s="75">
        <v>120.35</v>
      </c>
      <c r="O444" s="73">
        <v>4</v>
      </c>
      <c r="P444" s="73"/>
      <c r="Q444" s="66" t="s">
        <v>258</v>
      </c>
      <c r="R444" s="61"/>
      <c r="S444" s="61"/>
    </row>
    <row r="445" spans="1:19" ht="13.8" customHeight="1" x14ac:dyDescent="0.3">
      <c r="A445" s="70" t="s">
        <v>293</v>
      </c>
      <c r="B445" s="71">
        <f>IFERROR(INDEX('Boulder Sample Log'!A$5:A$204,MATCH(A445,'Boulder Sample Log'!E$5:E$204,0)),"")</f>
        <v>46125</v>
      </c>
      <c r="C445" s="70">
        <v>548</v>
      </c>
      <c r="D445" s="70" t="s">
        <v>256</v>
      </c>
      <c r="E445" s="70">
        <v>1</v>
      </c>
      <c r="F445" s="72">
        <v>6.91</v>
      </c>
      <c r="G445" s="72">
        <v>15.41</v>
      </c>
      <c r="H445" s="72">
        <v>10.26</v>
      </c>
      <c r="I445" s="72">
        <v>26626.36</v>
      </c>
      <c r="J445" s="72">
        <v>295.55</v>
      </c>
      <c r="K445" s="72">
        <v>19418.73</v>
      </c>
      <c r="L445" s="72">
        <v>47.12</v>
      </c>
      <c r="M445" s="72">
        <v>15.46</v>
      </c>
      <c r="N445" s="72">
        <v>120.34</v>
      </c>
      <c r="O445" s="70">
        <v>4</v>
      </c>
      <c r="P445" s="70"/>
      <c r="Q445" s="62" t="s">
        <v>258</v>
      </c>
      <c r="R445" s="61"/>
      <c r="S445" s="61"/>
    </row>
    <row r="446" spans="1:19" ht="13.8" customHeight="1" x14ac:dyDescent="0.3">
      <c r="A446" s="73" t="s">
        <v>293</v>
      </c>
      <c r="B446" s="74">
        <f>IFERROR(INDEX('Boulder Sample Log'!A$5:A$204,MATCH(A446,'Boulder Sample Log'!E$5:E$204,0)),"")</f>
        <v>46125</v>
      </c>
      <c r="C446" s="73">
        <v>549</v>
      </c>
      <c r="D446" s="73" t="s">
        <v>256</v>
      </c>
      <c r="E446" s="73">
        <v>2</v>
      </c>
      <c r="F446" s="75">
        <v>144.16999999999999</v>
      </c>
      <c r="G446" s="75">
        <v>36.200000000000003</v>
      </c>
      <c r="H446" s="75">
        <v>4.58</v>
      </c>
      <c r="I446" s="75">
        <v>4944.62</v>
      </c>
      <c r="J446" s="73" t="s">
        <v>257</v>
      </c>
      <c r="K446" s="75">
        <v>6065.61</v>
      </c>
      <c r="L446" s="73" t="s">
        <v>257</v>
      </c>
      <c r="M446" s="75">
        <v>26.38</v>
      </c>
      <c r="N446" s="75">
        <v>120.58</v>
      </c>
      <c r="O446" s="73">
        <v>4</v>
      </c>
      <c r="P446" s="73"/>
      <c r="Q446" s="66" t="s">
        <v>258</v>
      </c>
      <c r="R446" s="61"/>
      <c r="S446" s="61"/>
    </row>
    <row r="447" spans="1:19" ht="13.8" customHeight="1" x14ac:dyDescent="0.3">
      <c r="A447" s="70" t="s">
        <v>293</v>
      </c>
      <c r="B447" s="71">
        <f>IFERROR(INDEX('Boulder Sample Log'!A$5:A$204,MATCH(A447,'Boulder Sample Log'!E$5:E$204,0)),"")</f>
        <v>46125</v>
      </c>
      <c r="C447" s="70">
        <v>550</v>
      </c>
      <c r="D447" s="70" t="s">
        <v>256</v>
      </c>
      <c r="E447" s="70">
        <v>2</v>
      </c>
      <c r="F447" s="72">
        <v>103.99</v>
      </c>
      <c r="G447" s="72">
        <v>30.51</v>
      </c>
      <c r="H447" s="72">
        <v>6.95</v>
      </c>
      <c r="I447" s="72">
        <v>5497.52</v>
      </c>
      <c r="J447" s="70" t="s">
        <v>257</v>
      </c>
      <c r="K447" s="72">
        <v>4541.9799999999996</v>
      </c>
      <c r="L447" s="70" t="s">
        <v>257</v>
      </c>
      <c r="M447" s="72">
        <v>18.239999999999998</v>
      </c>
      <c r="N447" s="72">
        <v>120.28</v>
      </c>
      <c r="O447" s="70">
        <v>4</v>
      </c>
      <c r="P447" s="70"/>
      <c r="Q447" s="62" t="s">
        <v>258</v>
      </c>
      <c r="R447" s="61"/>
      <c r="S447" s="61"/>
    </row>
    <row r="448" spans="1:19" ht="13.8" customHeight="1" x14ac:dyDescent="0.3">
      <c r="A448" s="73" t="s">
        <v>293</v>
      </c>
      <c r="B448" s="74">
        <f>IFERROR(INDEX('Boulder Sample Log'!A$5:A$204,MATCH(A448,'Boulder Sample Log'!E$5:E$204,0)),"")</f>
        <v>46125</v>
      </c>
      <c r="C448" s="73">
        <v>552</v>
      </c>
      <c r="D448" s="73" t="s">
        <v>256</v>
      </c>
      <c r="E448" s="73">
        <v>3</v>
      </c>
      <c r="F448" s="75">
        <v>223.51</v>
      </c>
      <c r="G448" s="75">
        <v>127.99</v>
      </c>
      <c r="H448" s="73" t="s">
        <v>257</v>
      </c>
      <c r="I448" s="75">
        <v>19161.36</v>
      </c>
      <c r="J448" s="73" t="s">
        <v>257</v>
      </c>
      <c r="K448" s="75">
        <v>5707.5</v>
      </c>
      <c r="L448" s="73" t="s">
        <v>257</v>
      </c>
      <c r="M448" s="73" t="s">
        <v>257</v>
      </c>
      <c r="N448" s="75">
        <v>120.31</v>
      </c>
      <c r="O448" s="73">
        <v>4</v>
      </c>
      <c r="P448" s="73"/>
      <c r="Q448" s="66" t="s">
        <v>258</v>
      </c>
      <c r="R448" s="61"/>
      <c r="S448" s="61"/>
    </row>
    <row r="449" spans="1:19" ht="13.8" customHeight="1" x14ac:dyDescent="0.3">
      <c r="A449" s="70" t="s">
        <v>293</v>
      </c>
      <c r="B449" s="71">
        <f>IFERROR(INDEX('Boulder Sample Log'!A$5:A$204,MATCH(A449,'Boulder Sample Log'!E$5:E$204,0)),"")</f>
        <v>46125</v>
      </c>
      <c r="C449" s="70">
        <v>553</v>
      </c>
      <c r="D449" s="70" t="s">
        <v>256</v>
      </c>
      <c r="E449" s="70">
        <v>3</v>
      </c>
      <c r="F449" s="72">
        <v>11.88</v>
      </c>
      <c r="G449" s="72">
        <v>42.96</v>
      </c>
      <c r="H449" s="72">
        <v>7.49</v>
      </c>
      <c r="I449" s="72">
        <v>6755.44</v>
      </c>
      <c r="J449" s="70" t="s">
        <v>257</v>
      </c>
      <c r="K449" s="72">
        <v>16546.43</v>
      </c>
      <c r="L449" s="72">
        <v>4.8099999999999996</v>
      </c>
      <c r="M449" s="72">
        <v>49.3</v>
      </c>
      <c r="N449" s="72">
        <v>120.63</v>
      </c>
      <c r="O449" s="70">
        <v>4</v>
      </c>
      <c r="P449" s="70"/>
      <c r="Q449" s="62" t="s">
        <v>258</v>
      </c>
      <c r="R449" s="61"/>
      <c r="S449" s="61"/>
    </row>
    <row r="450" spans="1:19" ht="13.8" customHeight="1" x14ac:dyDescent="0.3">
      <c r="A450" s="73" t="s">
        <v>293</v>
      </c>
      <c r="B450" s="74">
        <f>IFERROR(INDEX('Boulder Sample Log'!A$5:A$204,MATCH(A450,'Boulder Sample Log'!E$5:E$204,0)),"")</f>
        <v>46125</v>
      </c>
      <c r="C450" s="73">
        <v>554</v>
      </c>
      <c r="D450" s="73" t="s">
        <v>256</v>
      </c>
      <c r="E450" s="73">
        <v>3</v>
      </c>
      <c r="F450" s="75">
        <v>10.38</v>
      </c>
      <c r="G450" s="75">
        <v>39.53</v>
      </c>
      <c r="H450" s="75">
        <v>10.18</v>
      </c>
      <c r="I450" s="75">
        <v>10836.54</v>
      </c>
      <c r="J450" s="75">
        <v>38.880000000000003</v>
      </c>
      <c r="K450" s="75">
        <v>9128.2900000000009</v>
      </c>
      <c r="L450" s="75">
        <v>8.73</v>
      </c>
      <c r="M450" s="75">
        <v>38.97</v>
      </c>
      <c r="N450" s="75">
        <v>120.25</v>
      </c>
      <c r="O450" s="73">
        <v>4</v>
      </c>
      <c r="P450" s="73"/>
      <c r="Q450" s="66" t="s">
        <v>258</v>
      </c>
      <c r="R450" s="61"/>
      <c r="S450" s="61"/>
    </row>
    <row r="451" spans="1:19" ht="13.8" customHeight="1" x14ac:dyDescent="0.3">
      <c r="A451" s="70" t="s">
        <v>293</v>
      </c>
      <c r="B451" s="71">
        <f>IFERROR(INDEX('Boulder Sample Log'!A$5:A$204,MATCH(A451,'Boulder Sample Log'!E$5:E$204,0)),"")</f>
        <v>46125</v>
      </c>
      <c r="C451" s="70">
        <v>555</v>
      </c>
      <c r="D451" s="70" t="s">
        <v>256</v>
      </c>
      <c r="E451" s="70">
        <v>4</v>
      </c>
      <c r="F451" s="70" t="s">
        <v>257</v>
      </c>
      <c r="G451" s="72">
        <v>8.15</v>
      </c>
      <c r="H451" s="72">
        <v>6.98</v>
      </c>
      <c r="I451" s="72">
        <v>33684.61</v>
      </c>
      <c r="J451" s="72">
        <v>162.22</v>
      </c>
      <c r="K451" s="72">
        <v>2312.9</v>
      </c>
      <c r="L451" s="72">
        <v>50.61</v>
      </c>
      <c r="M451" s="72">
        <v>14.64</v>
      </c>
      <c r="N451" s="72">
        <v>120.4</v>
      </c>
      <c r="O451" s="70">
        <v>4</v>
      </c>
      <c r="P451" s="70"/>
      <c r="Q451" s="62" t="s">
        <v>258</v>
      </c>
      <c r="R451" s="61"/>
      <c r="S451" s="61"/>
    </row>
    <row r="452" spans="1:19" ht="13.8" customHeight="1" x14ac:dyDescent="0.3">
      <c r="A452" s="73" t="s">
        <v>293</v>
      </c>
      <c r="B452" s="74">
        <f>IFERROR(INDEX('Boulder Sample Log'!A$5:A$204,MATCH(A452,'Boulder Sample Log'!E$5:E$204,0)),"")</f>
        <v>46125</v>
      </c>
      <c r="C452" s="73">
        <v>556</v>
      </c>
      <c r="D452" s="73" t="s">
        <v>256</v>
      </c>
      <c r="E452" s="73">
        <v>4</v>
      </c>
      <c r="F452" s="75">
        <v>2.5099999999999998</v>
      </c>
      <c r="G452" s="73" t="s">
        <v>257</v>
      </c>
      <c r="H452" s="75">
        <v>9.77</v>
      </c>
      <c r="I452" s="75">
        <v>24611.119999999999</v>
      </c>
      <c r="J452" s="75">
        <v>332.76</v>
      </c>
      <c r="K452" s="75">
        <v>2160.92</v>
      </c>
      <c r="L452" s="75">
        <v>23.74</v>
      </c>
      <c r="M452" s="75">
        <v>5.72</v>
      </c>
      <c r="N452" s="75">
        <v>122.9</v>
      </c>
      <c r="O452" s="73">
        <v>4</v>
      </c>
      <c r="P452" s="73"/>
      <c r="Q452" s="66" t="s">
        <v>258</v>
      </c>
      <c r="R452" s="61"/>
      <c r="S452" s="61"/>
    </row>
    <row r="453" spans="1:19" ht="13.8" customHeight="1" x14ac:dyDescent="0.3">
      <c r="A453" s="70" t="s">
        <v>293</v>
      </c>
      <c r="B453" s="71">
        <f>IFERROR(INDEX('Boulder Sample Log'!A$5:A$204,MATCH(A453,'Boulder Sample Log'!E$5:E$204,0)),"")</f>
        <v>46125</v>
      </c>
      <c r="C453" s="70">
        <v>557</v>
      </c>
      <c r="D453" s="70" t="s">
        <v>256</v>
      </c>
      <c r="E453" s="70">
        <v>5</v>
      </c>
      <c r="F453" s="70" t="s">
        <v>257</v>
      </c>
      <c r="G453" s="72">
        <v>15.29</v>
      </c>
      <c r="H453" s="72">
        <v>4.84</v>
      </c>
      <c r="I453" s="72">
        <v>7894.3</v>
      </c>
      <c r="J453" s="70" t="s">
        <v>257</v>
      </c>
      <c r="K453" s="72">
        <v>4938.2700000000004</v>
      </c>
      <c r="L453" s="70" t="s">
        <v>257</v>
      </c>
      <c r="M453" s="72">
        <v>4.1900000000000004</v>
      </c>
      <c r="N453" s="72">
        <v>120.27</v>
      </c>
      <c r="O453" s="70">
        <v>4</v>
      </c>
      <c r="P453" s="70"/>
      <c r="Q453" s="62" t="s">
        <v>258</v>
      </c>
      <c r="R453" s="61"/>
      <c r="S453" s="61"/>
    </row>
    <row r="454" spans="1:19" ht="13.8" customHeight="1" x14ac:dyDescent="0.3">
      <c r="A454" s="73" t="s">
        <v>293</v>
      </c>
      <c r="B454" s="74">
        <f>IFERROR(INDEX('Boulder Sample Log'!A$5:A$204,MATCH(A454,'Boulder Sample Log'!E$5:E$204,0)),"")</f>
        <v>46125</v>
      </c>
      <c r="C454" s="73">
        <v>558</v>
      </c>
      <c r="D454" s="73" t="s">
        <v>256</v>
      </c>
      <c r="E454" s="73">
        <v>5</v>
      </c>
      <c r="F454" s="73" t="s">
        <v>257</v>
      </c>
      <c r="G454" s="75">
        <v>17.27</v>
      </c>
      <c r="H454" s="75">
        <v>4.97</v>
      </c>
      <c r="I454" s="75">
        <v>7148.31</v>
      </c>
      <c r="J454" s="73" t="s">
        <v>257</v>
      </c>
      <c r="K454" s="75">
        <v>2887.2</v>
      </c>
      <c r="L454" s="73" t="s">
        <v>257</v>
      </c>
      <c r="M454" s="73" t="s">
        <v>257</v>
      </c>
      <c r="N454" s="75">
        <v>120.2</v>
      </c>
      <c r="O454" s="73">
        <v>4</v>
      </c>
      <c r="P454" s="73"/>
      <c r="Q454" s="66" t="s">
        <v>258</v>
      </c>
      <c r="R454" s="61"/>
      <c r="S454" s="61"/>
    </row>
    <row r="455" spans="1:19" ht="13.8" customHeight="1" x14ac:dyDescent="0.3">
      <c r="A455" s="70" t="s">
        <v>294</v>
      </c>
      <c r="B455" s="71">
        <f>IFERROR(INDEX('Boulder Sample Log'!A$5:A$204,MATCH(A455,'Boulder Sample Log'!E$5:E$204,0)),"")</f>
        <v>46125</v>
      </c>
      <c r="C455" s="70">
        <v>559</v>
      </c>
      <c r="D455" s="70" t="s">
        <v>256</v>
      </c>
      <c r="E455" s="70">
        <v>1</v>
      </c>
      <c r="F455" s="70" t="s">
        <v>257</v>
      </c>
      <c r="G455" s="72">
        <v>9.82</v>
      </c>
      <c r="H455" s="72">
        <v>7.68</v>
      </c>
      <c r="I455" s="72">
        <v>50858.720000000001</v>
      </c>
      <c r="J455" s="72">
        <v>586.14</v>
      </c>
      <c r="K455" s="72">
        <v>9963.4699999999993</v>
      </c>
      <c r="L455" s="72">
        <v>51.59</v>
      </c>
      <c r="M455" s="72">
        <v>28.03</v>
      </c>
      <c r="N455" s="72">
        <v>122.89</v>
      </c>
      <c r="O455" s="70">
        <v>4</v>
      </c>
      <c r="P455" s="70"/>
      <c r="Q455" s="62" t="s">
        <v>258</v>
      </c>
      <c r="R455" s="61"/>
      <c r="S455" s="61"/>
    </row>
    <row r="456" spans="1:19" ht="13.8" customHeight="1" x14ac:dyDescent="0.3">
      <c r="A456" s="73" t="s">
        <v>294</v>
      </c>
      <c r="B456" s="74">
        <f>IFERROR(INDEX('Boulder Sample Log'!A$5:A$204,MATCH(A456,'Boulder Sample Log'!E$5:E$204,0)),"")</f>
        <v>46125</v>
      </c>
      <c r="C456" s="73">
        <v>560</v>
      </c>
      <c r="D456" s="73" t="s">
        <v>256</v>
      </c>
      <c r="E456" s="73">
        <v>1</v>
      </c>
      <c r="F456" s="75">
        <v>4.01</v>
      </c>
      <c r="G456" s="75">
        <v>6.39</v>
      </c>
      <c r="H456" s="75">
        <v>7.39</v>
      </c>
      <c r="I456" s="75">
        <v>43829.62</v>
      </c>
      <c r="J456" s="75">
        <v>517.14</v>
      </c>
      <c r="K456" s="75">
        <v>13128.36</v>
      </c>
      <c r="L456" s="75">
        <v>41.33</v>
      </c>
      <c r="M456" s="75">
        <v>25.89</v>
      </c>
      <c r="N456" s="75">
        <v>122.8</v>
      </c>
      <c r="O456" s="73">
        <v>4</v>
      </c>
      <c r="P456" s="73"/>
      <c r="Q456" s="66" t="s">
        <v>258</v>
      </c>
      <c r="R456" s="61"/>
      <c r="S456" s="61"/>
    </row>
    <row r="457" spans="1:19" ht="13.8" customHeight="1" x14ac:dyDescent="0.3">
      <c r="A457" s="70" t="s">
        <v>294</v>
      </c>
      <c r="B457" s="71">
        <f>IFERROR(INDEX('Boulder Sample Log'!A$5:A$204,MATCH(A457,'Boulder Sample Log'!E$5:E$204,0)),"")</f>
        <v>46125</v>
      </c>
      <c r="C457" s="70">
        <v>561</v>
      </c>
      <c r="D457" s="70" t="s">
        <v>256</v>
      </c>
      <c r="E457" s="70">
        <v>2</v>
      </c>
      <c r="F457" s="72">
        <v>14.73</v>
      </c>
      <c r="G457" s="72">
        <v>1.42</v>
      </c>
      <c r="H457" s="72">
        <v>6.42</v>
      </c>
      <c r="I457" s="72">
        <v>5098.18</v>
      </c>
      <c r="J457" s="70" t="s">
        <v>257</v>
      </c>
      <c r="K457" s="72">
        <v>3085.92</v>
      </c>
      <c r="L457" s="70" t="s">
        <v>257</v>
      </c>
      <c r="M457" s="72">
        <v>20.93</v>
      </c>
      <c r="N457" s="72">
        <v>120.55</v>
      </c>
      <c r="O457" s="70">
        <v>4</v>
      </c>
      <c r="P457" s="70"/>
      <c r="Q457" s="62" t="s">
        <v>258</v>
      </c>
      <c r="R457" s="61"/>
      <c r="S457" s="61"/>
    </row>
    <row r="458" spans="1:19" ht="13.8" customHeight="1" x14ac:dyDescent="0.3">
      <c r="A458" s="73" t="s">
        <v>294</v>
      </c>
      <c r="B458" s="74">
        <f>IFERROR(INDEX('Boulder Sample Log'!A$5:A$204,MATCH(A458,'Boulder Sample Log'!E$5:E$204,0)),"")</f>
        <v>46125</v>
      </c>
      <c r="C458" s="73">
        <v>562</v>
      </c>
      <c r="D458" s="73" t="s">
        <v>256</v>
      </c>
      <c r="E458" s="73">
        <v>2</v>
      </c>
      <c r="F458" s="73" t="s">
        <v>257</v>
      </c>
      <c r="G458" s="75">
        <v>2.0699999999999998</v>
      </c>
      <c r="H458" s="75">
        <v>8.66</v>
      </c>
      <c r="I458" s="75">
        <v>5410.42</v>
      </c>
      <c r="J458" s="73" t="s">
        <v>257</v>
      </c>
      <c r="K458" s="75">
        <v>2873.78</v>
      </c>
      <c r="L458" s="73" t="s">
        <v>257</v>
      </c>
      <c r="M458" s="75">
        <v>15.96</v>
      </c>
      <c r="N458" s="75">
        <v>120.48</v>
      </c>
      <c r="O458" s="73">
        <v>4</v>
      </c>
      <c r="P458" s="73"/>
      <c r="Q458" s="66" t="s">
        <v>258</v>
      </c>
      <c r="R458" s="61"/>
      <c r="S458" s="61"/>
    </row>
    <row r="459" spans="1:19" ht="13.8" customHeight="1" x14ac:dyDescent="0.3">
      <c r="A459" s="70" t="s">
        <v>294</v>
      </c>
      <c r="B459" s="71">
        <f>IFERROR(INDEX('Boulder Sample Log'!A$5:A$204,MATCH(A459,'Boulder Sample Log'!E$5:E$204,0)),"")</f>
        <v>46125</v>
      </c>
      <c r="C459" s="70">
        <v>563</v>
      </c>
      <c r="D459" s="70" t="s">
        <v>256</v>
      </c>
      <c r="E459" s="70">
        <v>3</v>
      </c>
      <c r="F459" s="72">
        <v>7.35</v>
      </c>
      <c r="G459" s="72">
        <v>17.12</v>
      </c>
      <c r="H459" s="72">
        <v>8.2799999999999994</v>
      </c>
      <c r="I459" s="72">
        <v>81473.89</v>
      </c>
      <c r="J459" s="72">
        <v>452.99</v>
      </c>
      <c r="K459" s="72">
        <v>26109.8</v>
      </c>
      <c r="L459" s="72">
        <v>43.68</v>
      </c>
      <c r="M459" s="72">
        <v>39.53</v>
      </c>
      <c r="N459" s="72">
        <v>120.13</v>
      </c>
      <c r="O459" s="70">
        <v>4</v>
      </c>
      <c r="P459" s="70"/>
      <c r="Q459" s="62" t="s">
        <v>258</v>
      </c>
      <c r="R459" s="61"/>
      <c r="S459" s="61"/>
    </row>
    <row r="460" spans="1:19" ht="13.8" customHeight="1" x14ac:dyDescent="0.3">
      <c r="A460" s="73" t="s">
        <v>294</v>
      </c>
      <c r="B460" s="74">
        <f>IFERROR(INDEX('Boulder Sample Log'!A$5:A$204,MATCH(A460,'Boulder Sample Log'!E$5:E$204,0)),"")</f>
        <v>46125</v>
      </c>
      <c r="C460" s="73">
        <v>564</v>
      </c>
      <c r="D460" s="73" t="s">
        <v>256</v>
      </c>
      <c r="E460" s="73">
        <v>3</v>
      </c>
      <c r="F460" s="73" t="s">
        <v>257</v>
      </c>
      <c r="G460" s="75">
        <v>17.11</v>
      </c>
      <c r="H460" s="75">
        <v>13.97</v>
      </c>
      <c r="I460" s="75">
        <v>25028.01</v>
      </c>
      <c r="J460" s="73" t="s">
        <v>257</v>
      </c>
      <c r="K460" s="75">
        <v>13049.01</v>
      </c>
      <c r="L460" s="75">
        <v>3.1</v>
      </c>
      <c r="M460" s="73" t="s">
        <v>257</v>
      </c>
      <c r="N460" s="75">
        <v>120.49</v>
      </c>
      <c r="O460" s="73">
        <v>4</v>
      </c>
      <c r="P460" s="73"/>
      <c r="Q460" s="66" t="s">
        <v>258</v>
      </c>
      <c r="R460" s="61"/>
      <c r="S460" s="61"/>
    </row>
    <row r="461" spans="1:19" ht="13.8" customHeight="1" x14ac:dyDescent="0.3">
      <c r="A461" s="70" t="s">
        <v>294</v>
      </c>
      <c r="B461" s="71">
        <f>IFERROR(INDEX('Boulder Sample Log'!A$5:A$204,MATCH(A461,'Boulder Sample Log'!E$5:E$204,0)),"")</f>
        <v>46125</v>
      </c>
      <c r="C461" s="70">
        <v>565</v>
      </c>
      <c r="D461" s="70" t="s">
        <v>256</v>
      </c>
      <c r="E461" s="70">
        <v>4</v>
      </c>
      <c r="F461" s="72">
        <v>7.18</v>
      </c>
      <c r="G461" s="72">
        <v>30.1</v>
      </c>
      <c r="H461" s="72">
        <v>10.45</v>
      </c>
      <c r="I461" s="72">
        <v>25946.95</v>
      </c>
      <c r="J461" s="70" t="s">
        <v>257</v>
      </c>
      <c r="K461" s="72">
        <v>12485.34</v>
      </c>
      <c r="L461" s="70" t="s">
        <v>257</v>
      </c>
      <c r="M461" s="72">
        <v>13.88</v>
      </c>
      <c r="N461" s="72">
        <v>120.39</v>
      </c>
      <c r="O461" s="70">
        <v>4</v>
      </c>
      <c r="P461" s="70"/>
      <c r="Q461" s="62" t="s">
        <v>258</v>
      </c>
      <c r="R461" s="61"/>
      <c r="S461" s="61"/>
    </row>
    <row r="462" spans="1:19" ht="13.8" customHeight="1" x14ac:dyDescent="0.3">
      <c r="A462" s="73" t="s">
        <v>294</v>
      </c>
      <c r="B462" s="74">
        <f>IFERROR(INDEX('Boulder Sample Log'!A$5:A$204,MATCH(A462,'Boulder Sample Log'!E$5:E$204,0)),"")</f>
        <v>46125</v>
      </c>
      <c r="C462" s="73">
        <v>566</v>
      </c>
      <c r="D462" s="73" t="s">
        <v>256</v>
      </c>
      <c r="E462" s="73">
        <v>4</v>
      </c>
      <c r="F462" s="73" t="s">
        <v>257</v>
      </c>
      <c r="G462" s="75">
        <v>18.829999999999998</v>
      </c>
      <c r="H462" s="75">
        <v>13.84</v>
      </c>
      <c r="I462" s="75">
        <v>19948.61</v>
      </c>
      <c r="J462" s="73" t="s">
        <v>257</v>
      </c>
      <c r="K462" s="75">
        <v>11023.09</v>
      </c>
      <c r="L462" s="75">
        <v>3.5</v>
      </c>
      <c r="M462" s="73" t="s">
        <v>257</v>
      </c>
      <c r="N462" s="75">
        <v>120.47</v>
      </c>
      <c r="O462" s="73">
        <v>4</v>
      </c>
      <c r="P462" s="73"/>
      <c r="Q462" s="66" t="s">
        <v>258</v>
      </c>
      <c r="R462" s="61"/>
      <c r="S462" s="61"/>
    </row>
    <row r="463" spans="1:19" ht="13.8" customHeight="1" x14ac:dyDescent="0.3">
      <c r="A463" s="70" t="s">
        <v>294</v>
      </c>
      <c r="B463" s="71">
        <f>IFERROR(INDEX('Boulder Sample Log'!A$5:A$204,MATCH(A463,'Boulder Sample Log'!E$5:E$204,0)),"")</f>
        <v>46125</v>
      </c>
      <c r="C463" s="70">
        <v>567</v>
      </c>
      <c r="D463" s="70" t="s">
        <v>256</v>
      </c>
      <c r="E463" s="70">
        <v>5</v>
      </c>
      <c r="F463" s="70" t="s">
        <v>257</v>
      </c>
      <c r="G463" s="70" t="s">
        <v>257</v>
      </c>
      <c r="H463" s="72">
        <v>3.31</v>
      </c>
      <c r="I463" s="72">
        <v>36524.46</v>
      </c>
      <c r="J463" s="72">
        <v>163.62</v>
      </c>
      <c r="K463" s="72">
        <v>42038.96</v>
      </c>
      <c r="L463" s="72">
        <v>13.75</v>
      </c>
      <c r="M463" s="72">
        <v>29.28</v>
      </c>
      <c r="N463" s="72">
        <v>120.12</v>
      </c>
      <c r="O463" s="70">
        <v>4</v>
      </c>
      <c r="P463" s="70"/>
      <c r="Q463" s="62" t="s">
        <v>258</v>
      </c>
      <c r="R463" s="61"/>
      <c r="S463" s="61"/>
    </row>
    <row r="464" spans="1:19" ht="13.8" customHeight="1" x14ac:dyDescent="0.3">
      <c r="A464" s="73" t="s">
        <v>294</v>
      </c>
      <c r="B464" s="74">
        <f>IFERROR(INDEX('Boulder Sample Log'!A$5:A$204,MATCH(A464,'Boulder Sample Log'!E$5:E$204,0)),"")</f>
        <v>46125</v>
      </c>
      <c r="C464" s="73">
        <v>568</v>
      </c>
      <c r="D464" s="73" t="s">
        <v>256</v>
      </c>
      <c r="E464" s="73">
        <v>5</v>
      </c>
      <c r="F464" s="75">
        <v>4.24</v>
      </c>
      <c r="G464" s="73" t="s">
        <v>257</v>
      </c>
      <c r="H464" s="75">
        <v>3.66</v>
      </c>
      <c r="I464" s="75">
        <v>35800.28</v>
      </c>
      <c r="J464" s="75">
        <v>112.71</v>
      </c>
      <c r="K464" s="75">
        <v>53141.49</v>
      </c>
      <c r="L464" s="75">
        <v>13.49</v>
      </c>
      <c r="M464" s="75">
        <v>22.22</v>
      </c>
      <c r="N464" s="75">
        <v>120.35</v>
      </c>
      <c r="O464" s="73">
        <v>4</v>
      </c>
      <c r="P464" s="73"/>
      <c r="Q464" s="66" t="s">
        <v>258</v>
      </c>
      <c r="R464" s="61"/>
      <c r="S464" s="61"/>
    </row>
    <row r="465" spans="1:19" ht="13.8" customHeight="1" x14ac:dyDescent="0.3">
      <c r="A465" s="70" t="s">
        <v>295</v>
      </c>
      <c r="B465" s="71">
        <f>IFERROR(INDEX('Boulder Sample Log'!A$5:A$204,MATCH(A465,'Boulder Sample Log'!E$5:E$204,0)),"")</f>
        <v>46125</v>
      </c>
      <c r="C465" s="70">
        <v>569</v>
      </c>
      <c r="D465" s="70" t="s">
        <v>256</v>
      </c>
      <c r="E465" s="70">
        <v>1</v>
      </c>
      <c r="F465" s="72">
        <v>3.21</v>
      </c>
      <c r="G465" s="70" t="s">
        <v>257</v>
      </c>
      <c r="H465" s="72">
        <v>7.63</v>
      </c>
      <c r="I465" s="72">
        <v>31610.99</v>
      </c>
      <c r="J465" s="72">
        <v>566.88</v>
      </c>
      <c r="K465" s="72">
        <v>1711.39</v>
      </c>
      <c r="L465" s="72">
        <v>64.31</v>
      </c>
      <c r="M465" s="72">
        <v>11.13</v>
      </c>
      <c r="N465" s="72">
        <v>122.71</v>
      </c>
      <c r="O465" s="70">
        <v>4</v>
      </c>
      <c r="P465" s="70"/>
      <c r="Q465" s="62" t="s">
        <v>258</v>
      </c>
      <c r="R465" s="61"/>
      <c r="S465" s="61"/>
    </row>
    <row r="466" spans="1:19" ht="13.8" customHeight="1" x14ac:dyDescent="0.3">
      <c r="A466" s="73" t="s">
        <v>295</v>
      </c>
      <c r="B466" s="74">
        <f>IFERROR(INDEX('Boulder Sample Log'!A$5:A$204,MATCH(A466,'Boulder Sample Log'!E$5:E$204,0)),"")</f>
        <v>46125</v>
      </c>
      <c r="C466" s="73">
        <v>570</v>
      </c>
      <c r="D466" s="73" t="s">
        <v>256</v>
      </c>
      <c r="E466" s="73">
        <v>1</v>
      </c>
      <c r="F466" s="75">
        <v>4</v>
      </c>
      <c r="G466" s="73" t="s">
        <v>257</v>
      </c>
      <c r="H466" s="75">
        <v>8.83</v>
      </c>
      <c r="I466" s="75">
        <v>32150.080000000002</v>
      </c>
      <c r="J466" s="75">
        <v>572.91</v>
      </c>
      <c r="K466" s="75">
        <v>3583.42</v>
      </c>
      <c r="L466" s="75">
        <v>65.92</v>
      </c>
      <c r="M466" s="75">
        <v>6.85</v>
      </c>
      <c r="N466" s="75">
        <v>120.73</v>
      </c>
      <c r="O466" s="73">
        <v>4</v>
      </c>
      <c r="P466" s="73"/>
      <c r="Q466" s="66" t="s">
        <v>258</v>
      </c>
      <c r="R466" s="61"/>
      <c r="S466" s="61"/>
    </row>
    <row r="467" spans="1:19" ht="13.8" customHeight="1" x14ac:dyDescent="0.3">
      <c r="A467" s="70" t="s">
        <v>295</v>
      </c>
      <c r="B467" s="71">
        <f>IFERROR(INDEX('Boulder Sample Log'!A$5:A$204,MATCH(A467,'Boulder Sample Log'!E$5:E$204,0)),"")</f>
        <v>46125</v>
      </c>
      <c r="C467" s="70">
        <v>571</v>
      </c>
      <c r="D467" s="70" t="s">
        <v>256</v>
      </c>
      <c r="E467" s="70">
        <v>2</v>
      </c>
      <c r="F467" s="70" t="s">
        <v>257</v>
      </c>
      <c r="G467" s="70" t="s">
        <v>257</v>
      </c>
      <c r="H467" s="72">
        <v>6.41</v>
      </c>
      <c r="I467" s="72">
        <v>31957.27</v>
      </c>
      <c r="J467" s="72">
        <v>516.42999999999995</v>
      </c>
      <c r="K467" s="72">
        <v>4447.51</v>
      </c>
      <c r="L467" s="72">
        <v>64.92</v>
      </c>
      <c r="M467" s="72">
        <v>12.08</v>
      </c>
      <c r="N467" s="72">
        <v>120.11</v>
      </c>
      <c r="O467" s="70">
        <v>4</v>
      </c>
      <c r="P467" s="70"/>
      <c r="Q467" s="62" t="s">
        <v>258</v>
      </c>
      <c r="R467" s="61"/>
      <c r="S467" s="61"/>
    </row>
    <row r="468" spans="1:19" ht="13.8" customHeight="1" x14ac:dyDescent="0.3">
      <c r="A468" s="73" t="s">
        <v>295</v>
      </c>
      <c r="B468" s="74">
        <f>IFERROR(INDEX('Boulder Sample Log'!A$5:A$204,MATCH(A468,'Boulder Sample Log'!E$5:E$204,0)),"")</f>
        <v>46125</v>
      </c>
      <c r="C468" s="73">
        <v>572</v>
      </c>
      <c r="D468" s="73" t="s">
        <v>256</v>
      </c>
      <c r="E468" s="73">
        <v>2</v>
      </c>
      <c r="F468" s="75">
        <v>5.75</v>
      </c>
      <c r="G468" s="73" t="s">
        <v>257</v>
      </c>
      <c r="H468" s="73" t="s">
        <v>257</v>
      </c>
      <c r="I468" s="75">
        <v>124042.31</v>
      </c>
      <c r="J468" s="75">
        <v>1580.39</v>
      </c>
      <c r="K468" s="75">
        <v>2672.48</v>
      </c>
      <c r="L468" s="75">
        <v>67.959999999999994</v>
      </c>
      <c r="M468" s="75">
        <v>7.96</v>
      </c>
      <c r="N468" s="75">
        <v>120.47</v>
      </c>
      <c r="O468" s="73">
        <v>4</v>
      </c>
      <c r="P468" s="73"/>
      <c r="Q468" s="66" t="s">
        <v>258</v>
      </c>
      <c r="R468" s="61"/>
      <c r="S468" s="61"/>
    </row>
    <row r="469" spans="1:19" ht="13.8" customHeight="1" x14ac:dyDescent="0.3">
      <c r="A469" s="70" t="s">
        <v>295</v>
      </c>
      <c r="B469" s="71">
        <f>IFERROR(INDEX('Boulder Sample Log'!A$5:A$204,MATCH(A469,'Boulder Sample Log'!E$5:E$204,0)),"")</f>
        <v>46125</v>
      </c>
      <c r="C469" s="70">
        <v>573</v>
      </c>
      <c r="D469" s="70" t="s">
        <v>256</v>
      </c>
      <c r="E469" s="70">
        <v>3</v>
      </c>
      <c r="F469" s="72">
        <v>6.47</v>
      </c>
      <c r="G469" s="70" t="s">
        <v>257</v>
      </c>
      <c r="H469" s="72">
        <v>5.07</v>
      </c>
      <c r="I469" s="72">
        <v>65725.02</v>
      </c>
      <c r="J469" s="72">
        <v>1290.51</v>
      </c>
      <c r="K469" s="72">
        <v>4382.5200000000004</v>
      </c>
      <c r="L469" s="72">
        <v>84.94</v>
      </c>
      <c r="M469" s="72">
        <v>23.67</v>
      </c>
      <c r="N469" s="72">
        <v>120.53</v>
      </c>
      <c r="O469" s="70">
        <v>4</v>
      </c>
      <c r="P469" s="70"/>
      <c r="Q469" s="62" t="s">
        <v>258</v>
      </c>
      <c r="R469" s="61"/>
      <c r="S469" s="61"/>
    </row>
    <row r="470" spans="1:19" ht="13.8" customHeight="1" x14ac:dyDescent="0.3">
      <c r="A470" s="73" t="s">
        <v>295</v>
      </c>
      <c r="B470" s="74">
        <f>IFERROR(INDEX('Boulder Sample Log'!A$5:A$204,MATCH(A470,'Boulder Sample Log'!E$5:E$204,0)),"")</f>
        <v>46125</v>
      </c>
      <c r="C470" s="73">
        <v>574</v>
      </c>
      <c r="D470" s="73" t="s">
        <v>256</v>
      </c>
      <c r="E470" s="73">
        <v>3</v>
      </c>
      <c r="F470" s="75">
        <v>6.65</v>
      </c>
      <c r="G470" s="73" t="s">
        <v>257</v>
      </c>
      <c r="H470" s="75">
        <v>6.79</v>
      </c>
      <c r="I470" s="75">
        <v>66608.36</v>
      </c>
      <c r="J470" s="75">
        <v>908.18</v>
      </c>
      <c r="K470" s="75">
        <v>2456.41</v>
      </c>
      <c r="L470" s="75">
        <v>55.04</v>
      </c>
      <c r="M470" s="75">
        <v>12.96</v>
      </c>
      <c r="N470" s="75">
        <v>120.32</v>
      </c>
      <c r="O470" s="73">
        <v>4</v>
      </c>
      <c r="P470" s="73"/>
      <c r="Q470" s="66" t="s">
        <v>258</v>
      </c>
      <c r="R470" s="61"/>
      <c r="S470" s="61"/>
    </row>
    <row r="471" spans="1:19" ht="13.8" customHeight="1" x14ac:dyDescent="0.3">
      <c r="A471" s="70" t="s">
        <v>295</v>
      </c>
      <c r="B471" s="71">
        <f>IFERROR(INDEX('Boulder Sample Log'!A$5:A$204,MATCH(A471,'Boulder Sample Log'!E$5:E$204,0)),"")</f>
        <v>46125</v>
      </c>
      <c r="C471" s="70">
        <v>575</v>
      </c>
      <c r="D471" s="70" t="s">
        <v>256</v>
      </c>
      <c r="E471" s="70">
        <v>4</v>
      </c>
      <c r="F471" s="72">
        <v>3.81</v>
      </c>
      <c r="G471" s="70" t="s">
        <v>257</v>
      </c>
      <c r="H471" s="72">
        <v>6.83</v>
      </c>
      <c r="I471" s="72">
        <v>157858.23000000001</v>
      </c>
      <c r="J471" s="72">
        <v>1559.98</v>
      </c>
      <c r="K471" s="72">
        <v>1425.75</v>
      </c>
      <c r="L471" s="72">
        <v>39.979999999999997</v>
      </c>
      <c r="M471" s="70" t="s">
        <v>257</v>
      </c>
      <c r="N471" s="72">
        <v>120.37</v>
      </c>
      <c r="O471" s="70">
        <v>4</v>
      </c>
      <c r="P471" s="70"/>
      <c r="Q471" s="62" t="s">
        <v>258</v>
      </c>
      <c r="R471" s="61"/>
      <c r="S471" s="61"/>
    </row>
    <row r="472" spans="1:19" ht="13.8" customHeight="1" x14ac:dyDescent="0.3">
      <c r="A472" s="73" t="s">
        <v>295</v>
      </c>
      <c r="B472" s="74">
        <f>IFERROR(INDEX('Boulder Sample Log'!A$5:A$204,MATCH(A472,'Boulder Sample Log'!E$5:E$204,0)),"")</f>
        <v>46125</v>
      </c>
      <c r="C472" s="73">
        <v>576</v>
      </c>
      <c r="D472" s="73" t="s">
        <v>256</v>
      </c>
      <c r="E472" s="73">
        <v>4</v>
      </c>
      <c r="F472" s="75">
        <v>3.52</v>
      </c>
      <c r="G472" s="73" t="s">
        <v>257</v>
      </c>
      <c r="H472" s="75">
        <v>6.54</v>
      </c>
      <c r="I472" s="75">
        <v>44768.49</v>
      </c>
      <c r="J472" s="75">
        <v>721.42</v>
      </c>
      <c r="K472" s="75">
        <v>2906.55</v>
      </c>
      <c r="L472" s="75">
        <v>63.04</v>
      </c>
      <c r="M472" s="75">
        <v>12.86</v>
      </c>
      <c r="N472" s="75">
        <v>122.93</v>
      </c>
      <c r="O472" s="73">
        <v>4</v>
      </c>
      <c r="P472" s="73"/>
      <c r="Q472" s="66" t="s">
        <v>258</v>
      </c>
      <c r="R472" s="61"/>
      <c r="S472" s="61"/>
    </row>
    <row r="473" spans="1:19" ht="13.8" customHeight="1" x14ac:dyDescent="0.3">
      <c r="A473" s="70" t="s">
        <v>295</v>
      </c>
      <c r="B473" s="71">
        <f>IFERROR(INDEX('Boulder Sample Log'!A$5:A$204,MATCH(A473,'Boulder Sample Log'!E$5:E$204,0)),"")</f>
        <v>46125</v>
      </c>
      <c r="C473" s="70">
        <v>577</v>
      </c>
      <c r="D473" s="70" t="s">
        <v>256</v>
      </c>
      <c r="E473" s="70">
        <v>5</v>
      </c>
      <c r="F473" s="72">
        <v>4.71</v>
      </c>
      <c r="G473" s="70" t="s">
        <v>257</v>
      </c>
      <c r="H473" s="72">
        <v>10.210000000000001</v>
      </c>
      <c r="I473" s="72">
        <v>33576.620000000003</v>
      </c>
      <c r="J473" s="72">
        <v>442.57</v>
      </c>
      <c r="K473" s="72">
        <v>1221.28</v>
      </c>
      <c r="L473" s="72">
        <v>59.7</v>
      </c>
      <c r="M473" s="72">
        <v>10.51</v>
      </c>
      <c r="N473" s="72">
        <v>120.43</v>
      </c>
      <c r="O473" s="70">
        <v>4</v>
      </c>
      <c r="P473" s="70"/>
      <c r="Q473" s="62" t="s">
        <v>258</v>
      </c>
      <c r="R473" s="61"/>
      <c r="S473" s="61"/>
    </row>
    <row r="474" spans="1:19" ht="13.8" customHeight="1" x14ac:dyDescent="0.3">
      <c r="A474" s="73" t="s">
        <v>295</v>
      </c>
      <c r="B474" s="74">
        <f>IFERROR(INDEX('Boulder Sample Log'!A$5:A$204,MATCH(A474,'Boulder Sample Log'!E$5:E$204,0)),"")</f>
        <v>46125</v>
      </c>
      <c r="C474" s="73">
        <v>578</v>
      </c>
      <c r="D474" s="73" t="s">
        <v>256</v>
      </c>
      <c r="E474" s="73">
        <v>5</v>
      </c>
      <c r="F474" s="75">
        <v>4.68</v>
      </c>
      <c r="G474" s="73" t="s">
        <v>257</v>
      </c>
      <c r="H474" s="75">
        <v>7.69</v>
      </c>
      <c r="I474" s="75">
        <v>35154.93</v>
      </c>
      <c r="J474" s="75">
        <v>439.89</v>
      </c>
      <c r="K474" s="75">
        <v>1564.28</v>
      </c>
      <c r="L474" s="75">
        <v>57.34</v>
      </c>
      <c r="M474" s="75">
        <v>10.41</v>
      </c>
      <c r="N474" s="75">
        <v>122.87</v>
      </c>
      <c r="O474" s="73">
        <v>4</v>
      </c>
      <c r="P474" s="73"/>
      <c r="Q474" s="66" t="s">
        <v>258</v>
      </c>
      <c r="R474" s="61"/>
      <c r="S474" s="61"/>
    </row>
    <row r="475" spans="1:19" ht="13.8" customHeight="1" x14ac:dyDescent="0.3">
      <c r="A475" s="70" t="s">
        <v>296</v>
      </c>
      <c r="B475" s="71">
        <f>IFERROR(INDEX('Boulder Sample Log'!A$5:A$204,MATCH(A475,'Boulder Sample Log'!E$5:E$204,0)),"")</f>
        <v>46126</v>
      </c>
      <c r="C475" s="70">
        <v>586</v>
      </c>
      <c r="D475" s="70" t="s">
        <v>256</v>
      </c>
      <c r="E475" s="70">
        <v>1</v>
      </c>
      <c r="F475" s="70" t="s">
        <v>257</v>
      </c>
      <c r="G475" s="70" t="s">
        <v>257</v>
      </c>
      <c r="H475" s="72">
        <v>6.52</v>
      </c>
      <c r="I475" s="72">
        <v>31730.99</v>
      </c>
      <c r="J475" s="72">
        <v>785.16</v>
      </c>
      <c r="K475" s="72">
        <v>35231.32</v>
      </c>
      <c r="L475" s="72">
        <v>80.36</v>
      </c>
      <c r="M475" s="72">
        <v>8.7100000000000009</v>
      </c>
      <c r="N475" s="72">
        <v>122.91</v>
      </c>
      <c r="O475" s="70">
        <v>4</v>
      </c>
      <c r="P475" s="70"/>
      <c r="Q475" s="62" t="s">
        <v>258</v>
      </c>
      <c r="R475" s="61"/>
      <c r="S475" s="61"/>
    </row>
    <row r="476" spans="1:19" ht="13.8" customHeight="1" x14ac:dyDescent="0.3">
      <c r="A476" s="73" t="s">
        <v>296</v>
      </c>
      <c r="B476" s="74">
        <f>IFERROR(INDEX('Boulder Sample Log'!A$5:A$204,MATCH(A476,'Boulder Sample Log'!E$5:E$204,0)),"")</f>
        <v>46126</v>
      </c>
      <c r="C476" s="73">
        <v>587</v>
      </c>
      <c r="D476" s="73" t="s">
        <v>256</v>
      </c>
      <c r="E476" s="73">
        <v>1</v>
      </c>
      <c r="F476" s="73" t="s">
        <v>257</v>
      </c>
      <c r="G476" s="73" t="s">
        <v>257</v>
      </c>
      <c r="H476" s="75">
        <v>7.45</v>
      </c>
      <c r="I476" s="75">
        <v>32362.63</v>
      </c>
      <c r="J476" s="75">
        <v>794.09</v>
      </c>
      <c r="K476" s="75">
        <v>30517.53</v>
      </c>
      <c r="L476" s="75">
        <v>93.11</v>
      </c>
      <c r="M476" s="75">
        <v>6.19</v>
      </c>
      <c r="N476" s="75">
        <v>122.83</v>
      </c>
      <c r="O476" s="73">
        <v>4</v>
      </c>
      <c r="P476" s="73"/>
      <c r="Q476" s="66" t="s">
        <v>258</v>
      </c>
      <c r="R476" s="61"/>
      <c r="S476" s="61"/>
    </row>
    <row r="477" spans="1:19" ht="13.8" customHeight="1" x14ac:dyDescent="0.3">
      <c r="A477" s="70" t="s">
        <v>296</v>
      </c>
      <c r="B477" s="71">
        <f>IFERROR(INDEX('Boulder Sample Log'!A$5:A$204,MATCH(A477,'Boulder Sample Log'!E$5:E$204,0)),"")</f>
        <v>46126</v>
      </c>
      <c r="C477" s="70">
        <v>588</v>
      </c>
      <c r="D477" s="70" t="s">
        <v>256</v>
      </c>
      <c r="E477" s="70">
        <v>2</v>
      </c>
      <c r="F477" s="72">
        <v>8</v>
      </c>
      <c r="G477" s="72">
        <v>12.39</v>
      </c>
      <c r="H477" s="72">
        <v>32.729999999999997</v>
      </c>
      <c r="I477" s="72">
        <v>88062.42</v>
      </c>
      <c r="J477" s="72">
        <v>281.88</v>
      </c>
      <c r="K477" s="72">
        <v>28423.7</v>
      </c>
      <c r="L477" s="72">
        <v>57.24</v>
      </c>
      <c r="M477" s="72">
        <v>27.21</v>
      </c>
      <c r="N477" s="72">
        <v>120.29</v>
      </c>
      <c r="O477" s="70">
        <v>4</v>
      </c>
      <c r="P477" s="70"/>
      <c r="Q477" s="62" t="s">
        <v>258</v>
      </c>
      <c r="R477" s="61"/>
      <c r="S477" s="61"/>
    </row>
    <row r="478" spans="1:19" ht="13.8" customHeight="1" x14ac:dyDescent="0.3">
      <c r="A478" s="73" t="s">
        <v>296</v>
      </c>
      <c r="B478" s="74">
        <f>IFERROR(INDEX('Boulder Sample Log'!A$5:A$204,MATCH(A478,'Boulder Sample Log'!E$5:E$204,0)),"")</f>
        <v>46126</v>
      </c>
      <c r="C478" s="73">
        <v>589</v>
      </c>
      <c r="D478" s="73" t="s">
        <v>256</v>
      </c>
      <c r="E478" s="73">
        <v>2</v>
      </c>
      <c r="F478" s="75">
        <v>6.03</v>
      </c>
      <c r="G478" s="75">
        <v>11.91</v>
      </c>
      <c r="H478" s="75">
        <v>40.47</v>
      </c>
      <c r="I478" s="75">
        <v>87169.48</v>
      </c>
      <c r="J478" s="75">
        <v>302.17</v>
      </c>
      <c r="K478" s="75">
        <v>19194.09</v>
      </c>
      <c r="L478" s="75">
        <v>62.52</v>
      </c>
      <c r="M478" s="75">
        <v>31.85</v>
      </c>
      <c r="N478" s="75">
        <v>120.3</v>
      </c>
      <c r="O478" s="73">
        <v>4</v>
      </c>
      <c r="P478" s="73"/>
      <c r="Q478" s="66" t="s">
        <v>258</v>
      </c>
      <c r="R478" s="61"/>
      <c r="S478" s="61"/>
    </row>
    <row r="479" spans="1:19" ht="13.8" customHeight="1" x14ac:dyDescent="0.3">
      <c r="A479" s="70" t="s">
        <v>296</v>
      </c>
      <c r="B479" s="71">
        <f>IFERROR(INDEX('Boulder Sample Log'!A$5:A$204,MATCH(A479,'Boulder Sample Log'!E$5:E$204,0)),"")</f>
        <v>46126</v>
      </c>
      <c r="C479" s="70">
        <v>590</v>
      </c>
      <c r="D479" s="70" t="s">
        <v>256</v>
      </c>
      <c r="E479" s="70">
        <v>3</v>
      </c>
      <c r="F479" s="70" t="s">
        <v>257</v>
      </c>
      <c r="G479" s="70" t="s">
        <v>257</v>
      </c>
      <c r="H479" s="72">
        <v>9.2100000000000009</v>
      </c>
      <c r="I479" s="72">
        <v>30444.46</v>
      </c>
      <c r="J479" s="72">
        <v>543.1</v>
      </c>
      <c r="K479" s="72">
        <v>8850.52</v>
      </c>
      <c r="L479" s="72">
        <v>55.81</v>
      </c>
      <c r="M479" s="72">
        <v>22.8</v>
      </c>
      <c r="N479" s="72">
        <v>120.19</v>
      </c>
      <c r="O479" s="70">
        <v>4</v>
      </c>
      <c r="P479" s="70"/>
      <c r="Q479" s="62" t="s">
        <v>258</v>
      </c>
      <c r="R479" s="61"/>
      <c r="S479" s="61"/>
    </row>
    <row r="480" spans="1:19" ht="13.8" customHeight="1" x14ac:dyDescent="0.3">
      <c r="A480" s="73" t="s">
        <v>296</v>
      </c>
      <c r="B480" s="74">
        <f>IFERROR(INDEX('Boulder Sample Log'!A$5:A$204,MATCH(A480,'Boulder Sample Log'!E$5:E$204,0)),"")</f>
        <v>46126</v>
      </c>
      <c r="C480" s="73">
        <v>591</v>
      </c>
      <c r="D480" s="73" t="s">
        <v>256</v>
      </c>
      <c r="E480" s="73">
        <v>3</v>
      </c>
      <c r="F480" s="73" t="s">
        <v>257</v>
      </c>
      <c r="G480" s="73" t="s">
        <v>257</v>
      </c>
      <c r="H480" s="75">
        <v>8.6199999999999992</v>
      </c>
      <c r="I480" s="75">
        <v>28626.14</v>
      </c>
      <c r="J480" s="75">
        <v>503.39</v>
      </c>
      <c r="K480" s="75">
        <v>9773.4</v>
      </c>
      <c r="L480" s="75">
        <v>60.73</v>
      </c>
      <c r="M480" s="75">
        <v>14.54</v>
      </c>
      <c r="N480" s="75">
        <v>120.33</v>
      </c>
      <c r="O480" s="73">
        <v>4</v>
      </c>
      <c r="P480" s="73"/>
      <c r="Q480" s="66" t="s">
        <v>258</v>
      </c>
      <c r="R480" s="61"/>
      <c r="S480" s="61"/>
    </row>
    <row r="481" spans="1:19" ht="13.8" customHeight="1" x14ac:dyDescent="0.3">
      <c r="A481" s="70" t="s">
        <v>296</v>
      </c>
      <c r="B481" s="71">
        <f>IFERROR(INDEX('Boulder Sample Log'!A$5:A$204,MATCH(A481,'Boulder Sample Log'!E$5:E$204,0)),"")</f>
        <v>46126</v>
      </c>
      <c r="C481" s="70">
        <v>592</v>
      </c>
      <c r="D481" s="70" t="s">
        <v>256</v>
      </c>
      <c r="E481" s="70">
        <v>4</v>
      </c>
      <c r="F481" s="70" t="s">
        <v>257</v>
      </c>
      <c r="G481" s="70" t="s">
        <v>257</v>
      </c>
      <c r="H481" s="72">
        <v>9.26</v>
      </c>
      <c r="I481" s="72">
        <v>28859.32</v>
      </c>
      <c r="J481" s="72">
        <v>476.91</v>
      </c>
      <c r="K481" s="72">
        <v>10503.97</v>
      </c>
      <c r="L481" s="72">
        <v>45.4</v>
      </c>
      <c r="M481" s="72">
        <v>20.23</v>
      </c>
      <c r="N481" s="72">
        <v>122.83</v>
      </c>
      <c r="O481" s="70">
        <v>4</v>
      </c>
      <c r="P481" s="70"/>
      <c r="Q481" s="62" t="s">
        <v>258</v>
      </c>
      <c r="R481" s="61"/>
      <c r="S481" s="61"/>
    </row>
    <row r="482" spans="1:19" ht="13.8" customHeight="1" x14ac:dyDescent="0.3">
      <c r="A482" s="73" t="s">
        <v>296</v>
      </c>
      <c r="B482" s="74">
        <f>IFERROR(INDEX('Boulder Sample Log'!A$5:A$204,MATCH(A482,'Boulder Sample Log'!E$5:E$204,0)),"")</f>
        <v>46126</v>
      </c>
      <c r="C482" s="73">
        <v>593</v>
      </c>
      <c r="D482" s="73" t="s">
        <v>256</v>
      </c>
      <c r="E482" s="73">
        <v>4</v>
      </c>
      <c r="F482" s="75">
        <v>3.02</v>
      </c>
      <c r="G482" s="73" t="s">
        <v>257</v>
      </c>
      <c r="H482" s="75">
        <v>9.59</v>
      </c>
      <c r="I482" s="75">
        <v>27310.69</v>
      </c>
      <c r="J482" s="75">
        <v>410.1</v>
      </c>
      <c r="K482" s="75">
        <v>26927.29</v>
      </c>
      <c r="L482" s="75">
        <v>39.700000000000003</v>
      </c>
      <c r="M482" s="75">
        <v>12.25</v>
      </c>
      <c r="N482" s="75">
        <v>123.24</v>
      </c>
      <c r="O482" s="73">
        <v>4</v>
      </c>
      <c r="P482" s="73"/>
      <c r="Q482" s="66" t="s">
        <v>258</v>
      </c>
      <c r="R482" s="61"/>
      <c r="S482" s="61"/>
    </row>
    <row r="483" spans="1:19" ht="13.8" customHeight="1" x14ac:dyDescent="0.3">
      <c r="A483" s="70" t="s">
        <v>296</v>
      </c>
      <c r="B483" s="71">
        <f>IFERROR(INDEX('Boulder Sample Log'!A$5:A$204,MATCH(A483,'Boulder Sample Log'!E$5:E$204,0)),"")</f>
        <v>46126</v>
      </c>
      <c r="C483" s="70">
        <v>594</v>
      </c>
      <c r="D483" s="70" t="s">
        <v>256</v>
      </c>
      <c r="E483" s="70">
        <v>5</v>
      </c>
      <c r="F483" s="70" t="s">
        <v>257</v>
      </c>
      <c r="G483" s="70" t="s">
        <v>257</v>
      </c>
      <c r="H483" s="72">
        <v>9.3699999999999992</v>
      </c>
      <c r="I483" s="72">
        <v>32155.29</v>
      </c>
      <c r="J483" s="72">
        <v>578.78</v>
      </c>
      <c r="K483" s="72">
        <v>4852.68</v>
      </c>
      <c r="L483" s="72">
        <v>64.97</v>
      </c>
      <c r="M483" s="72">
        <v>17.149999999999999</v>
      </c>
      <c r="N483" s="72">
        <v>120.72</v>
      </c>
      <c r="O483" s="70">
        <v>4</v>
      </c>
      <c r="P483" s="70"/>
      <c r="Q483" s="62" t="s">
        <v>258</v>
      </c>
      <c r="R483" s="61"/>
      <c r="S483" s="61"/>
    </row>
    <row r="484" spans="1:19" ht="13.8" customHeight="1" x14ac:dyDescent="0.3">
      <c r="A484" s="73" t="s">
        <v>296</v>
      </c>
      <c r="B484" s="74">
        <f>IFERROR(INDEX('Boulder Sample Log'!A$5:A$204,MATCH(A484,'Boulder Sample Log'!E$5:E$204,0)),"")</f>
        <v>46126</v>
      </c>
      <c r="C484" s="73">
        <v>595</v>
      </c>
      <c r="D484" s="73" t="s">
        <v>256</v>
      </c>
      <c r="E484" s="73">
        <v>5</v>
      </c>
      <c r="F484" s="73" t="s">
        <v>257</v>
      </c>
      <c r="G484" s="73" t="s">
        <v>257</v>
      </c>
      <c r="H484" s="75">
        <v>9.3699999999999992</v>
      </c>
      <c r="I484" s="75">
        <v>31422.21</v>
      </c>
      <c r="J484" s="75">
        <v>593.51</v>
      </c>
      <c r="K484" s="75">
        <v>4317.96</v>
      </c>
      <c r="L484" s="75">
        <v>59.51</v>
      </c>
      <c r="M484" s="75">
        <v>18.98</v>
      </c>
      <c r="N484" s="75">
        <v>120.25</v>
      </c>
      <c r="O484" s="73">
        <v>4</v>
      </c>
      <c r="P484" s="73"/>
      <c r="Q484" s="66" t="s">
        <v>258</v>
      </c>
      <c r="R484" s="61"/>
      <c r="S484" s="61"/>
    </row>
    <row r="485" spans="1:19" ht="13.8" customHeight="1" x14ac:dyDescent="0.3">
      <c r="A485" s="70" t="s">
        <v>297</v>
      </c>
      <c r="B485" s="71">
        <f>IFERROR(INDEX('Boulder Sample Log'!A$5:A$204,MATCH(A485,'Boulder Sample Log'!E$5:E$204,0)),"")</f>
        <v>46126</v>
      </c>
      <c r="C485" s="70">
        <v>596</v>
      </c>
      <c r="D485" s="70" t="s">
        <v>256</v>
      </c>
      <c r="E485" s="70">
        <v>1</v>
      </c>
      <c r="F485" s="72">
        <v>8.41</v>
      </c>
      <c r="G485" s="72">
        <v>119.09</v>
      </c>
      <c r="H485" s="72">
        <v>8.7799999999999994</v>
      </c>
      <c r="I485" s="72">
        <v>39047.5</v>
      </c>
      <c r="J485" s="70" t="s">
        <v>257</v>
      </c>
      <c r="K485" s="72">
        <v>13907.63</v>
      </c>
      <c r="L485" s="72">
        <v>4.72</v>
      </c>
      <c r="M485" s="72">
        <v>5.0999999999999996</v>
      </c>
      <c r="N485" s="72">
        <v>120.52</v>
      </c>
      <c r="O485" s="70">
        <v>4</v>
      </c>
      <c r="P485" s="70"/>
      <c r="Q485" s="62" t="s">
        <v>258</v>
      </c>
      <c r="R485" s="61"/>
      <c r="S485" s="61"/>
    </row>
    <row r="486" spans="1:19" ht="13.8" customHeight="1" x14ac:dyDescent="0.3">
      <c r="A486" s="73" t="s">
        <v>297</v>
      </c>
      <c r="B486" s="74">
        <f>IFERROR(INDEX('Boulder Sample Log'!A$5:A$204,MATCH(A486,'Boulder Sample Log'!E$5:E$204,0)),"")</f>
        <v>46126</v>
      </c>
      <c r="C486" s="73">
        <v>597</v>
      </c>
      <c r="D486" s="73" t="s">
        <v>256</v>
      </c>
      <c r="E486" s="73">
        <v>1</v>
      </c>
      <c r="F486" s="75">
        <v>21.08</v>
      </c>
      <c r="G486" s="75">
        <v>120.79</v>
      </c>
      <c r="H486" s="75">
        <v>10.5</v>
      </c>
      <c r="I486" s="75">
        <v>32814.19</v>
      </c>
      <c r="J486" s="73" t="s">
        <v>257</v>
      </c>
      <c r="K486" s="75">
        <v>15855.72</v>
      </c>
      <c r="L486" s="75">
        <v>5.0999999999999996</v>
      </c>
      <c r="M486" s="73" t="s">
        <v>257</v>
      </c>
      <c r="N486" s="75">
        <v>120.41</v>
      </c>
      <c r="O486" s="73">
        <v>4</v>
      </c>
      <c r="P486" s="73"/>
      <c r="Q486" s="66" t="s">
        <v>258</v>
      </c>
      <c r="R486" s="61"/>
      <c r="S486" s="61"/>
    </row>
    <row r="487" spans="1:19" ht="13.8" customHeight="1" x14ac:dyDescent="0.3">
      <c r="A487" s="70" t="s">
        <v>297</v>
      </c>
      <c r="B487" s="71">
        <f>IFERROR(INDEX('Boulder Sample Log'!A$5:A$204,MATCH(A487,'Boulder Sample Log'!E$5:E$204,0)),"")</f>
        <v>46126</v>
      </c>
      <c r="C487" s="70">
        <v>598</v>
      </c>
      <c r="D487" s="70" t="s">
        <v>256</v>
      </c>
      <c r="E487" s="70">
        <v>1</v>
      </c>
      <c r="F487" s="72">
        <v>49.49</v>
      </c>
      <c r="G487" s="72">
        <v>140.03</v>
      </c>
      <c r="H487" s="72">
        <v>10.02</v>
      </c>
      <c r="I487" s="72">
        <v>37632.730000000003</v>
      </c>
      <c r="J487" s="70" t="s">
        <v>257</v>
      </c>
      <c r="K487" s="72">
        <v>16694.060000000001</v>
      </c>
      <c r="L487" s="70" t="s">
        <v>257</v>
      </c>
      <c r="M487" s="70" t="s">
        <v>257</v>
      </c>
      <c r="N487" s="72">
        <v>120.47</v>
      </c>
      <c r="O487" s="70">
        <v>4</v>
      </c>
      <c r="P487" s="70"/>
      <c r="Q487" s="62" t="s">
        <v>258</v>
      </c>
      <c r="R487" s="61"/>
      <c r="S487" s="61"/>
    </row>
    <row r="488" spans="1:19" ht="13.8" customHeight="1" x14ac:dyDescent="0.3">
      <c r="A488" s="73" t="s">
        <v>297</v>
      </c>
      <c r="B488" s="74">
        <f>IFERROR(INDEX('Boulder Sample Log'!A$5:A$204,MATCH(A488,'Boulder Sample Log'!E$5:E$204,0)),"")</f>
        <v>46126</v>
      </c>
      <c r="C488" s="73">
        <v>599</v>
      </c>
      <c r="D488" s="73" t="s">
        <v>256</v>
      </c>
      <c r="E488" s="73">
        <v>2</v>
      </c>
      <c r="F488" s="75">
        <v>8.8000000000000007</v>
      </c>
      <c r="G488" s="75">
        <v>92.65</v>
      </c>
      <c r="H488" s="75">
        <v>9.52</v>
      </c>
      <c r="I488" s="75">
        <v>27369.31</v>
      </c>
      <c r="J488" s="73" t="s">
        <v>257</v>
      </c>
      <c r="K488" s="75">
        <v>9614.2099999999991</v>
      </c>
      <c r="L488" s="73" t="s">
        <v>257</v>
      </c>
      <c r="M488" s="73" t="s">
        <v>257</v>
      </c>
      <c r="N488" s="75">
        <v>120.08</v>
      </c>
      <c r="O488" s="73">
        <v>4</v>
      </c>
      <c r="P488" s="73"/>
      <c r="Q488" s="66" t="s">
        <v>258</v>
      </c>
      <c r="R488" s="61"/>
      <c r="S488" s="61"/>
    </row>
    <row r="489" spans="1:19" ht="13.8" customHeight="1" x14ac:dyDescent="0.3">
      <c r="A489" s="70" t="s">
        <v>297</v>
      </c>
      <c r="B489" s="71">
        <f>IFERROR(INDEX('Boulder Sample Log'!A$5:A$204,MATCH(A489,'Boulder Sample Log'!E$5:E$204,0)),"")</f>
        <v>46126</v>
      </c>
      <c r="C489" s="70">
        <v>600</v>
      </c>
      <c r="D489" s="70" t="s">
        <v>256</v>
      </c>
      <c r="E489" s="70">
        <v>2</v>
      </c>
      <c r="F489" s="72">
        <v>7.42</v>
      </c>
      <c r="G489" s="72">
        <v>68.680000000000007</v>
      </c>
      <c r="H489" s="72">
        <v>8.73</v>
      </c>
      <c r="I489" s="72">
        <v>22706.32</v>
      </c>
      <c r="J489" s="70" t="s">
        <v>257</v>
      </c>
      <c r="K489" s="72">
        <v>9356.25</v>
      </c>
      <c r="L489" s="70" t="s">
        <v>257</v>
      </c>
      <c r="M489" s="70" t="s">
        <v>257</v>
      </c>
      <c r="N489" s="72">
        <v>120.44</v>
      </c>
      <c r="O489" s="70">
        <v>4</v>
      </c>
      <c r="P489" s="70"/>
      <c r="Q489" s="62" t="s">
        <v>258</v>
      </c>
      <c r="R489" s="61"/>
      <c r="S489" s="61"/>
    </row>
    <row r="490" spans="1:19" ht="13.8" customHeight="1" x14ac:dyDescent="0.3">
      <c r="A490" s="73" t="s">
        <v>297</v>
      </c>
      <c r="B490" s="74">
        <f>IFERROR(INDEX('Boulder Sample Log'!A$5:A$204,MATCH(A490,'Boulder Sample Log'!E$5:E$204,0)),"")</f>
        <v>46126</v>
      </c>
      <c r="C490" s="73">
        <v>601</v>
      </c>
      <c r="D490" s="73" t="s">
        <v>256</v>
      </c>
      <c r="E490" s="73">
        <v>3</v>
      </c>
      <c r="F490" s="75">
        <v>4.2</v>
      </c>
      <c r="G490" s="75">
        <v>31.4</v>
      </c>
      <c r="H490" s="75">
        <v>9.99</v>
      </c>
      <c r="I490" s="75">
        <v>19077.38</v>
      </c>
      <c r="J490" s="73" t="s">
        <v>257</v>
      </c>
      <c r="K490" s="75">
        <v>8046.05</v>
      </c>
      <c r="L490" s="73" t="s">
        <v>257</v>
      </c>
      <c r="M490" s="73" t="s">
        <v>257</v>
      </c>
      <c r="N490" s="75">
        <v>120.27</v>
      </c>
      <c r="O490" s="73">
        <v>4</v>
      </c>
      <c r="P490" s="73"/>
      <c r="Q490" s="66" t="s">
        <v>258</v>
      </c>
      <c r="R490" s="61"/>
      <c r="S490" s="61"/>
    </row>
    <row r="491" spans="1:19" ht="13.8" customHeight="1" x14ac:dyDescent="0.3">
      <c r="A491" s="70" t="s">
        <v>297</v>
      </c>
      <c r="B491" s="71">
        <f>IFERROR(INDEX('Boulder Sample Log'!A$5:A$204,MATCH(A491,'Boulder Sample Log'!E$5:E$204,0)),"")</f>
        <v>46126</v>
      </c>
      <c r="C491" s="70">
        <v>602</v>
      </c>
      <c r="D491" s="70" t="s">
        <v>256</v>
      </c>
      <c r="E491" s="70">
        <v>3</v>
      </c>
      <c r="F491" s="72">
        <v>3.76</v>
      </c>
      <c r="G491" s="72">
        <v>21.61</v>
      </c>
      <c r="H491" s="72">
        <v>9.4</v>
      </c>
      <c r="I491" s="72">
        <v>17609.150000000001</v>
      </c>
      <c r="J491" s="70" t="s">
        <v>257</v>
      </c>
      <c r="K491" s="72">
        <v>5637</v>
      </c>
      <c r="L491" s="70" t="s">
        <v>257</v>
      </c>
      <c r="M491" s="70" t="s">
        <v>257</v>
      </c>
      <c r="N491" s="72">
        <v>122.84</v>
      </c>
      <c r="O491" s="70">
        <v>4</v>
      </c>
      <c r="P491" s="70"/>
      <c r="Q491" s="62" t="s">
        <v>258</v>
      </c>
      <c r="R491" s="61"/>
      <c r="S491" s="61"/>
    </row>
    <row r="492" spans="1:19" ht="13.8" customHeight="1" x14ac:dyDescent="0.3">
      <c r="A492" s="73" t="s">
        <v>297</v>
      </c>
      <c r="B492" s="74">
        <f>IFERROR(INDEX('Boulder Sample Log'!A$5:A$204,MATCH(A492,'Boulder Sample Log'!E$5:E$204,0)),"")</f>
        <v>46126</v>
      </c>
      <c r="C492" s="73">
        <v>603</v>
      </c>
      <c r="D492" s="73" t="s">
        <v>256</v>
      </c>
      <c r="E492" s="73">
        <v>4</v>
      </c>
      <c r="F492" s="75">
        <v>8.39</v>
      </c>
      <c r="G492" s="75">
        <v>88.36</v>
      </c>
      <c r="H492" s="75">
        <v>11.32</v>
      </c>
      <c r="I492" s="75">
        <v>34528.019999999997</v>
      </c>
      <c r="J492" s="73" t="s">
        <v>257</v>
      </c>
      <c r="K492" s="75">
        <v>13033.35</v>
      </c>
      <c r="L492" s="75">
        <v>13.07</v>
      </c>
      <c r="M492" s="73" t="s">
        <v>257</v>
      </c>
      <c r="N492" s="75">
        <v>123.32</v>
      </c>
      <c r="O492" s="73">
        <v>4</v>
      </c>
      <c r="P492" s="73"/>
      <c r="Q492" s="66" t="s">
        <v>258</v>
      </c>
      <c r="R492" s="61"/>
      <c r="S492" s="61"/>
    </row>
    <row r="493" spans="1:19" ht="13.8" customHeight="1" x14ac:dyDescent="0.3">
      <c r="A493" s="70" t="s">
        <v>297</v>
      </c>
      <c r="B493" s="71">
        <f>IFERROR(INDEX('Boulder Sample Log'!A$5:A$204,MATCH(A493,'Boulder Sample Log'!E$5:E$204,0)),"")</f>
        <v>46126</v>
      </c>
      <c r="C493" s="70">
        <v>604</v>
      </c>
      <c r="D493" s="70" t="s">
        <v>256</v>
      </c>
      <c r="E493" s="70">
        <v>4</v>
      </c>
      <c r="F493" s="70" t="s">
        <v>257</v>
      </c>
      <c r="G493" s="72">
        <v>58.44</v>
      </c>
      <c r="H493" s="72">
        <v>10.71</v>
      </c>
      <c r="I493" s="72">
        <v>23215.78</v>
      </c>
      <c r="J493" s="70" t="s">
        <v>257</v>
      </c>
      <c r="K493" s="72">
        <v>13949.03</v>
      </c>
      <c r="L493" s="72">
        <v>5.64</v>
      </c>
      <c r="M493" s="70" t="s">
        <v>257</v>
      </c>
      <c r="N493" s="72">
        <v>122.95</v>
      </c>
      <c r="O493" s="70">
        <v>4</v>
      </c>
      <c r="P493" s="70"/>
      <c r="Q493" s="62" t="s">
        <v>258</v>
      </c>
      <c r="R493" s="61"/>
      <c r="S493" s="61"/>
    </row>
    <row r="494" spans="1:19" ht="13.8" customHeight="1" x14ac:dyDescent="0.3">
      <c r="A494" s="73" t="s">
        <v>297</v>
      </c>
      <c r="B494" s="74">
        <f>IFERROR(INDEX('Boulder Sample Log'!A$5:A$204,MATCH(A494,'Boulder Sample Log'!E$5:E$204,0)),"")</f>
        <v>46126</v>
      </c>
      <c r="C494" s="73">
        <v>605</v>
      </c>
      <c r="D494" s="73" t="s">
        <v>256</v>
      </c>
      <c r="E494" s="73">
        <v>4</v>
      </c>
      <c r="F494" s="75">
        <v>4.63</v>
      </c>
      <c r="G494" s="75">
        <v>83.58</v>
      </c>
      <c r="H494" s="75">
        <v>8.83</v>
      </c>
      <c r="I494" s="75">
        <v>32270.23</v>
      </c>
      <c r="J494" s="73" t="s">
        <v>257</v>
      </c>
      <c r="K494" s="75">
        <v>15878.11</v>
      </c>
      <c r="L494" s="75">
        <v>5.72</v>
      </c>
      <c r="M494" s="73" t="s">
        <v>257</v>
      </c>
      <c r="N494" s="75">
        <v>123.26</v>
      </c>
      <c r="O494" s="73">
        <v>4</v>
      </c>
      <c r="P494" s="73"/>
      <c r="Q494" s="66" t="s">
        <v>258</v>
      </c>
      <c r="R494" s="61"/>
      <c r="S494" s="61"/>
    </row>
    <row r="495" spans="1:19" ht="13.8" customHeight="1" x14ac:dyDescent="0.3">
      <c r="A495" s="70" t="s">
        <v>297</v>
      </c>
      <c r="B495" s="71">
        <f>IFERROR(INDEX('Boulder Sample Log'!A$5:A$204,MATCH(A495,'Boulder Sample Log'!E$5:E$204,0)),"")</f>
        <v>46126</v>
      </c>
      <c r="C495" s="70">
        <v>606</v>
      </c>
      <c r="D495" s="70" t="s">
        <v>256</v>
      </c>
      <c r="E495" s="70">
        <v>5</v>
      </c>
      <c r="F495" s="70" t="s">
        <v>257</v>
      </c>
      <c r="G495" s="72">
        <v>45.46</v>
      </c>
      <c r="H495" s="72">
        <v>10.35</v>
      </c>
      <c r="I495" s="72">
        <v>15833.35</v>
      </c>
      <c r="J495" s="70" t="s">
        <v>257</v>
      </c>
      <c r="K495" s="72">
        <v>5470.84</v>
      </c>
      <c r="L495" s="72">
        <v>4.3099999999999996</v>
      </c>
      <c r="M495" s="70" t="s">
        <v>257</v>
      </c>
      <c r="N495" s="72">
        <v>122.94</v>
      </c>
      <c r="O495" s="70">
        <v>4</v>
      </c>
      <c r="P495" s="70"/>
      <c r="Q495" s="62" t="s">
        <v>258</v>
      </c>
      <c r="R495" s="61"/>
      <c r="S495" s="61"/>
    </row>
    <row r="496" spans="1:19" ht="13.8" customHeight="1" x14ac:dyDescent="0.3">
      <c r="A496" s="73" t="s">
        <v>297</v>
      </c>
      <c r="B496" s="74">
        <f>IFERROR(INDEX('Boulder Sample Log'!A$5:A$204,MATCH(A496,'Boulder Sample Log'!E$5:E$204,0)),"")</f>
        <v>46126</v>
      </c>
      <c r="C496" s="73">
        <v>607</v>
      </c>
      <c r="D496" s="73" t="s">
        <v>256</v>
      </c>
      <c r="E496" s="73">
        <v>5</v>
      </c>
      <c r="F496" s="73" t="s">
        <v>257</v>
      </c>
      <c r="G496" s="75">
        <v>46.33</v>
      </c>
      <c r="H496" s="75">
        <v>9.92</v>
      </c>
      <c r="I496" s="75">
        <v>15880.87</v>
      </c>
      <c r="J496" s="73" t="s">
        <v>257</v>
      </c>
      <c r="K496" s="75">
        <v>5631.33</v>
      </c>
      <c r="L496" s="75">
        <v>4.4800000000000004</v>
      </c>
      <c r="M496" s="73" t="s">
        <v>257</v>
      </c>
      <c r="N496" s="75">
        <v>122.94</v>
      </c>
      <c r="O496" s="73">
        <v>4</v>
      </c>
      <c r="P496" s="73"/>
      <c r="Q496" s="66" t="s">
        <v>258</v>
      </c>
      <c r="R496" s="61"/>
      <c r="S496" s="61"/>
    </row>
    <row r="497" spans="1:19" ht="13.8" customHeight="1" x14ac:dyDescent="0.3">
      <c r="A497" s="70" t="s">
        <v>298</v>
      </c>
      <c r="B497" s="71">
        <f>IFERROR(INDEX('Boulder Sample Log'!A$5:A$204,MATCH(A497,'Boulder Sample Log'!E$5:E$204,0)),"")</f>
        <v>46126</v>
      </c>
      <c r="C497" s="70">
        <v>608</v>
      </c>
      <c r="D497" s="70" t="s">
        <v>256</v>
      </c>
      <c r="E497" s="70">
        <v>1</v>
      </c>
      <c r="F497" s="72">
        <v>44.69</v>
      </c>
      <c r="G497" s="72">
        <v>3.07</v>
      </c>
      <c r="H497" s="70" t="s">
        <v>257</v>
      </c>
      <c r="I497" s="72">
        <v>8216.7800000000007</v>
      </c>
      <c r="J497" s="70" t="s">
        <v>257</v>
      </c>
      <c r="K497" s="72">
        <v>5387.53</v>
      </c>
      <c r="L497" s="72">
        <v>29.25</v>
      </c>
      <c r="M497" s="72">
        <v>7.49</v>
      </c>
      <c r="N497" s="72">
        <v>120.8</v>
      </c>
      <c r="O497" s="70">
        <v>4</v>
      </c>
      <c r="P497" s="70"/>
      <c r="Q497" s="62" t="s">
        <v>258</v>
      </c>
      <c r="R497" s="61"/>
      <c r="S497" s="61"/>
    </row>
    <row r="498" spans="1:19" ht="13.8" customHeight="1" x14ac:dyDescent="0.3">
      <c r="A498" s="73" t="s">
        <v>298</v>
      </c>
      <c r="B498" s="74">
        <f>IFERROR(INDEX('Boulder Sample Log'!A$5:A$204,MATCH(A498,'Boulder Sample Log'!E$5:E$204,0)),"")</f>
        <v>46126</v>
      </c>
      <c r="C498" s="73">
        <v>609</v>
      </c>
      <c r="D498" s="73" t="s">
        <v>256</v>
      </c>
      <c r="E498" s="73">
        <v>1</v>
      </c>
      <c r="F498" s="75">
        <v>44.18</v>
      </c>
      <c r="G498" s="75">
        <v>2.36</v>
      </c>
      <c r="H498" s="73" t="s">
        <v>257</v>
      </c>
      <c r="I498" s="75">
        <v>8144.48</v>
      </c>
      <c r="J498" s="73" t="s">
        <v>257</v>
      </c>
      <c r="K498" s="75">
        <v>5088.38</v>
      </c>
      <c r="L498" s="75">
        <v>25.57</v>
      </c>
      <c r="M498" s="75">
        <v>6.04</v>
      </c>
      <c r="N498" s="75">
        <v>122.82</v>
      </c>
      <c r="O498" s="73">
        <v>4</v>
      </c>
      <c r="P498" s="73"/>
      <c r="Q498" s="66" t="s">
        <v>258</v>
      </c>
      <c r="R498" s="61"/>
      <c r="S498" s="61"/>
    </row>
    <row r="499" spans="1:19" ht="13.8" customHeight="1" x14ac:dyDescent="0.3">
      <c r="A499" s="70" t="s">
        <v>298</v>
      </c>
      <c r="B499" s="71">
        <f>IFERROR(INDEX('Boulder Sample Log'!A$5:A$204,MATCH(A499,'Boulder Sample Log'!E$5:E$204,0)),"")</f>
        <v>46126</v>
      </c>
      <c r="C499" s="70">
        <v>610</v>
      </c>
      <c r="D499" s="70" t="s">
        <v>256</v>
      </c>
      <c r="E499" s="70">
        <v>2</v>
      </c>
      <c r="F499" s="72">
        <v>49.89</v>
      </c>
      <c r="G499" s="72">
        <v>2.4</v>
      </c>
      <c r="H499" s="70" t="s">
        <v>257</v>
      </c>
      <c r="I499" s="72">
        <v>17421.22</v>
      </c>
      <c r="J499" s="70" t="s">
        <v>257</v>
      </c>
      <c r="K499" s="72">
        <v>10197.469999999999</v>
      </c>
      <c r="L499" s="72">
        <v>21.59</v>
      </c>
      <c r="M499" s="70" t="s">
        <v>257</v>
      </c>
      <c r="N499" s="72">
        <v>120.41</v>
      </c>
      <c r="O499" s="70">
        <v>4</v>
      </c>
      <c r="P499" s="70"/>
      <c r="Q499" s="62" t="s">
        <v>258</v>
      </c>
      <c r="R499" s="61"/>
      <c r="S499" s="61"/>
    </row>
    <row r="500" spans="1:19" ht="13.8" customHeight="1" x14ac:dyDescent="0.3">
      <c r="A500" s="73" t="s">
        <v>298</v>
      </c>
      <c r="B500" s="74">
        <f>IFERROR(INDEX('Boulder Sample Log'!A$5:A$204,MATCH(A500,'Boulder Sample Log'!E$5:E$204,0)),"")</f>
        <v>46126</v>
      </c>
      <c r="C500" s="73">
        <v>611</v>
      </c>
      <c r="D500" s="73" t="s">
        <v>256</v>
      </c>
      <c r="E500" s="73">
        <v>2</v>
      </c>
      <c r="F500" s="75">
        <v>52.15</v>
      </c>
      <c r="G500" s="75">
        <v>1.19</v>
      </c>
      <c r="H500" s="75">
        <v>3.48</v>
      </c>
      <c r="I500" s="75">
        <v>16399.88</v>
      </c>
      <c r="J500" s="73" t="s">
        <v>257</v>
      </c>
      <c r="K500" s="75">
        <v>9668.0300000000007</v>
      </c>
      <c r="L500" s="75">
        <v>22.04</v>
      </c>
      <c r="M500" s="75">
        <v>5.73</v>
      </c>
      <c r="N500" s="75">
        <v>123.05</v>
      </c>
      <c r="O500" s="73">
        <v>4</v>
      </c>
      <c r="P500" s="73"/>
      <c r="Q500" s="66" t="s">
        <v>258</v>
      </c>
      <c r="R500" s="61"/>
      <c r="S500" s="61"/>
    </row>
    <row r="501" spans="1:19" ht="13.8" customHeight="1" x14ac:dyDescent="0.3">
      <c r="A501" s="70" t="s">
        <v>298</v>
      </c>
      <c r="B501" s="71">
        <f>IFERROR(INDEX('Boulder Sample Log'!A$5:A$204,MATCH(A501,'Boulder Sample Log'!E$5:E$204,0)),"")</f>
        <v>46126</v>
      </c>
      <c r="C501" s="70">
        <v>612</v>
      </c>
      <c r="D501" s="70" t="s">
        <v>256</v>
      </c>
      <c r="E501" s="70">
        <v>3</v>
      </c>
      <c r="F501" s="72">
        <v>35.35</v>
      </c>
      <c r="G501" s="72">
        <v>4.6500000000000004</v>
      </c>
      <c r="H501" s="72">
        <v>16.399999999999999</v>
      </c>
      <c r="I501" s="72">
        <v>12538.1</v>
      </c>
      <c r="J501" s="72">
        <v>26.44</v>
      </c>
      <c r="K501" s="72">
        <v>6249.36</v>
      </c>
      <c r="L501" s="72">
        <v>50.34</v>
      </c>
      <c r="M501" s="72">
        <v>31.81</v>
      </c>
      <c r="N501" s="72">
        <v>122.75</v>
      </c>
      <c r="O501" s="70">
        <v>4</v>
      </c>
      <c r="P501" s="70"/>
      <c r="Q501" s="62" t="s">
        <v>258</v>
      </c>
      <c r="R501" s="61"/>
      <c r="S501" s="61"/>
    </row>
    <row r="502" spans="1:19" ht="13.8" customHeight="1" x14ac:dyDescent="0.3">
      <c r="A502" s="73" t="s">
        <v>298</v>
      </c>
      <c r="B502" s="74">
        <f>IFERROR(INDEX('Boulder Sample Log'!A$5:A$204,MATCH(A502,'Boulder Sample Log'!E$5:E$204,0)),"")</f>
        <v>46126</v>
      </c>
      <c r="C502" s="73">
        <v>613</v>
      </c>
      <c r="D502" s="73" t="s">
        <v>256</v>
      </c>
      <c r="E502" s="73">
        <v>3</v>
      </c>
      <c r="F502" s="75">
        <v>31.41</v>
      </c>
      <c r="G502" s="75">
        <v>5.76</v>
      </c>
      <c r="H502" s="75">
        <v>18.27</v>
      </c>
      <c r="I502" s="75">
        <v>13296.56</v>
      </c>
      <c r="J502" s="75">
        <v>21.68</v>
      </c>
      <c r="K502" s="75">
        <v>5999.5</v>
      </c>
      <c r="L502" s="75">
        <v>39.090000000000003</v>
      </c>
      <c r="M502" s="75">
        <v>30.15</v>
      </c>
      <c r="N502" s="75">
        <v>123.09</v>
      </c>
      <c r="O502" s="73">
        <v>4</v>
      </c>
      <c r="P502" s="73"/>
      <c r="Q502" s="66" t="s">
        <v>258</v>
      </c>
      <c r="R502" s="61"/>
      <c r="S502" s="61"/>
    </row>
    <row r="503" spans="1:19" ht="13.8" customHeight="1" x14ac:dyDescent="0.3">
      <c r="A503" s="70" t="s">
        <v>298</v>
      </c>
      <c r="B503" s="71">
        <f>IFERROR(INDEX('Boulder Sample Log'!A$5:A$204,MATCH(A503,'Boulder Sample Log'!E$5:E$204,0)),"")</f>
        <v>46126</v>
      </c>
      <c r="C503" s="70">
        <v>614</v>
      </c>
      <c r="D503" s="70" t="s">
        <v>256</v>
      </c>
      <c r="E503" s="70">
        <v>4</v>
      </c>
      <c r="F503" s="72">
        <v>91.46</v>
      </c>
      <c r="G503" s="72">
        <v>4.8499999999999996</v>
      </c>
      <c r="H503" s="72">
        <v>44.07</v>
      </c>
      <c r="I503" s="72">
        <v>42925.17</v>
      </c>
      <c r="J503" s="70" t="s">
        <v>257</v>
      </c>
      <c r="K503" s="72">
        <v>25406.02</v>
      </c>
      <c r="L503" s="70" t="s">
        <v>257</v>
      </c>
      <c r="M503" s="70" t="s">
        <v>257</v>
      </c>
      <c r="N503" s="72">
        <v>120.06</v>
      </c>
      <c r="O503" s="70">
        <v>4</v>
      </c>
      <c r="P503" s="70"/>
      <c r="Q503" s="62" t="s">
        <v>258</v>
      </c>
      <c r="R503" s="61"/>
      <c r="S503" s="61"/>
    </row>
    <row r="504" spans="1:19" ht="13.8" customHeight="1" x14ac:dyDescent="0.3">
      <c r="A504" s="73" t="s">
        <v>298</v>
      </c>
      <c r="B504" s="74">
        <f>IFERROR(INDEX('Boulder Sample Log'!A$5:A$204,MATCH(A504,'Boulder Sample Log'!E$5:E$204,0)),"")</f>
        <v>46126</v>
      </c>
      <c r="C504" s="73">
        <v>615</v>
      </c>
      <c r="D504" s="73" t="s">
        <v>256</v>
      </c>
      <c r="E504" s="73">
        <v>4</v>
      </c>
      <c r="F504" s="75">
        <v>67.739999999999995</v>
      </c>
      <c r="G504" s="75">
        <v>5.83</v>
      </c>
      <c r="H504" s="75">
        <v>46.08</v>
      </c>
      <c r="I504" s="75">
        <v>46542.34</v>
      </c>
      <c r="J504" s="73" t="s">
        <v>257</v>
      </c>
      <c r="K504" s="75">
        <v>25367.59</v>
      </c>
      <c r="L504" s="73" t="s">
        <v>257</v>
      </c>
      <c r="M504" s="73" t="s">
        <v>257</v>
      </c>
      <c r="N504" s="75">
        <v>122.79</v>
      </c>
      <c r="O504" s="73">
        <v>4</v>
      </c>
      <c r="P504" s="73"/>
      <c r="Q504" s="66" t="s">
        <v>258</v>
      </c>
      <c r="R504" s="61"/>
      <c r="S504" s="61"/>
    </row>
    <row r="505" spans="1:19" ht="13.8" customHeight="1" x14ac:dyDescent="0.3">
      <c r="A505" s="70" t="s">
        <v>298</v>
      </c>
      <c r="B505" s="71">
        <f>IFERROR(INDEX('Boulder Sample Log'!A$5:A$204,MATCH(A505,'Boulder Sample Log'!E$5:E$204,0)),"")</f>
        <v>46126</v>
      </c>
      <c r="C505" s="70">
        <v>616</v>
      </c>
      <c r="D505" s="70" t="s">
        <v>256</v>
      </c>
      <c r="E505" s="70">
        <v>5</v>
      </c>
      <c r="F505" s="72">
        <v>6970.28</v>
      </c>
      <c r="G505" s="72">
        <v>14.72</v>
      </c>
      <c r="H505" s="70" t="s">
        <v>257</v>
      </c>
      <c r="I505" s="72">
        <v>26113.15</v>
      </c>
      <c r="J505" s="72">
        <v>94.21</v>
      </c>
      <c r="K505" s="72">
        <v>16943.849999999999</v>
      </c>
      <c r="L505" s="70" t="s">
        <v>257</v>
      </c>
      <c r="M505" s="70" t="s">
        <v>257</v>
      </c>
      <c r="N505" s="72">
        <v>120.5</v>
      </c>
      <c r="O505" s="70">
        <v>4</v>
      </c>
      <c r="P505" s="70"/>
      <c r="Q505" s="62" t="s">
        <v>258</v>
      </c>
      <c r="R505" s="61"/>
      <c r="S505" s="61"/>
    </row>
    <row r="506" spans="1:19" ht="13.8" customHeight="1" x14ac:dyDescent="0.3">
      <c r="A506" s="73" t="s">
        <v>298</v>
      </c>
      <c r="B506" s="74">
        <f>IFERROR(INDEX('Boulder Sample Log'!A$5:A$204,MATCH(A506,'Boulder Sample Log'!E$5:E$204,0)),"")</f>
        <v>46126</v>
      </c>
      <c r="C506" s="73">
        <v>617</v>
      </c>
      <c r="D506" s="73" t="s">
        <v>256</v>
      </c>
      <c r="E506" s="73">
        <v>5</v>
      </c>
      <c r="F506" s="75">
        <v>9540.0300000000007</v>
      </c>
      <c r="G506" s="75">
        <v>2.2999999999999998</v>
      </c>
      <c r="H506" s="73" t="s">
        <v>257</v>
      </c>
      <c r="I506" s="75">
        <v>23923.439999999999</v>
      </c>
      <c r="J506" s="75">
        <v>155.97999999999999</v>
      </c>
      <c r="K506" s="75">
        <v>16235.59</v>
      </c>
      <c r="L506" s="73" t="s">
        <v>257</v>
      </c>
      <c r="M506" s="73" t="s">
        <v>257</v>
      </c>
      <c r="N506" s="75">
        <v>120.57</v>
      </c>
      <c r="O506" s="73">
        <v>4</v>
      </c>
      <c r="P506" s="73"/>
      <c r="Q506" s="66" t="s">
        <v>258</v>
      </c>
      <c r="R506" s="61"/>
      <c r="S506" s="61"/>
    </row>
    <row r="507" spans="1:19" ht="13.8" customHeight="1" x14ac:dyDescent="0.3">
      <c r="A507" s="70" t="s">
        <v>298</v>
      </c>
      <c r="B507" s="71">
        <f>IFERROR(INDEX('Boulder Sample Log'!A$5:A$204,MATCH(A507,'Boulder Sample Log'!E$5:E$204,0)),"")</f>
        <v>46126</v>
      </c>
      <c r="C507" s="70">
        <v>618</v>
      </c>
      <c r="D507" s="70" t="s">
        <v>256</v>
      </c>
      <c r="E507" s="70">
        <v>5</v>
      </c>
      <c r="F507" s="72">
        <v>23795.87</v>
      </c>
      <c r="G507" s="70" t="s">
        <v>257</v>
      </c>
      <c r="H507" s="70" t="s">
        <v>257</v>
      </c>
      <c r="I507" s="72">
        <v>26244.5</v>
      </c>
      <c r="J507" s="72">
        <v>227.05</v>
      </c>
      <c r="K507" s="72">
        <v>20697.87</v>
      </c>
      <c r="L507" s="70" t="s">
        <v>257</v>
      </c>
      <c r="M507" s="70" t="s">
        <v>257</v>
      </c>
      <c r="N507" s="72">
        <v>122.81</v>
      </c>
      <c r="O507" s="70">
        <v>4</v>
      </c>
      <c r="P507" s="70"/>
      <c r="Q507" s="62" t="s">
        <v>258</v>
      </c>
      <c r="R507" s="61"/>
      <c r="S507" s="61"/>
    </row>
    <row r="508" spans="1:19" ht="13.8" customHeight="1" x14ac:dyDescent="0.3">
      <c r="A508" s="73" t="s">
        <v>299</v>
      </c>
      <c r="B508" s="74">
        <f>IFERROR(INDEX('Boulder Sample Log'!A$5:A$204,MATCH(A508,'Boulder Sample Log'!E$5:E$204,0)),"")</f>
        <v>46126</v>
      </c>
      <c r="C508" s="73">
        <v>619</v>
      </c>
      <c r="D508" s="73" t="s">
        <v>256</v>
      </c>
      <c r="E508" s="73">
        <v>1</v>
      </c>
      <c r="F508" s="75">
        <v>3.32</v>
      </c>
      <c r="G508" s="75">
        <v>19.97</v>
      </c>
      <c r="H508" s="75">
        <v>10.36</v>
      </c>
      <c r="I508" s="75">
        <v>27593.8</v>
      </c>
      <c r="J508" s="73" t="s">
        <v>257</v>
      </c>
      <c r="K508" s="75">
        <v>12928.04</v>
      </c>
      <c r="L508" s="73" t="s">
        <v>257</v>
      </c>
      <c r="M508" s="73" t="s">
        <v>257</v>
      </c>
      <c r="N508" s="75">
        <v>122.92</v>
      </c>
      <c r="O508" s="73">
        <v>4</v>
      </c>
      <c r="P508" s="73"/>
      <c r="Q508" s="66" t="s">
        <v>258</v>
      </c>
      <c r="R508" s="61"/>
      <c r="S508" s="61"/>
    </row>
    <row r="509" spans="1:19" ht="13.8" customHeight="1" x14ac:dyDescent="0.3">
      <c r="A509" s="70" t="s">
        <v>299</v>
      </c>
      <c r="B509" s="71">
        <f>IFERROR(INDEX('Boulder Sample Log'!A$5:A$204,MATCH(A509,'Boulder Sample Log'!E$5:E$204,0)),"")</f>
        <v>46126</v>
      </c>
      <c r="C509" s="70">
        <v>620</v>
      </c>
      <c r="D509" s="70" t="s">
        <v>256</v>
      </c>
      <c r="E509" s="70">
        <v>1</v>
      </c>
      <c r="F509" s="70" t="s">
        <v>257</v>
      </c>
      <c r="G509" s="72">
        <v>18.64</v>
      </c>
      <c r="H509" s="72">
        <v>8.64</v>
      </c>
      <c r="I509" s="72">
        <v>12035.73</v>
      </c>
      <c r="J509" s="70" t="s">
        <v>257</v>
      </c>
      <c r="K509" s="72">
        <v>7714.99</v>
      </c>
      <c r="L509" s="72">
        <v>4.28</v>
      </c>
      <c r="M509" s="70" t="s">
        <v>257</v>
      </c>
      <c r="N509" s="72">
        <v>122.82</v>
      </c>
      <c r="O509" s="70">
        <v>4</v>
      </c>
      <c r="P509" s="70"/>
      <c r="Q509" s="62" t="s">
        <v>258</v>
      </c>
      <c r="R509" s="61"/>
      <c r="S509" s="61"/>
    </row>
    <row r="510" spans="1:19" ht="13.8" customHeight="1" x14ac:dyDescent="0.3">
      <c r="A510" s="73" t="s">
        <v>299</v>
      </c>
      <c r="B510" s="74">
        <f>IFERROR(INDEX('Boulder Sample Log'!A$5:A$204,MATCH(A510,'Boulder Sample Log'!E$5:E$204,0)),"")</f>
        <v>46126</v>
      </c>
      <c r="C510" s="73">
        <v>621</v>
      </c>
      <c r="D510" s="73" t="s">
        <v>256</v>
      </c>
      <c r="E510" s="73">
        <v>2</v>
      </c>
      <c r="F510" s="75">
        <v>9.19</v>
      </c>
      <c r="G510" s="75">
        <v>4.9800000000000004</v>
      </c>
      <c r="H510" s="75">
        <v>8.34</v>
      </c>
      <c r="I510" s="75">
        <v>9694.92</v>
      </c>
      <c r="J510" s="73" t="s">
        <v>257</v>
      </c>
      <c r="K510" s="75">
        <v>30167.49</v>
      </c>
      <c r="L510" s="75">
        <v>10.5</v>
      </c>
      <c r="M510" s="73" t="s">
        <v>257</v>
      </c>
      <c r="N510" s="75">
        <v>120.49</v>
      </c>
      <c r="O510" s="73">
        <v>4</v>
      </c>
      <c r="P510" s="73"/>
      <c r="Q510" s="66" t="s">
        <v>258</v>
      </c>
      <c r="R510" s="61"/>
      <c r="S510" s="61"/>
    </row>
    <row r="511" spans="1:19" ht="13.8" customHeight="1" x14ac:dyDescent="0.3">
      <c r="A511" s="70" t="s">
        <v>299</v>
      </c>
      <c r="B511" s="71">
        <f>IFERROR(INDEX('Boulder Sample Log'!A$5:A$204,MATCH(A511,'Boulder Sample Log'!E$5:E$204,0)),"")</f>
        <v>46126</v>
      </c>
      <c r="C511" s="70">
        <v>622</v>
      </c>
      <c r="D511" s="70" t="s">
        <v>256</v>
      </c>
      <c r="E511" s="70">
        <v>2</v>
      </c>
      <c r="F511" s="72">
        <v>5.85</v>
      </c>
      <c r="G511" s="70" t="s">
        <v>257</v>
      </c>
      <c r="H511" s="72">
        <v>8.2899999999999991</v>
      </c>
      <c r="I511" s="72">
        <v>17819.14</v>
      </c>
      <c r="J511" s="72">
        <v>84.04</v>
      </c>
      <c r="K511" s="72">
        <v>13716.46</v>
      </c>
      <c r="L511" s="72">
        <v>22.95</v>
      </c>
      <c r="M511" s="70" t="s">
        <v>257</v>
      </c>
      <c r="N511" s="72">
        <v>120.79</v>
      </c>
      <c r="O511" s="70">
        <v>4</v>
      </c>
      <c r="P511" s="70"/>
      <c r="Q511" s="62" t="s">
        <v>258</v>
      </c>
      <c r="R511" s="61"/>
      <c r="S511" s="61"/>
    </row>
    <row r="512" spans="1:19" ht="13.8" customHeight="1" x14ac:dyDescent="0.3">
      <c r="A512" s="73" t="s">
        <v>299</v>
      </c>
      <c r="B512" s="74">
        <f>IFERROR(INDEX('Boulder Sample Log'!A$5:A$204,MATCH(A512,'Boulder Sample Log'!E$5:E$204,0)),"")</f>
        <v>46126</v>
      </c>
      <c r="C512" s="73">
        <v>623</v>
      </c>
      <c r="D512" s="73" t="s">
        <v>256</v>
      </c>
      <c r="E512" s="73">
        <v>3</v>
      </c>
      <c r="F512" s="73" t="s">
        <v>257</v>
      </c>
      <c r="G512" s="73" t="s">
        <v>257</v>
      </c>
      <c r="H512" s="73" t="s">
        <v>257</v>
      </c>
      <c r="I512" s="73" t="s">
        <v>257</v>
      </c>
      <c r="J512" s="75">
        <v>894.21</v>
      </c>
      <c r="K512" s="75">
        <v>38384.730000000003</v>
      </c>
      <c r="L512" s="73" t="s">
        <v>257</v>
      </c>
      <c r="M512" s="73" t="s">
        <v>257</v>
      </c>
      <c r="N512" s="75">
        <v>124.2</v>
      </c>
      <c r="O512" s="73">
        <v>4</v>
      </c>
      <c r="P512" s="73" t="s">
        <v>300</v>
      </c>
      <c r="Q512" s="66" t="s">
        <v>258</v>
      </c>
      <c r="R512" s="61"/>
      <c r="S512" s="61"/>
    </row>
    <row r="513" spans="1:19" ht="13.8" customHeight="1" x14ac:dyDescent="0.3">
      <c r="A513" s="70" t="s">
        <v>299</v>
      </c>
      <c r="B513" s="71">
        <f>IFERROR(INDEX('Boulder Sample Log'!A$5:A$204,MATCH(A513,'Boulder Sample Log'!E$5:E$204,0)),"")</f>
        <v>46126</v>
      </c>
      <c r="C513" s="70">
        <v>624</v>
      </c>
      <c r="D513" s="70" t="s">
        <v>256</v>
      </c>
      <c r="E513" s="70">
        <v>3</v>
      </c>
      <c r="F513" s="72">
        <v>9.1999999999999993</v>
      </c>
      <c r="G513" s="72">
        <v>2.38</v>
      </c>
      <c r="H513" s="72">
        <v>14.83</v>
      </c>
      <c r="I513" s="72">
        <v>10225.280000000001</v>
      </c>
      <c r="J513" s="70" t="s">
        <v>257</v>
      </c>
      <c r="K513" s="72">
        <v>18295.32</v>
      </c>
      <c r="L513" s="70" t="s">
        <v>257</v>
      </c>
      <c r="M513" s="72">
        <v>8.0500000000000007</v>
      </c>
      <c r="N513" s="72">
        <v>122.88</v>
      </c>
      <c r="O513" s="70">
        <v>4</v>
      </c>
      <c r="P513" s="70"/>
      <c r="Q513" s="62" t="s">
        <v>258</v>
      </c>
      <c r="R513" s="61"/>
      <c r="S513" s="61"/>
    </row>
    <row r="514" spans="1:19" ht="13.8" customHeight="1" x14ac:dyDescent="0.3">
      <c r="A514" s="73" t="s">
        <v>299</v>
      </c>
      <c r="B514" s="74">
        <f>IFERROR(INDEX('Boulder Sample Log'!A$5:A$204,MATCH(A514,'Boulder Sample Log'!E$5:E$204,0)),"")</f>
        <v>46126</v>
      </c>
      <c r="C514" s="73">
        <v>625</v>
      </c>
      <c r="D514" s="73" t="s">
        <v>256</v>
      </c>
      <c r="E514" s="73">
        <v>3</v>
      </c>
      <c r="F514" s="75">
        <v>5.5</v>
      </c>
      <c r="G514" s="75">
        <v>1.31</v>
      </c>
      <c r="H514" s="75">
        <v>11.41</v>
      </c>
      <c r="I514" s="75">
        <v>11403.5</v>
      </c>
      <c r="J514" s="73" t="s">
        <v>257</v>
      </c>
      <c r="K514" s="75">
        <v>19194.97</v>
      </c>
      <c r="L514" s="75">
        <v>14.11</v>
      </c>
      <c r="M514" s="75">
        <v>12.05</v>
      </c>
      <c r="N514" s="75">
        <v>120.22</v>
      </c>
      <c r="O514" s="73">
        <v>4</v>
      </c>
      <c r="P514" s="73"/>
      <c r="Q514" s="66" t="s">
        <v>258</v>
      </c>
      <c r="R514" s="61"/>
      <c r="S514" s="61"/>
    </row>
    <row r="515" spans="1:19" ht="13.8" customHeight="1" x14ac:dyDescent="0.3">
      <c r="A515" s="70" t="s">
        <v>299</v>
      </c>
      <c r="B515" s="71">
        <f>IFERROR(INDEX('Boulder Sample Log'!A$5:A$204,MATCH(A515,'Boulder Sample Log'!E$5:E$204,0)),"")</f>
        <v>46126</v>
      </c>
      <c r="C515" s="70">
        <v>626</v>
      </c>
      <c r="D515" s="70" t="s">
        <v>256</v>
      </c>
      <c r="E515" s="70">
        <v>4</v>
      </c>
      <c r="F515" s="72">
        <v>6.01</v>
      </c>
      <c r="G515" s="72">
        <v>1.41</v>
      </c>
      <c r="H515" s="72">
        <v>10.210000000000001</v>
      </c>
      <c r="I515" s="72">
        <v>13612.8</v>
      </c>
      <c r="J515" s="70" t="s">
        <v>257</v>
      </c>
      <c r="K515" s="72">
        <v>17975</v>
      </c>
      <c r="L515" s="72">
        <v>7.2</v>
      </c>
      <c r="M515" s="72">
        <v>10.94</v>
      </c>
      <c r="N515" s="72">
        <v>122.96</v>
      </c>
      <c r="O515" s="70">
        <v>4</v>
      </c>
      <c r="P515" s="70"/>
      <c r="Q515" s="62" t="s">
        <v>258</v>
      </c>
      <c r="R515" s="61"/>
      <c r="S515" s="61"/>
    </row>
    <row r="516" spans="1:19" ht="13.8" customHeight="1" x14ac:dyDescent="0.3">
      <c r="A516" s="73" t="s">
        <v>299</v>
      </c>
      <c r="B516" s="74">
        <f>IFERROR(INDEX('Boulder Sample Log'!A$5:A$204,MATCH(A516,'Boulder Sample Log'!E$5:E$204,0)),"")</f>
        <v>46126</v>
      </c>
      <c r="C516" s="73">
        <v>627</v>
      </c>
      <c r="D516" s="73" t="s">
        <v>256</v>
      </c>
      <c r="E516" s="73">
        <v>4</v>
      </c>
      <c r="F516" s="75">
        <v>9.49</v>
      </c>
      <c r="G516" s="75">
        <v>2.27</v>
      </c>
      <c r="H516" s="75">
        <v>14.31</v>
      </c>
      <c r="I516" s="75">
        <v>15760.95</v>
      </c>
      <c r="J516" s="73" t="s">
        <v>257</v>
      </c>
      <c r="K516" s="75">
        <v>44366.239999999998</v>
      </c>
      <c r="L516" s="75">
        <v>19.420000000000002</v>
      </c>
      <c r="M516" s="75">
        <v>8.48</v>
      </c>
      <c r="N516" s="75">
        <v>122.96</v>
      </c>
      <c r="O516" s="73">
        <v>4</v>
      </c>
      <c r="P516" s="73"/>
      <c r="Q516" s="66" t="s">
        <v>258</v>
      </c>
      <c r="R516" s="61"/>
      <c r="S516" s="61"/>
    </row>
    <row r="517" spans="1:19" ht="13.8" customHeight="1" x14ac:dyDescent="0.3">
      <c r="A517" s="70" t="s">
        <v>299</v>
      </c>
      <c r="B517" s="71">
        <f>IFERROR(INDEX('Boulder Sample Log'!A$5:A$204,MATCH(A517,'Boulder Sample Log'!E$5:E$204,0)),"")</f>
        <v>46126</v>
      </c>
      <c r="C517" s="70">
        <v>628</v>
      </c>
      <c r="D517" s="70" t="s">
        <v>256</v>
      </c>
      <c r="E517" s="70">
        <v>5</v>
      </c>
      <c r="F517" s="72">
        <v>13.6</v>
      </c>
      <c r="G517" s="72">
        <v>8.8699999999999992</v>
      </c>
      <c r="H517" s="72">
        <v>24.67</v>
      </c>
      <c r="I517" s="72">
        <v>12529</v>
      </c>
      <c r="J517" s="70" t="s">
        <v>257</v>
      </c>
      <c r="K517" s="72">
        <v>43763.29</v>
      </c>
      <c r="L517" s="72">
        <v>11.45</v>
      </c>
      <c r="M517" s="70" t="s">
        <v>257</v>
      </c>
      <c r="N517" s="72">
        <v>120.36</v>
      </c>
      <c r="O517" s="70">
        <v>4</v>
      </c>
      <c r="P517" s="70"/>
      <c r="Q517" s="62" t="s">
        <v>258</v>
      </c>
      <c r="R517" s="61"/>
      <c r="S517" s="61"/>
    </row>
    <row r="518" spans="1:19" ht="13.8" customHeight="1" x14ac:dyDescent="0.3">
      <c r="A518" s="73" t="s">
        <v>299</v>
      </c>
      <c r="B518" s="74">
        <f>IFERROR(INDEX('Boulder Sample Log'!A$5:A$204,MATCH(A518,'Boulder Sample Log'!E$5:E$204,0)),"")</f>
        <v>46126</v>
      </c>
      <c r="C518" s="73">
        <v>629</v>
      </c>
      <c r="D518" s="73" t="s">
        <v>256</v>
      </c>
      <c r="E518" s="73">
        <v>5</v>
      </c>
      <c r="F518" s="75">
        <v>8.19</v>
      </c>
      <c r="G518" s="75">
        <v>1.3</v>
      </c>
      <c r="H518" s="75">
        <v>13.01</v>
      </c>
      <c r="I518" s="75">
        <v>18166.150000000001</v>
      </c>
      <c r="J518" s="75">
        <v>31</v>
      </c>
      <c r="K518" s="75">
        <v>31696.46</v>
      </c>
      <c r="L518" s="75">
        <v>25.47</v>
      </c>
      <c r="M518" s="75">
        <v>8.8800000000000008</v>
      </c>
      <c r="N518" s="75">
        <v>120.55</v>
      </c>
      <c r="O518" s="73">
        <v>4</v>
      </c>
      <c r="P518" s="73"/>
      <c r="Q518" s="66" t="s">
        <v>258</v>
      </c>
      <c r="R518" s="61"/>
      <c r="S518" s="61"/>
    </row>
    <row r="519" spans="1:19" ht="13.8" customHeight="1" x14ac:dyDescent="0.3">
      <c r="A519" s="70" t="s">
        <v>301</v>
      </c>
      <c r="B519" s="71">
        <f>IFERROR(INDEX('Boulder Sample Log'!A$5:A$204,MATCH(A519,'Boulder Sample Log'!E$5:E$204,0)),"")</f>
        <v>46126</v>
      </c>
      <c r="C519" s="70">
        <v>630</v>
      </c>
      <c r="D519" s="70" t="s">
        <v>256</v>
      </c>
      <c r="E519" s="70">
        <v>1</v>
      </c>
      <c r="F519" s="72">
        <v>3.21</v>
      </c>
      <c r="G519" s="72">
        <v>34.950000000000003</v>
      </c>
      <c r="H519" s="72">
        <v>7.01</v>
      </c>
      <c r="I519" s="72">
        <v>63378.79</v>
      </c>
      <c r="J519" s="72">
        <v>551.29</v>
      </c>
      <c r="K519" s="72">
        <v>20300.73</v>
      </c>
      <c r="L519" s="72">
        <v>48.49</v>
      </c>
      <c r="M519" s="72">
        <v>6.78</v>
      </c>
      <c r="N519" s="72">
        <v>120.47</v>
      </c>
      <c r="O519" s="70">
        <v>4</v>
      </c>
      <c r="P519" s="70"/>
      <c r="Q519" s="62" t="s">
        <v>258</v>
      </c>
      <c r="R519" s="61"/>
      <c r="S519" s="61"/>
    </row>
    <row r="520" spans="1:19" ht="13.8" customHeight="1" x14ac:dyDescent="0.3">
      <c r="A520" s="73" t="s">
        <v>301</v>
      </c>
      <c r="B520" s="74">
        <f>IFERROR(INDEX('Boulder Sample Log'!A$5:A$204,MATCH(A520,'Boulder Sample Log'!E$5:E$204,0)),"")</f>
        <v>46126</v>
      </c>
      <c r="C520" s="73">
        <v>631</v>
      </c>
      <c r="D520" s="73" t="s">
        <v>256</v>
      </c>
      <c r="E520" s="73">
        <v>1</v>
      </c>
      <c r="F520" s="75">
        <v>3.57</v>
      </c>
      <c r="G520" s="75">
        <v>46.35</v>
      </c>
      <c r="H520" s="75">
        <v>8.06</v>
      </c>
      <c r="I520" s="75">
        <v>68792.72</v>
      </c>
      <c r="J520" s="75">
        <v>566.28</v>
      </c>
      <c r="K520" s="75">
        <v>28236.400000000001</v>
      </c>
      <c r="L520" s="75">
        <v>56.75</v>
      </c>
      <c r="M520" s="75">
        <v>12.62</v>
      </c>
      <c r="N520" s="75">
        <v>122.63</v>
      </c>
      <c r="O520" s="73">
        <v>4</v>
      </c>
      <c r="P520" s="73"/>
      <c r="Q520" s="66" t="s">
        <v>258</v>
      </c>
      <c r="R520" s="61"/>
      <c r="S520" s="61"/>
    </row>
    <row r="521" spans="1:19" ht="13.8" customHeight="1" x14ac:dyDescent="0.3">
      <c r="A521" s="70" t="s">
        <v>301</v>
      </c>
      <c r="B521" s="71">
        <f>IFERROR(INDEX('Boulder Sample Log'!A$5:A$204,MATCH(A521,'Boulder Sample Log'!E$5:E$204,0)),"")</f>
        <v>46126</v>
      </c>
      <c r="C521" s="70">
        <v>632</v>
      </c>
      <c r="D521" s="70" t="s">
        <v>256</v>
      </c>
      <c r="E521" s="70">
        <v>2</v>
      </c>
      <c r="F521" s="72">
        <v>4.26</v>
      </c>
      <c r="G521" s="72">
        <v>6.6</v>
      </c>
      <c r="H521" s="72">
        <v>7.63</v>
      </c>
      <c r="I521" s="72">
        <v>49538.98</v>
      </c>
      <c r="J521" s="72">
        <v>848.57</v>
      </c>
      <c r="K521" s="72">
        <v>9685.9699999999993</v>
      </c>
      <c r="L521" s="72">
        <v>62.75</v>
      </c>
      <c r="M521" s="72">
        <v>5.22</v>
      </c>
      <c r="N521" s="72">
        <v>122.81</v>
      </c>
      <c r="O521" s="70">
        <v>4</v>
      </c>
      <c r="P521" s="70"/>
      <c r="Q521" s="62" t="s">
        <v>258</v>
      </c>
      <c r="R521" s="61"/>
      <c r="S521" s="61"/>
    </row>
    <row r="522" spans="1:19" ht="13.8" customHeight="1" x14ac:dyDescent="0.3">
      <c r="A522" s="73" t="s">
        <v>301</v>
      </c>
      <c r="B522" s="74">
        <f>IFERROR(INDEX('Boulder Sample Log'!A$5:A$204,MATCH(A522,'Boulder Sample Log'!E$5:E$204,0)),"")</f>
        <v>46126</v>
      </c>
      <c r="C522" s="73">
        <v>633</v>
      </c>
      <c r="D522" s="73" t="s">
        <v>256</v>
      </c>
      <c r="E522" s="73">
        <v>2</v>
      </c>
      <c r="F522" s="73" t="s">
        <v>257</v>
      </c>
      <c r="G522" s="75">
        <v>5.3</v>
      </c>
      <c r="H522" s="75">
        <v>7.51</v>
      </c>
      <c r="I522" s="75">
        <v>47679.95</v>
      </c>
      <c r="J522" s="75">
        <v>686.41</v>
      </c>
      <c r="K522" s="75">
        <v>8520.44</v>
      </c>
      <c r="L522" s="75">
        <v>59.98</v>
      </c>
      <c r="M522" s="73" t="s">
        <v>257</v>
      </c>
      <c r="N522" s="75">
        <v>120.52</v>
      </c>
      <c r="O522" s="73">
        <v>4</v>
      </c>
      <c r="P522" s="73"/>
      <c r="Q522" s="66" t="s">
        <v>258</v>
      </c>
      <c r="R522" s="61"/>
      <c r="S522" s="61"/>
    </row>
    <row r="523" spans="1:19" ht="13.8" customHeight="1" x14ac:dyDescent="0.3">
      <c r="A523" s="70" t="s">
        <v>301</v>
      </c>
      <c r="B523" s="71">
        <f>IFERROR(INDEX('Boulder Sample Log'!A$5:A$204,MATCH(A523,'Boulder Sample Log'!E$5:E$204,0)),"")</f>
        <v>46126</v>
      </c>
      <c r="C523" s="70">
        <v>634</v>
      </c>
      <c r="D523" s="70" t="s">
        <v>256</v>
      </c>
      <c r="E523" s="70">
        <v>2</v>
      </c>
      <c r="F523" s="72">
        <v>3.78</v>
      </c>
      <c r="G523" s="70" t="s">
        <v>257</v>
      </c>
      <c r="H523" s="72">
        <v>8.56</v>
      </c>
      <c r="I523" s="72">
        <v>39807.75</v>
      </c>
      <c r="J523" s="72">
        <v>945.71</v>
      </c>
      <c r="K523" s="72">
        <v>2604.88</v>
      </c>
      <c r="L523" s="72">
        <v>60.66</v>
      </c>
      <c r="M523" s="72">
        <v>17.89</v>
      </c>
      <c r="N523" s="72">
        <v>120.39</v>
      </c>
      <c r="O523" s="70">
        <v>4</v>
      </c>
      <c r="P523" s="70"/>
      <c r="Q523" s="62" t="s">
        <v>258</v>
      </c>
      <c r="R523" s="61"/>
      <c r="S523" s="61"/>
    </row>
    <row r="524" spans="1:19" ht="13.8" customHeight="1" x14ac:dyDescent="0.3">
      <c r="A524" s="73" t="s">
        <v>301</v>
      </c>
      <c r="B524" s="74">
        <f>IFERROR(INDEX('Boulder Sample Log'!A$5:A$204,MATCH(A524,'Boulder Sample Log'!E$5:E$204,0)),"")</f>
        <v>46126</v>
      </c>
      <c r="C524" s="73">
        <v>635</v>
      </c>
      <c r="D524" s="73" t="s">
        <v>256</v>
      </c>
      <c r="E524" s="73">
        <v>3</v>
      </c>
      <c r="F524" s="73" t="s">
        <v>257</v>
      </c>
      <c r="G524" s="73" t="s">
        <v>257</v>
      </c>
      <c r="H524" s="75">
        <v>7.79</v>
      </c>
      <c r="I524" s="75">
        <v>35791.39</v>
      </c>
      <c r="J524" s="75">
        <v>723.3</v>
      </c>
      <c r="K524" s="75">
        <v>2915.24</v>
      </c>
      <c r="L524" s="75">
        <v>62.38</v>
      </c>
      <c r="M524" s="75">
        <v>10.58</v>
      </c>
      <c r="N524" s="75">
        <v>120.44</v>
      </c>
      <c r="O524" s="73">
        <v>4</v>
      </c>
      <c r="P524" s="73"/>
      <c r="Q524" s="66" t="s">
        <v>258</v>
      </c>
      <c r="R524" s="61"/>
      <c r="S524" s="61"/>
    </row>
    <row r="525" spans="1:19" ht="13.8" customHeight="1" x14ac:dyDescent="0.3">
      <c r="A525" s="70" t="s">
        <v>301</v>
      </c>
      <c r="B525" s="71">
        <f>IFERROR(INDEX('Boulder Sample Log'!A$5:A$204,MATCH(A525,'Boulder Sample Log'!E$5:E$204,0)),"")</f>
        <v>46126</v>
      </c>
      <c r="C525" s="70">
        <v>636</v>
      </c>
      <c r="D525" s="70" t="s">
        <v>256</v>
      </c>
      <c r="E525" s="70">
        <v>3</v>
      </c>
      <c r="F525" s="70" t="s">
        <v>257</v>
      </c>
      <c r="G525" s="70" t="s">
        <v>257</v>
      </c>
      <c r="H525" s="72">
        <v>7.19</v>
      </c>
      <c r="I525" s="72">
        <v>40233.769999999997</v>
      </c>
      <c r="J525" s="72">
        <v>630.12</v>
      </c>
      <c r="K525" s="72">
        <v>4332.79</v>
      </c>
      <c r="L525" s="72">
        <v>44.69</v>
      </c>
      <c r="M525" s="72">
        <v>7.89</v>
      </c>
      <c r="N525" s="72">
        <v>120.24</v>
      </c>
      <c r="O525" s="70">
        <v>4</v>
      </c>
      <c r="P525" s="70"/>
      <c r="Q525" s="62" t="s">
        <v>258</v>
      </c>
      <c r="R525" s="61"/>
      <c r="S525" s="61"/>
    </row>
    <row r="526" spans="1:19" ht="13.8" customHeight="1" x14ac:dyDescent="0.3">
      <c r="A526" s="73" t="s">
        <v>301</v>
      </c>
      <c r="B526" s="74">
        <f>IFERROR(INDEX('Boulder Sample Log'!A$5:A$204,MATCH(A526,'Boulder Sample Log'!E$5:E$204,0)),"")</f>
        <v>46126</v>
      </c>
      <c r="C526" s="73">
        <v>637</v>
      </c>
      <c r="D526" s="73" t="s">
        <v>256</v>
      </c>
      <c r="E526" s="73">
        <v>4</v>
      </c>
      <c r="F526" s="75">
        <v>8.9499999999999993</v>
      </c>
      <c r="G526" s="75">
        <v>72.64</v>
      </c>
      <c r="H526" s="75">
        <v>45.6</v>
      </c>
      <c r="I526" s="75">
        <v>87971.31</v>
      </c>
      <c r="J526" s="75">
        <v>620.73</v>
      </c>
      <c r="K526" s="75">
        <v>28484.61</v>
      </c>
      <c r="L526" s="75">
        <v>65.290000000000006</v>
      </c>
      <c r="M526" s="75">
        <v>25.87</v>
      </c>
      <c r="N526" s="75">
        <v>120.56</v>
      </c>
      <c r="O526" s="73">
        <v>4</v>
      </c>
      <c r="P526" s="73"/>
      <c r="Q526" s="66" t="s">
        <v>258</v>
      </c>
      <c r="R526" s="61"/>
      <c r="S526" s="61"/>
    </row>
    <row r="527" spans="1:19" ht="13.8" customHeight="1" x14ac:dyDescent="0.3">
      <c r="A527" s="70" t="s">
        <v>301</v>
      </c>
      <c r="B527" s="71">
        <f>IFERROR(INDEX('Boulder Sample Log'!A$5:A$204,MATCH(A527,'Boulder Sample Log'!E$5:E$204,0)),"")</f>
        <v>46126</v>
      </c>
      <c r="C527" s="70">
        <v>638</v>
      </c>
      <c r="D527" s="70" t="s">
        <v>256</v>
      </c>
      <c r="E527" s="70">
        <v>4</v>
      </c>
      <c r="F527" s="72">
        <v>8.57</v>
      </c>
      <c r="G527" s="72">
        <v>39.86</v>
      </c>
      <c r="H527" s="72">
        <v>22.61</v>
      </c>
      <c r="I527" s="72">
        <v>50168.39</v>
      </c>
      <c r="J527" s="72">
        <v>472.08</v>
      </c>
      <c r="K527" s="72">
        <v>16308.57</v>
      </c>
      <c r="L527" s="72">
        <v>67.239999999999995</v>
      </c>
      <c r="M527" s="72">
        <v>17.309999999999999</v>
      </c>
      <c r="N527" s="72">
        <v>120.45</v>
      </c>
      <c r="O527" s="70">
        <v>4</v>
      </c>
      <c r="P527" s="70"/>
      <c r="Q527" s="62" t="s">
        <v>258</v>
      </c>
      <c r="R527" s="61"/>
      <c r="S527" s="61"/>
    </row>
    <row r="528" spans="1:19" ht="13.8" customHeight="1" x14ac:dyDescent="0.3">
      <c r="A528" s="73" t="s">
        <v>301</v>
      </c>
      <c r="B528" s="74">
        <f>IFERROR(INDEX('Boulder Sample Log'!A$5:A$204,MATCH(A528,'Boulder Sample Log'!E$5:E$204,0)),"")</f>
        <v>46126</v>
      </c>
      <c r="C528" s="73">
        <v>639</v>
      </c>
      <c r="D528" s="73" t="s">
        <v>256</v>
      </c>
      <c r="E528" s="73">
        <v>5</v>
      </c>
      <c r="F528" s="73" t="s">
        <v>257</v>
      </c>
      <c r="G528" s="75">
        <v>11.3</v>
      </c>
      <c r="H528" s="75">
        <v>7.16</v>
      </c>
      <c r="I528" s="75">
        <v>49743.07</v>
      </c>
      <c r="J528" s="75">
        <v>684.15</v>
      </c>
      <c r="K528" s="75">
        <v>8204.91</v>
      </c>
      <c r="L528" s="75">
        <v>54.22</v>
      </c>
      <c r="M528" s="75">
        <v>10.08</v>
      </c>
      <c r="N528" s="75">
        <v>120.03</v>
      </c>
      <c r="O528" s="73">
        <v>4</v>
      </c>
      <c r="P528" s="73"/>
      <c r="Q528" s="66" t="s">
        <v>258</v>
      </c>
      <c r="R528" s="61"/>
      <c r="S528" s="61"/>
    </row>
    <row r="529" spans="1:19" ht="13.8" customHeight="1" x14ac:dyDescent="0.3">
      <c r="A529" s="70" t="s">
        <v>301</v>
      </c>
      <c r="B529" s="71">
        <f>IFERROR(INDEX('Boulder Sample Log'!A$5:A$204,MATCH(A529,'Boulder Sample Log'!E$5:E$204,0)),"")</f>
        <v>46126</v>
      </c>
      <c r="C529" s="70">
        <v>640</v>
      </c>
      <c r="D529" s="70" t="s">
        <v>256</v>
      </c>
      <c r="E529" s="70">
        <v>5</v>
      </c>
      <c r="F529" s="72">
        <v>3.75</v>
      </c>
      <c r="G529" s="70" t="s">
        <v>257</v>
      </c>
      <c r="H529" s="72">
        <v>6.83</v>
      </c>
      <c r="I529" s="72">
        <v>41300.959999999999</v>
      </c>
      <c r="J529" s="72">
        <v>1970.44</v>
      </c>
      <c r="K529" s="72">
        <v>3348.97</v>
      </c>
      <c r="L529" s="72">
        <v>62.32</v>
      </c>
      <c r="M529" s="72">
        <v>8.41</v>
      </c>
      <c r="N529" s="72">
        <v>120.6</v>
      </c>
      <c r="O529" s="70">
        <v>4</v>
      </c>
      <c r="P529" s="70"/>
      <c r="Q529" s="62" t="s">
        <v>258</v>
      </c>
      <c r="R529" s="61"/>
      <c r="S529" s="61"/>
    </row>
    <row r="530" spans="1:19" ht="13.8" customHeight="1" x14ac:dyDescent="0.3">
      <c r="A530" s="73" t="s">
        <v>301</v>
      </c>
      <c r="B530" s="74">
        <f>IFERROR(INDEX('Boulder Sample Log'!A$5:A$204,MATCH(A530,'Boulder Sample Log'!E$5:E$204,0)),"")</f>
        <v>46126</v>
      </c>
      <c r="C530" s="73">
        <v>641</v>
      </c>
      <c r="D530" s="73" t="s">
        <v>256</v>
      </c>
      <c r="E530" s="73">
        <v>5</v>
      </c>
      <c r="F530" s="73" t="s">
        <v>257</v>
      </c>
      <c r="G530" s="73" t="s">
        <v>257</v>
      </c>
      <c r="H530" s="75">
        <v>11.48</v>
      </c>
      <c r="I530" s="75">
        <v>38649.24</v>
      </c>
      <c r="J530" s="75">
        <v>1619.54</v>
      </c>
      <c r="K530" s="75">
        <v>4070.83</v>
      </c>
      <c r="L530" s="75">
        <v>58.66</v>
      </c>
      <c r="M530" s="75">
        <v>9.6300000000000008</v>
      </c>
      <c r="N530" s="75">
        <v>120.31</v>
      </c>
      <c r="O530" s="73">
        <v>4</v>
      </c>
      <c r="P530" s="73"/>
      <c r="Q530" s="66" t="s">
        <v>258</v>
      </c>
      <c r="R530" s="61"/>
      <c r="S530" s="61"/>
    </row>
    <row r="531" spans="1:19" ht="13.8" customHeight="1" x14ac:dyDescent="0.3">
      <c r="A531" s="70" t="s">
        <v>302</v>
      </c>
      <c r="B531" s="71">
        <f>IFERROR(INDEX('Boulder Sample Log'!A$5:A$204,MATCH(A531,'Boulder Sample Log'!E$5:E$204,0)),"")</f>
        <v>46126</v>
      </c>
      <c r="C531" s="70">
        <v>642</v>
      </c>
      <c r="D531" s="70" t="s">
        <v>256</v>
      </c>
      <c r="E531" s="70">
        <v>1</v>
      </c>
      <c r="F531" s="72">
        <v>4.09</v>
      </c>
      <c r="G531" s="70" t="s">
        <v>257</v>
      </c>
      <c r="H531" s="72">
        <v>8.0500000000000007</v>
      </c>
      <c r="I531" s="72">
        <v>30274.65</v>
      </c>
      <c r="J531" s="72">
        <v>516.53</v>
      </c>
      <c r="K531" s="72">
        <v>4711.51</v>
      </c>
      <c r="L531" s="72">
        <v>89.15</v>
      </c>
      <c r="M531" s="72">
        <v>7.59</v>
      </c>
      <c r="N531" s="72">
        <v>120.58</v>
      </c>
      <c r="O531" s="70">
        <v>4</v>
      </c>
      <c r="P531" s="70"/>
      <c r="Q531" s="62" t="s">
        <v>258</v>
      </c>
      <c r="R531" s="61"/>
      <c r="S531" s="61"/>
    </row>
    <row r="532" spans="1:19" ht="13.8" customHeight="1" x14ac:dyDescent="0.3">
      <c r="A532" s="73" t="s">
        <v>302</v>
      </c>
      <c r="B532" s="74">
        <f>IFERROR(INDEX('Boulder Sample Log'!A$5:A$204,MATCH(A532,'Boulder Sample Log'!E$5:E$204,0)),"")</f>
        <v>46126</v>
      </c>
      <c r="C532" s="73">
        <v>643</v>
      </c>
      <c r="D532" s="73" t="s">
        <v>256</v>
      </c>
      <c r="E532" s="73">
        <v>1</v>
      </c>
      <c r="F532" s="73" t="s">
        <v>257</v>
      </c>
      <c r="G532" s="73" t="s">
        <v>257</v>
      </c>
      <c r="H532" s="75">
        <v>8.02</v>
      </c>
      <c r="I532" s="75">
        <v>29946.34</v>
      </c>
      <c r="J532" s="75">
        <v>554.54999999999995</v>
      </c>
      <c r="K532" s="75">
        <v>1541.07</v>
      </c>
      <c r="L532" s="75">
        <v>72.23</v>
      </c>
      <c r="M532" s="73" t="s">
        <v>257</v>
      </c>
      <c r="N532" s="75">
        <v>120.32</v>
      </c>
      <c r="O532" s="73">
        <v>4</v>
      </c>
      <c r="P532" s="73"/>
      <c r="Q532" s="66" t="s">
        <v>258</v>
      </c>
      <c r="R532" s="61"/>
      <c r="S532" s="61"/>
    </row>
    <row r="533" spans="1:19" ht="13.8" customHeight="1" x14ac:dyDescent="0.3">
      <c r="A533" s="70" t="s">
        <v>302</v>
      </c>
      <c r="B533" s="71">
        <f>IFERROR(INDEX('Boulder Sample Log'!A$5:A$204,MATCH(A533,'Boulder Sample Log'!E$5:E$204,0)),"")</f>
        <v>46126</v>
      </c>
      <c r="C533" s="70">
        <v>644</v>
      </c>
      <c r="D533" s="70" t="s">
        <v>256</v>
      </c>
      <c r="E533" s="70">
        <v>2</v>
      </c>
      <c r="F533" s="70" t="s">
        <v>257</v>
      </c>
      <c r="G533" s="70" t="s">
        <v>257</v>
      </c>
      <c r="H533" s="72">
        <v>7.77</v>
      </c>
      <c r="I533" s="72">
        <v>31797.79</v>
      </c>
      <c r="J533" s="72">
        <v>564.11</v>
      </c>
      <c r="K533" s="72">
        <v>1161.55</v>
      </c>
      <c r="L533" s="72">
        <v>61.81</v>
      </c>
      <c r="M533" s="70" t="s">
        <v>257</v>
      </c>
      <c r="N533" s="72">
        <v>122.82</v>
      </c>
      <c r="O533" s="70">
        <v>4</v>
      </c>
      <c r="P533" s="70"/>
      <c r="Q533" s="62" t="s">
        <v>258</v>
      </c>
      <c r="R533" s="61"/>
      <c r="S533" s="61"/>
    </row>
    <row r="534" spans="1:19" ht="13.8" customHeight="1" x14ac:dyDescent="0.3">
      <c r="A534" s="73" t="s">
        <v>302</v>
      </c>
      <c r="B534" s="74">
        <f>IFERROR(INDEX('Boulder Sample Log'!A$5:A$204,MATCH(A534,'Boulder Sample Log'!E$5:E$204,0)),"")</f>
        <v>46126</v>
      </c>
      <c r="C534" s="73">
        <v>645</v>
      </c>
      <c r="D534" s="73" t="s">
        <v>256</v>
      </c>
      <c r="E534" s="73">
        <v>2</v>
      </c>
      <c r="F534" s="73" t="s">
        <v>257</v>
      </c>
      <c r="G534" s="73" t="s">
        <v>257</v>
      </c>
      <c r="H534" s="73" t="s">
        <v>257</v>
      </c>
      <c r="I534" s="73" t="s">
        <v>257</v>
      </c>
      <c r="J534" s="75">
        <v>414.02</v>
      </c>
      <c r="K534" s="75">
        <v>1687.87</v>
      </c>
      <c r="L534" s="73" t="s">
        <v>257</v>
      </c>
      <c r="M534" s="73" t="s">
        <v>257</v>
      </c>
      <c r="N534" s="75">
        <v>124.43</v>
      </c>
      <c r="O534" s="73">
        <v>4</v>
      </c>
      <c r="P534" s="73" t="s">
        <v>300</v>
      </c>
      <c r="Q534" s="66" t="s">
        <v>258</v>
      </c>
      <c r="R534" s="61"/>
      <c r="S534" s="61"/>
    </row>
    <row r="535" spans="1:19" ht="13.8" customHeight="1" x14ac:dyDescent="0.3">
      <c r="A535" s="70" t="s">
        <v>302</v>
      </c>
      <c r="B535" s="71">
        <f>IFERROR(INDEX('Boulder Sample Log'!A$5:A$204,MATCH(A535,'Boulder Sample Log'!E$5:E$204,0)),"")</f>
        <v>46126</v>
      </c>
      <c r="C535" s="70">
        <v>646</v>
      </c>
      <c r="D535" s="70" t="s">
        <v>256</v>
      </c>
      <c r="E535" s="70">
        <v>3</v>
      </c>
      <c r="F535" s="72">
        <v>2.8</v>
      </c>
      <c r="G535" s="70" t="s">
        <v>257</v>
      </c>
      <c r="H535" s="72">
        <v>7.52</v>
      </c>
      <c r="I535" s="72">
        <v>39395.94</v>
      </c>
      <c r="J535" s="72">
        <v>1172.3399999999999</v>
      </c>
      <c r="K535" s="72">
        <v>5773.45</v>
      </c>
      <c r="L535" s="72">
        <v>83.38</v>
      </c>
      <c r="M535" s="72">
        <v>17.22</v>
      </c>
      <c r="N535" s="72">
        <v>123.09</v>
      </c>
      <c r="O535" s="70">
        <v>4</v>
      </c>
      <c r="P535" s="70"/>
      <c r="Q535" s="62" t="s">
        <v>258</v>
      </c>
      <c r="R535" s="61"/>
      <c r="S535" s="61"/>
    </row>
    <row r="536" spans="1:19" ht="13.8" customHeight="1" x14ac:dyDescent="0.3">
      <c r="A536" s="73" t="s">
        <v>302</v>
      </c>
      <c r="B536" s="74">
        <f>IFERROR(INDEX('Boulder Sample Log'!A$5:A$204,MATCH(A536,'Boulder Sample Log'!E$5:E$204,0)),"")</f>
        <v>46126</v>
      </c>
      <c r="C536" s="73">
        <v>647</v>
      </c>
      <c r="D536" s="73" t="s">
        <v>256</v>
      </c>
      <c r="E536" s="73">
        <v>3</v>
      </c>
      <c r="F536" s="73" t="s">
        <v>257</v>
      </c>
      <c r="G536" s="73" t="s">
        <v>257</v>
      </c>
      <c r="H536" s="75">
        <v>8.2200000000000006</v>
      </c>
      <c r="I536" s="75">
        <v>54070.21</v>
      </c>
      <c r="J536" s="75">
        <v>1032.58</v>
      </c>
      <c r="K536" s="75">
        <v>6210</v>
      </c>
      <c r="L536" s="75">
        <v>112.58</v>
      </c>
      <c r="M536" s="75">
        <v>47.27</v>
      </c>
      <c r="N536" s="75">
        <v>122.88</v>
      </c>
      <c r="O536" s="73">
        <v>4</v>
      </c>
      <c r="P536" s="73"/>
      <c r="Q536" s="66" t="s">
        <v>258</v>
      </c>
      <c r="R536" s="61"/>
      <c r="S536" s="61"/>
    </row>
    <row r="537" spans="1:19" ht="13.8" customHeight="1" x14ac:dyDescent="0.3">
      <c r="A537" s="70" t="s">
        <v>302</v>
      </c>
      <c r="B537" s="71">
        <f>IFERROR(INDEX('Boulder Sample Log'!A$5:A$204,MATCH(A537,'Boulder Sample Log'!E$5:E$204,0)),"")</f>
        <v>46126</v>
      </c>
      <c r="C537" s="70">
        <v>648</v>
      </c>
      <c r="D537" s="70" t="s">
        <v>256</v>
      </c>
      <c r="E537" s="70">
        <v>4</v>
      </c>
      <c r="F537" s="72">
        <v>3.53</v>
      </c>
      <c r="G537" s="70" t="s">
        <v>257</v>
      </c>
      <c r="H537" s="72">
        <v>7.6</v>
      </c>
      <c r="I537" s="72">
        <v>32715.83</v>
      </c>
      <c r="J537" s="72">
        <v>570.53</v>
      </c>
      <c r="K537" s="72">
        <v>1441.28</v>
      </c>
      <c r="L537" s="72">
        <v>79.760000000000005</v>
      </c>
      <c r="M537" s="72">
        <v>16.86</v>
      </c>
      <c r="N537" s="72">
        <v>120.24</v>
      </c>
      <c r="O537" s="70">
        <v>4</v>
      </c>
      <c r="P537" s="70"/>
      <c r="Q537" s="62" t="s">
        <v>258</v>
      </c>
      <c r="R537" s="61"/>
      <c r="S537" s="61"/>
    </row>
    <row r="538" spans="1:19" ht="13.8" customHeight="1" x14ac:dyDescent="0.3">
      <c r="A538" s="73" t="s">
        <v>302</v>
      </c>
      <c r="B538" s="74">
        <f>IFERROR(INDEX('Boulder Sample Log'!A$5:A$204,MATCH(A538,'Boulder Sample Log'!E$5:E$204,0)),"")</f>
        <v>46126</v>
      </c>
      <c r="C538" s="73">
        <v>649</v>
      </c>
      <c r="D538" s="73" t="s">
        <v>256</v>
      </c>
      <c r="E538" s="73">
        <v>4</v>
      </c>
      <c r="F538" s="73" t="s">
        <v>257</v>
      </c>
      <c r="G538" s="73" t="s">
        <v>257</v>
      </c>
      <c r="H538" s="75">
        <v>7.66</v>
      </c>
      <c r="I538" s="75">
        <v>33474.5</v>
      </c>
      <c r="J538" s="75">
        <v>577.80999999999995</v>
      </c>
      <c r="K538" s="75">
        <v>1492.01</v>
      </c>
      <c r="L538" s="75">
        <v>82.6</v>
      </c>
      <c r="M538" s="75">
        <v>10.01</v>
      </c>
      <c r="N538" s="75">
        <v>122.92</v>
      </c>
      <c r="O538" s="73">
        <v>4</v>
      </c>
      <c r="P538" s="73"/>
      <c r="Q538" s="66" t="s">
        <v>258</v>
      </c>
      <c r="R538" s="61"/>
      <c r="S538" s="61"/>
    </row>
    <row r="539" spans="1:19" ht="13.8" customHeight="1" x14ac:dyDescent="0.3">
      <c r="A539" s="70" t="s">
        <v>302</v>
      </c>
      <c r="B539" s="71">
        <f>IFERROR(INDEX('Boulder Sample Log'!A$5:A$204,MATCH(A539,'Boulder Sample Log'!E$5:E$204,0)),"")</f>
        <v>46126</v>
      </c>
      <c r="C539" s="70">
        <v>650</v>
      </c>
      <c r="D539" s="70" t="s">
        <v>256</v>
      </c>
      <c r="E539" s="70">
        <v>5</v>
      </c>
      <c r="F539" s="72">
        <v>9.36</v>
      </c>
      <c r="G539" s="70" t="s">
        <v>257</v>
      </c>
      <c r="H539" s="72">
        <v>8.4700000000000006</v>
      </c>
      <c r="I539" s="72">
        <v>28567.78</v>
      </c>
      <c r="J539" s="72">
        <v>401.71</v>
      </c>
      <c r="K539" s="72">
        <v>14489.79</v>
      </c>
      <c r="L539" s="72">
        <v>46.87</v>
      </c>
      <c r="M539" s="72">
        <v>11.08</v>
      </c>
      <c r="N539" s="72">
        <v>122.91</v>
      </c>
      <c r="O539" s="70">
        <v>4</v>
      </c>
      <c r="P539" s="70"/>
      <c r="Q539" s="62" t="s">
        <v>258</v>
      </c>
      <c r="R539" s="61"/>
      <c r="S539" s="61"/>
    </row>
    <row r="540" spans="1:19" ht="13.8" customHeight="1" x14ac:dyDescent="0.3">
      <c r="A540" s="73" t="s">
        <v>302</v>
      </c>
      <c r="B540" s="74">
        <f>IFERROR(INDEX('Boulder Sample Log'!A$5:A$204,MATCH(A540,'Boulder Sample Log'!E$5:E$204,0)),"")</f>
        <v>46126</v>
      </c>
      <c r="C540" s="73">
        <v>651</v>
      </c>
      <c r="D540" s="73" t="s">
        <v>256</v>
      </c>
      <c r="E540" s="73">
        <v>5</v>
      </c>
      <c r="F540" s="75">
        <v>10.74</v>
      </c>
      <c r="G540" s="75">
        <v>2.2000000000000002</v>
      </c>
      <c r="H540" s="75">
        <v>5.78</v>
      </c>
      <c r="I540" s="75">
        <v>28594.65</v>
      </c>
      <c r="J540" s="75">
        <v>421.16</v>
      </c>
      <c r="K540" s="75">
        <v>14786.17</v>
      </c>
      <c r="L540" s="75">
        <v>43.78</v>
      </c>
      <c r="M540" s="75">
        <v>7.2</v>
      </c>
      <c r="N540" s="75">
        <v>120.45</v>
      </c>
      <c r="O540" s="73">
        <v>4</v>
      </c>
      <c r="P540" s="73"/>
      <c r="Q540" s="66" t="s">
        <v>258</v>
      </c>
      <c r="R540" s="61"/>
      <c r="S540" s="61"/>
    </row>
    <row r="541" spans="1:19" ht="13.8" customHeight="1" x14ac:dyDescent="0.3">
      <c r="A541" s="70" t="s">
        <v>303</v>
      </c>
      <c r="B541" s="71">
        <f>IFERROR(INDEX('Boulder Sample Log'!A$5:A$204,MATCH(A541,'Boulder Sample Log'!E$5:E$204,0)),"")</f>
        <v>46126</v>
      </c>
      <c r="C541" s="70">
        <v>652</v>
      </c>
      <c r="D541" s="70" t="s">
        <v>256</v>
      </c>
      <c r="E541" s="70">
        <v>1</v>
      </c>
      <c r="F541" s="72">
        <v>5.67</v>
      </c>
      <c r="G541" s="72">
        <v>14.31</v>
      </c>
      <c r="H541" s="72">
        <v>12.1</v>
      </c>
      <c r="I541" s="72">
        <v>7164.58</v>
      </c>
      <c r="J541" s="70" t="s">
        <v>257</v>
      </c>
      <c r="K541" s="72">
        <v>5688.74</v>
      </c>
      <c r="L541" s="70" t="s">
        <v>257</v>
      </c>
      <c r="M541" s="70" t="s">
        <v>257</v>
      </c>
      <c r="N541" s="72">
        <v>122.68</v>
      </c>
      <c r="O541" s="70">
        <v>4</v>
      </c>
      <c r="P541" s="70"/>
      <c r="Q541" s="62" t="s">
        <v>258</v>
      </c>
      <c r="R541" s="61"/>
      <c r="S541" s="61"/>
    </row>
    <row r="542" spans="1:19" ht="13.8" customHeight="1" x14ac:dyDescent="0.3">
      <c r="A542" s="73" t="s">
        <v>303</v>
      </c>
      <c r="B542" s="74">
        <f>IFERROR(INDEX('Boulder Sample Log'!A$5:A$204,MATCH(A542,'Boulder Sample Log'!E$5:E$204,0)),"")</f>
        <v>46126</v>
      </c>
      <c r="C542" s="73">
        <v>653</v>
      </c>
      <c r="D542" s="73" t="s">
        <v>256</v>
      </c>
      <c r="E542" s="73">
        <v>1</v>
      </c>
      <c r="F542" s="75">
        <v>10.119999999999999</v>
      </c>
      <c r="G542" s="75">
        <v>9.65</v>
      </c>
      <c r="H542" s="75">
        <v>6.13</v>
      </c>
      <c r="I542" s="75">
        <v>6089.5</v>
      </c>
      <c r="J542" s="73" t="s">
        <v>257</v>
      </c>
      <c r="K542" s="75">
        <v>5771.46</v>
      </c>
      <c r="L542" s="73" t="s">
        <v>257</v>
      </c>
      <c r="M542" s="73" t="s">
        <v>257</v>
      </c>
      <c r="N542" s="75">
        <v>122.67</v>
      </c>
      <c r="O542" s="73">
        <v>4</v>
      </c>
      <c r="P542" s="73"/>
      <c r="Q542" s="66" t="s">
        <v>258</v>
      </c>
      <c r="R542" s="61"/>
      <c r="S542" s="61"/>
    </row>
    <row r="543" spans="1:19" ht="13.8" customHeight="1" x14ac:dyDescent="0.3">
      <c r="A543" s="70" t="s">
        <v>303</v>
      </c>
      <c r="B543" s="71">
        <f>IFERROR(INDEX('Boulder Sample Log'!A$5:A$204,MATCH(A543,'Boulder Sample Log'!E$5:E$204,0)),"")</f>
        <v>46126</v>
      </c>
      <c r="C543" s="70">
        <v>654</v>
      </c>
      <c r="D543" s="70" t="s">
        <v>256</v>
      </c>
      <c r="E543" s="70">
        <v>2</v>
      </c>
      <c r="F543" s="72">
        <v>5.45</v>
      </c>
      <c r="G543" s="72">
        <v>2.0099999999999998</v>
      </c>
      <c r="H543" s="72">
        <v>10.81</v>
      </c>
      <c r="I543" s="72">
        <v>5813.77</v>
      </c>
      <c r="J543" s="70" t="s">
        <v>257</v>
      </c>
      <c r="K543" s="72">
        <v>13590.14</v>
      </c>
      <c r="L543" s="70" t="s">
        <v>257</v>
      </c>
      <c r="M543" s="70" t="s">
        <v>257</v>
      </c>
      <c r="N543" s="72">
        <v>123.06</v>
      </c>
      <c r="O543" s="70">
        <v>4</v>
      </c>
      <c r="P543" s="70"/>
      <c r="Q543" s="62" t="s">
        <v>258</v>
      </c>
      <c r="R543" s="61"/>
      <c r="S543" s="61"/>
    </row>
    <row r="544" spans="1:19" ht="13.8" customHeight="1" x14ac:dyDescent="0.3">
      <c r="A544" s="73" t="s">
        <v>303</v>
      </c>
      <c r="B544" s="74">
        <f>IFERROR(INDEX('Boulder Sample Log'!A$5:A$204,MATCH(A544,'Boulder Sample Log'!E$5:E$204,0)),"")</f>
        <v>46126</v>
      </c>
      <c r="C544" s="73">
        <v>656</v>
      </c>
      <c r="D544" s="73" t="s">
        <v>256</v>
      </c>
      <c r="E544" s="73">
        <v>2</v>
      </c>
      <c r="F544" s="73" t="s">
        <v>257</v>
      </c>
      <c r="G544" s="73" t="s">
        <v>257</v>
      </c>
      <c r="H544" s="75">
        <v>9.6199999999999992</v>
      </c>
      <c r="I544" s="75">
        <v>32253.88</v>
      </c>
      <c r="J544" s="75">
        <v>566.47</v>
      </c>
      <c r="K544" s="75">
        <v>756.56</v>
      </c>
      <c r="L544" s="75">
        <v>58.27</v>
      </c>
      <c r="M544" s="75">
        <v>14.85</v>
      </c>
      <c r="N544" s="75">
        <v>120.39</v>
      </c>
      <c r="O544" s="73">
        <v>4</v>
      </c>
      <c r="P544" s="73"/>
      <c r="Q544" s="66" t="s">
        <v>258</v>
      </c>
      <c r="R544" s="61"/>
      <c r="S544" s="61"/>
    </row>
    <row r="545" spans="1:19" ht="13.8" customHeight="1" x14ac:dyDescent="0.3">
      <c r="A545" s="70" t="s">
        <v>303</v>
      </c>
      <c r="B545" s="71">
        <f>IFERROR(INDEX('Boulder Sample Log'!A$5:A$204,MATCH(A545,'Boulder Sample Log'!E$5:E$204,0)),"")</f>
        <v>46126</v>
      </c>
      <c r="C545" s="70">
        <v>657</v>
      </c>
      <c r="D545" s="70" t="s">
        <v>256</v>
      </c>
      <c r="E545" s="70">
        <v>3</v>
      </c>
      <c r="F545" s="70" t="s">
        <v>257</v>
      </c>
      <c r="G545" s="70" t="s">
        <v>257</v>
      </c>
      <c r="H545" s="72">
        <v>9.59</v>
      </c>
      <c r="I545" s="72">
        <v>32231.46</v>
      </c>
      <c r="J545" s="72">
        <v>544.94000000000005</v>
      </c>
      <c r="K545" s="72">
        <v>776.72</v>
      </c>
      <c r="L545" s="72">
        <v>53.65</v>
      </c>
      <c r="M545" s="72">
        <v>15.45</v>
      </c>
      <c r="N545" s="72">
        <v>122.91</v>
      </c>
      <c r="O545" s="70">
        <v>4</v>
      </c>
      <c r="P545" s="70"/>
      <c r="Q545" s="62" t="s">
        <v>258</v>
      </c>
      <c r="R545" s="61"/>
      <c r="S545" s="61"/>
    </row>
    <row r="546" spans="1:19" ht="13.8" customHeight="1" x14ac:dyDescent="0.3">
      <c r="A546" s="73" t="s">
        <v>303</v>
      </c>
      <c r="B546" s="74">
        <f>IFERROR(INDEX('Boulder Sample Log'!A$5:A$204,MATCH(A546,'Boulder Sample Log'!E$5:E$204,0)),"")</f>
        <v>46126</v>
      </c>
      <c r="C546" s="73">
        <v>658</v>
      </c>
      <c r="D546" s="73" t="s">
        <v>256</v>
      </c>
      <c r="E546" s="73">
        <v>3</v>
      </c>
      <c r="F546" s="73" t="s">
        <v>257</v>
      </c>
      <c r="G546" s="75">
        <v>13.3</v>
      </c>
      <c r="H546" s="75">
        <v>13.26</v>
      </c>
      <c r="I546" s="75">
        <v>8659.01</v>
      </c>
      <c r="J546" s="73" t="s">
        <v>257</v>
      </c>
      <c r="K546" s="75">
        <v>12183.46</v>
      </c>
      <c r="L546" s="73" t="s">
        <v>257</v>
      </c>
      <c r="M546" s="73" t="s">
        <v>257</v>
      </c>
      <c r="N546" s="75">
        <v>123</v>
      </c>
      <c r="O546" s="73">
        <v>4</v>
      </c>
      <c r="P546" s="73"/>
      <c r="Q546" s="66" t="s">
        <v>258</v>
      </c>
      <c r="R546" s="61"/>
      <c r="S546" s="61"/>
    </row>
    <row r="547" spans="1:19" ht="13.8" customHeight="1" x14ac:dyDescent="0.3">
      <c r="A547" s="70" t="s">
        <v>303</v>
      </c>
      <c r="B547" s="71">
        <f>IFERROR(INDEX('Boulder Sample Log'!A$5:A$204,MATCH(A547,'Boulder Sample Log'!E$5:E$204,0)),"")</f>
        <v>46126</v>
      </c>
      <c r="C547" s="70">
        <v>659</v>
      </c>
      <c r="D547" s="70" t="s">
        <v>256</v>
      </c>
      <c r="E547" s="70">
        <v>4</v>
      </c>
      <c r="F547" s="70" t="s">
        <v>257</v>
      </c>
      <c r="G547" s="72">
        <v>2.95</v>
      </c>
      <c r="H547" s="72">
        <v>11.62</v>
      </c>
      <c r="I547" s="72">
        <v>4954.33</v>
      </c>
      <c r="J547" s="70" t="s">
        <v>257</v>
      </c>
      <c r="K547" s="72">
        <v>4641.17</v>
      </c>
      <c r="L547" s="70" t="s">
        <v>257</v>
      </c>
      <c r="M547" s="70" t="s">
        <v>257</v>
      </c>
      <c r="N547" s="72">
        <v>120.13</v>
      </c>
      <c r="O547" s="70">
        <v>4</v>
      </c>
      <c r="P547" s="70"/>
      <c r="Q547" s="62" t="s">
        <v>258</v>
      </c>
      <c r="R547" s="61"/>
      <c r="S547" s="61"/>
    </row>
    <row r="548" spans="1:19" ht="13.8" customHeight="1" x14ac:dyDescent="0.3">
      <c r="A548" s="73" t="s">
        <v>303</v>
      </c>
      <c r="B548" s="74">
        <f>IFERROR(INDEX('Boulder Sample Log'!A$5:A$204,MATCH(A548,'Boulder Sample Log'!E$5:E$204,0)),"")</f>
        <v>46126</v>
      </c>
      <c r="C548" s="73">
        <v>660</v>
      </c>
      <c r="D548" s="73" t="s">
        <v>256</v>
      </c>
      <c r="E548" s="73">
        <v>4</v>
      </c>
      <c r="F548" s="75">
        <v>2.71</v>
      </c>
      <c r="G548" s="75">
        <v>38.369999999999997</v>
      </c>
      <c r="H548" s="75">
        <v>13.03</v>
      </c>
      <c r="I548" s="75">
        <v>16096.02</v>
      </c>
      <c r="J548" s="73" t="s">
        <v>257</v>
      </c>
      <c r="K548" s="75">
        <v>3352.3</v>
      </c>
      <c r="L548" s="73" t="s">
        <v>257</v>
      </c>
      <c r="M548" s="73" t="s">
        <v>257</v>
      </c>
      <c r="N548" s="75">
        <v>122.79</v>
      </c>
      <c r="O548" s="73">
        <v>4</v>
      </c>
      <c r="P548" s="73"/>
      <c r="Q548" s="66" t="s">
        <v>258</v>
      </c>
      <c r="R548" s="61"/>
      <c r="S548" s="61"/>
    </row>
    <row r="549" spans="1:19" ht="13.8" customHeight="1" x14ac:dyDescent="0.3">
      <c r="A549" s="70" t="s">
        <v>303</v>
      </c>
      <c r="B549" s="71">
        <f>IFERROR(INDEX('Boulder Sample Log'!A$5:A$204,MATCH(A549,'Boulder Sample Log'!E$5:E$204,0)),"")</f>
        <v>46126</v>
      </c>
      <c r="C549" s="70">
        <v>661</v>
      </c>
      <c r="D549" s="70" t="s">
        <v>256</v>
      </c>
      <c r="E549" s="70">
        <v>4</v>
      </c>
      <c r="F549" s="72">
        <v>3.48</v>
      </c>
      <c r="G549" s="72">
        <v>36.64</v>
      </c>
      <c r="H549" s="72">
        <v>12.77</v>
      </c>
      <c r="I549" s="72">
        <v>15155.58</v>
      </c>
      <c r="J549" s="70" t="s">
        <v>257</v>
      </c>
      <c r="K549" s="72">
        <v>3608.42</v>
      </c>
      <c r="L549" s="70" t="s">
        <v>257</v>
      </c>
      <c r="M549" s="70" t="s">
        <v>257</v>
      </c>
      <c r="N549" s="72">
        <v>120.2</v>
      </c>
      <c r="O549" s="70">
        <v>4</v>
      </c>
      <c r="P549" s="70"/>
      <c r="Q549" s="62" t="s">
        <v>258</v>
      </c>
      <c r="R549" s="61"/>
      <c r="S549" s="61"/>
    </row>
    <row r="550" spans="1:19" ht="13.8" customHeight="1" x14ac:dyDescent="0.3">
      <c r="A550" s="73" t="s">
        <v>303</v>
      </c>
      <c r="B550" s="74">
        <f>IFERROR(INDEX('Boulder Sample Log'!A$5:A$204,MATCH(A550,'Boulder Sample Log'!E$5:E$204,0)),"")</f>
        <v>46126</v>
      </c>
      <c r="C550" s="73">
        <v>663</v>
      </c>
      <c r="D550" s="73" t="s">
        <v>256</v>
      </c>
      <c r="E550" s="73">
        <v>5</v>
      </c>
      <c r="F550" s="75">
        <v>3.35</v>
      </c>
      <c r="G550" s="73" t="s">
        <v>257</v>
      </c>
      <c r="H550" s="75">
        <v>6.81</v>
      </c>
      <c r="I550" s="75">
        <v>33352.21</v>
      </c>
      <c r="J550" s="75">
        <v>473.37</v>
      </c>
      <c r="K550" s="75">
        <v>4768.58</v>
      </c>
      <c r="L550" s="75">
        <v>72.34</v>
      </c>
      <c r="M550" s="75">
        <v>14.89</v>
      </c>
      <c r="N550" s="75">
        <v>123.07</v>
      </c>
      <c r="O550" s="73">
        <v>4</v>
      </c>
      <c r="P550" s="73"/>
      <c r="Q550" s="66" t="s">
        <v>258</v>
      </c>
      <c r="R550" s="61"/>
      <c r="S550" s="61"/>
    </row>
    <row r="551" spans="1:19" ht="13.8" customHeight="1" x14ac:dyDescent="0.3">
      <c r="A551" s="70" t="s">
        <v>303</v>
      </c>
      <c r="B551" s="71">
        <f>IFERROR(INDEX('Boulder Sample Log'!A$5:A$204,MATCH(A551,'Boulder Sample Log'!E$5:E$204,0)),"")</f>
        <v>46126</v>
      </c>
      <c r="C551" s="70">
        <v>664</v>
      </c>
      <c r="D551" s="70" t="s">
        <v>256</v>
      </c>
      <c r="E551" s="70">
        <v>5</v>
      </c>
      <c r="F551" s="70" t="s">
        <v>257</v>
      </c>
      <c r="G551" s="70" t="s">
        <v>257</v>
      </c>
      <c r="H551" s="70" t="s">
        <v>257</v>
      </c>
      <c r="I551" s="70" t="s">
        <v>257</v>
      </c>
      <c r="J551" s="72">
        <v>507.94</v>
      </c>
      <c r="K551" s="72">
        <v>8040.76</v>
      </c>
      <c r="L551" s="70" t="s">
        <v>257</v>
      </c>
      <c r="M551" s="70" t="s">
        <v>257</v>
      </c>
      <c r="N551" s="72">
        <v>124.11</v>
      </c>
      <c r="O551" s="70">
        <v>4</v>
      </c>
      <c r="P551" s="70" t="s">
        <v>300</v>
      </c>
      <c r="Q551" s="62" t="s">
        <v>258</v>
      </c>
      <c r="R551" s="61"/>
      <c r="S551" s="61"/>
    </row>
    <row r="552" spans="1:19" ht="13.8" customHeight="1" x14ac:dyDescent="0.3">
      <c r="A552" s="73" t="s">
        <v>304</v>
      </c>
      <c r="B552" s="74">
        <f>IFERROR(INDEX('Boulder Sample Log'!A$5:A$204,MATCH(A552,'Boulder Sample Log'!E$5:E$204,0)),"")</f>
        <v>46127</v>
      </c>
      <c r="C552" s="73">
        <v>670</v>
      </c>
      <c r="D552" s="73" t="s">
        <v>256</v>
      </c>
      <c r="E552" s="73">
        <v>1</v>
      </c>
      <c r="F552" s="75">
        <v>5.33</v>
      </c>
      <c r="G552" s="75">
        <v>50.31</v>
      </c>
      <c r="H552" s="75">
        <v>8.39</v>
      </c>
      <c r="I552" s="75">
        <v>6459.06</v>
      </c>
      <c r="J552" s="73" t="s">
        <v>257</v>
      </c>
      <c r="K552" s="75">
        <v>2841.66</v>
      </c>
      <c r="L552" s="73" t="s">
        <v>257</v>
      </c>
      <c r="M552" s="73" t="s">
        <v>257</v>
      </c>
      <c r="N552" s="76">
        <v>120.2</v>
      </c>
      <c r="O552" s="73">
        <v>4</v>
      </c>
      <c r="P552" s="73"/>
      <c r="Q552" s="66" t="s">
        <v>258</v>
      </c>
      <c r="R552" s="61"/>
      <c r="S552" s="61"/>
    </row>
    <row r="553" spans="1:19" ht="13.8" customHeight="1" x14ac:dyDescent="0.3">
      <c r="A553" s="70" t="s">
        <v>304</v>
      </c>
      <c r="B553" s="71">
        <f>IFERROR(INDEX('Boulder Sample Log'!A$5:A$204,MATCH(A553,'Boulder Sample Log'!E$5:E$204,0)),"")</f>
        <v>46127</v>
      </c>
      <c r="C553" s="70">
        <v>671</v>
      </c>
      <c r="D553" s="70" t="s">
        <v>256</v>
      </c>
      <c r="E553" s="70">
        <v>1</v>
      </c>
      <c r="F553" s="72">
        <v>5.73</v>
      </c>
      <c r="G553" s="72">
        <v>33.799999999999997</v>
      </c>
      <c r="H553" s="72">
        <v>7.67</v>
      </c>
      <c r="I553" s="72">
        <v>4492.88</v>
      </c>
      <c r="J553" s="70" t="s">
        <v>257</v>
      </c>
      <c r="K553" s="72">
        <v>2925.81</v>
      </c>
      <c r="L553" s="70" t="s">
        <v>257</v>
      </c>
      <c r="M553" s="70" t="s">
        <v>257</v>
      </c>
      <c r="N553" s="77">
        <v>120.6</v>
      </c>
      <c r="O553" s="70">
        <v>4</v>
      </c>
      <c r="P553" s="70"/>
      <c r="Q553" s="62" t="s">
        <v>258</v>
      </c>
      <c r="R553" s="61"/>
      <c r="S553" s="61"/>
    </row>
    <row r="554" spans="1:19" ht="13.8" customHeight="1" x14ac:dyDescent="0.3">
      <c r="A554" s="73" t="s">
        <v>304</v>
      </c>
      <c r="B554" s="74">
        <f>IFERROR(INDEX('Boulder Sample Log'!A$5:A$204,MATCH(A554,'Boulder Sample Log'!E$5:E$204,0)),"")</f>
        <v>46127</v>
      </c>
      <c r="C554" s="73">
        <v>672</v>
      </c>
      <c r="D554" s="73" t="s">
        <v>256</v>
      </c>
      <c r="E554" s="73">
        <v>2</v>
      </c>
      <c r="F554" s="75">
        <v>2.88</v>
      </c>
      <c r="G554" s="73" t="s">
        <v>257</v>
      </c>
      <c r="H554" s="75">
        <v>9.9499999999999993</v>
      </c>
      <c r="I554" s="75">
        <v>24065</v>
      </c>
      <c r="J554" s="75">
        <v>375.73</v>
      </c>
      <c r="K554" s="75">
        <v>839.67</v>
      </c>
      <c r="L554" s="75">
        <v>95.68</v>
      </c>
      <c r="M554" s="75">
        <v>12.5</v>
      </c>
      <c r="N554" s="76">
        <v>120.4</v>
      </c>
      <c r="O554" s="73">
        <v>4</v>
      </c>
      <c r="P554" s="73"/>
      <c r="Q554" s="66" t="s">
        <v>258</v>
      </c>
      <c r="R554" s="61"/>
      <c r="S554" s="61"/>
    </row>
    <row r="555" spans="1:19" ht="13.8" customHeight="1" x14ac:dyDescent="0.3">
      <c r="A555" s="70" t="s">
        <v>304</v>
      </c>
      <c r="B555" s="71">
        <f>IFERROR(INDEX('Boulder Sample Log'!A$5:A$204,MATCH(A555,'Boulder Sample Log'!E$5:E$204,0)),"")</f>
        <v>46127</v>
      </c>
      <c r="C555" s="70">
        <v>673</v>
      </c>
      <c r="D555" s="70" t="s">
        <v>256</v>
      </c>
      <c r="E555" s="70">
        <v>2</v>
      </c>
      <c r="F555" s="70" t="s">
        <v>257</v>
      </c>
      <c r="G555" s="70" t="s">
        <v>257</v>
      </c>
      <c r="H555" s="72">
        <v>8.43</v>
      </c>
      <c r="I555" s="72">
        <v>24469.27</v>
      </c>
      <c r="J555" s="72">
        <v>411.52</v>
      </c>
      <c r="K555" s="72">
        <v>885.72</v>
      </c>
      <c r="L555" s="72">
        <v>92.55</v>
      </c>
      <c r="M555" s="72">
        <v>13.45</v>
      </c>
      <c r="N555" s="77">
        <v>122.8</v>
      </c>
      <c r="O555" s="70">
        <v>4</v>
      </c>
      <c r="P555" s="70"/>
      <c r="Q555" s="62" t="s">
        <v>258</v>
      </c>
      <c r="R555" s="61"/>
      <c r="S555" s="61"/>
    </row>
    <row r="556" spans="1:19" ht="13.8" customHeight="1" x14ac:dyDescent="0.3">
      <c r="A556" s="73" t="s">
        <v>304</v>
      </c>
      <c r="B556" s="74">
        <f>IFERROR(INDEX('Boulder Sample Log'!A$5:A$204,MATCH(A556,'Boulder Sample Log'!E$5:E$204,0)),"")</f>
        <v>46127</v>
      </c>
      <c r="C556" s="73">
        <v>674</v>
      </c>
      <c r="D556" s="73" t="s">
        <v>256</v>
      </c>
      <c r="E556" s="73">
        <v>3</v>
      </c>
      <c r="F556" s="73" t="s">
        <v>257</v>
      </c>
      <c r="G556" s="73" t="s">
        <v>257</v>
      </c>
      <c r="H556" s="75">
        <v>9.35</v>
      </c>
      <c r="I556" s="75">
        <v>23497.83</v>
      </c>
      <c r="J556" s="75">
        <v>353.8</v>
      </c>
      <c r="K556" s="75">
        <v>1919.54</v>
      </c>
      <c r="L556" s="75">
        <v>145.07</v>
      </c>
      <c r="M556" s="75">
        <v>16.23</v>
      </c>
      <c r="N556" s="76">
        <v>123</v>
      </c>
      <c r="O556" s="73">
        <v>4</v>
      </c>
      <c r="P556" s="73"/>
      <c r="Q556" s="66" t="s">
        <v>258</v>
      </c>
      <c r="R556" s="61"/>
      <c r="S556" s="61"/>
    </row>
    <row r="557" spans="1:19" ht="13.8" customHeight="1" x14ac:dyDescent="0.3">
      <c r="A557" s="70" t="s">
        <v>304</v>
      </c>
      <c r="B557" s="71">
        <f>IFERROR(INDEX('Boulder Sample Log'!A$5:A$204,MATCH(A557,'Boulder Sample Log'!E$5:E$204,0)),"")</f>
        <v>46127</v>
      </c>
      <c r="C557" s="70">
        <v>675</v>
      </c>
      <c r="D557" s="70" t="s">
        <v>256</v>
      </c>
      <c r="E557" s="70">
        <v>3</v>
      </c>
      <c r="F557" s="70" t="s">
        <v>257</v>
      </c>
      <c r="G557" s="70" t="s">
        <v>257</v>
      </c>
      <c r="H557" s="72">
        <v>9.3800000000000008</v>
      </c>
      <c r="I557" s="72">
        <v>21749.4</v>
      </c>
      <c r="J557" s="72">
        <v>325.19</v>
      </c>
      <c r="K557" s="72">
        <v>2067.9</v>
      </c>
      <c r="L557" s="72">
        <v>117.82</v>
      </c>
      <c r="M557" s="72">
        <v>10.25</v>
      </c>
      <c r="N557" s="77">
        <v>120.3</v>
      </c>
      <c r="O557" s="70">
        <v>4</v>
      </c>
      <c r="P557" s="70"/>
      <c r="Q557" s="62" t="s">
        <v>258</v>
      </c>
      <c r="R557" s="61"/>
      <c r="S557" s="61"/>
    </row>
    <row r="558" spans="1:19" ht="13.8" customHeight="1" x14ac:dyDescent="0.3">
      <c r="A558" s="73" t="s">
        <v>304</v>
      </c>
      <c r="B558" s="74">
        <f>IFERROR(INDEX('Boulder Sample Log'!A$5:A$204,MATCH(A558,'Boulder Sample Log'!E$5:E$204,0)),"")</f>
        <v>46127</v>
      </c>
      <c r="C558" s="73">
        <v>676</v>
      </c>
      <c r="D558" s="73" t="s">
        <v>256</v>
      </c>
      <c r="E558" s="73">
        <v>4</v>
      </c>
      <c r="F558" s="75">
        <v>25.16</v>
      </c>
      <c r="G558" s="73" t="s">
        <v>257</v>
      </c>
      <c r="H558" s="75">
        <v>9.56</v>
      </c>
      <c r="I558" s="75">
        <v>18760.47</v>
      </c>
      <c r="J558" s="75">
        <v>101.12</v>
      </c>
      <c r="K558" s="75">
        <v>1297.99</v>
      </c>
      <c r="L558" s="75">
        <v>68.540000000000006</v>
      </c>
      <c r="M558" s="75">
        <v>7.31</v>
      </c>
      <c r="N558" s="76">
        <v>120.1</v>
      </c>
      <c r="O558" s="73">
        <v>4</v>
      </c>
      <c r="P558" s="73"/>
      <c r="Q558" s="66" t="s">
        <v>258</v>
      </c>
      <c r="R558" s="61"/>
      <c r="S558" s="61"/>
    </row>
    <row r="559" spans="1:19" ht="13.8" customHeight="1" x14ac:dyDescent="0.3">
      <c r="A559" s="70" t="s">
        <v>304</v>
      </c>
      <c r="B559" s="71">
        <f>IFERROR(INDEX('Boulder Sample Log'!A$5:A$204,MATCH(A559,'Boulder Sample Log'!E$5:E$204,0)),"")</f>
        <v>46127</v>
      </c>
      <c r="C559" s="70">
        <v>677</v>
      </c>
      <c r="D559" s="70" t="s">
        <v>256</v>
      </c>
      <c r="E559" s="70">
        <v>4</v>
      </c>
      <c r="F559" s="72">
        <v>28.59</v>
      </c>
      <c r="G559" s="70" t="s">
        <v>257</v>
      </c>
      <c r="H559" s="72">
        <v>7.32</v>
      </c>
      <c r="I559" s="72">
        <v>21500.7</v>
      </c>
      <c r="J559" s="72">
        <v>171.88</v>
      </c>
      <c r="K559" s="72">
        <v>1231.21</v>
      </c>
      <c r="L559" s="72">
        <v>85.85</v>
      </c>
      <c r="M559" s="72">
        <v>6.14</v>
      </c>
      <c r="N559" s="77">
        <v>120.4</v>
      </c>
      <c r="O559" s="70">
        <v>4</v>
      </c>
      <c r="P559" s="70"/>
      <c r="Q559" s="62" t="s">
        <v>258</v>
      </c>
      <c r="R559" s="61"/>
      <c r="S559" s="61"/>
    </row>
    <row r="560" spans="1:19" ht="13.8" customHeight="1" x14ac:dyDescent="0.3">
      <c r="A560" s="73" t="s">
        <v>304</v>
      </c>
      <c r="B560" s="74">
        <f>IFERROR(INDEX('Boulder Sample Log'!A$5:A$204,MATCH(A560,'Boulder Sample Log'!E$5:E$204,0)),"")</f>
        <v>46127</v>
      </c>
      <c r="C560" s="73">
        <v>678</v>
      </c>
      <c r="D560" s="73" t="s">
        <v>256</v>
      </c>
      <c r="E560" s="73">
        <v>5</v>
      </c>
      <c r="F560" s="75">
        <v>328.29</v>
      </c>
      <c r="G560" s="75">
        <v>17.02</v>
      </c>
      <c r="H560" s="73" t="s">
        <v>257</v>
      </c>
      <c r="I560" s="75">
        <v>6049.79</v>
      </c>
      <c r="J560" s="73" t="s">
        <v>257</v>
      </c>
      <c r="K560" s="75">
        <v>2441.92</v>
      </c>
      <c r="L560" s="73" t="s">
        <v>257</v>
      </c>
      <c r="M560" s="73" t="s">
        <v>257</v>
      </c>
      <c r="N560" s="76">
        <v>120.5</v>
      </c>
      <c r="O560" s="73">
        <v>4</v>
      </c>
      <c r="P560" s="73"/>
      <c r="Q560" s="66" t="s">
        <v>258</v>
      </c>
      <c r="R560" s="61"/>
      <c r="S560" s="61"/>
    </row>
    <row r="561" spans="1:19" ht="13.8" customHeight="1" x14ac:dyDescent="0.3">
      <c r="A561" s="70" t="s">
        <v>304</v>
      </c>
      <c r="B561" s="71">
        <f>IFERROR(INDEX('Boulder Sample Log'!A$5:A$204,MATCH(A561,'Boulder Sample Log'!E$5:E$204,0)),"")</f>
        <v>46127</v>
      </c>
      <c r="C561" s="70">
        <v>679</v>
      </c>
      <c r="D561" s="70" t="s">
        <v>256</v>
      </c>
      <c r="E561" s="70">
        <v>5</v>
      </c>
      <c r="F561" s="72">
        <v>334.81</v>
      </c>
      <c r="G561" s="72">
        <v>15.71</v>
      </c>
      <c r="H561" s="70" t="s">
        <v>257</v>
      </c>
      <c r="I561" s="72">
        <v>5817.76</v>
      </c>
      <c r="J561" s="70" t="s">
        <v>257</v>
      </c>
      <c r="K561" s="72">
        <v>2516.0100000000002</v>
      </c>
      <c r="L561" s="70" t="s">
        <v>257</v>
      </c>
      <c r="M561" s="70" t="s">
        <v>257</v>
      </c>
      <c r="N561" s="77">
        <v>120.5</v>
      </c>
      <c r="O561" s="70">
        <v>4</v>
      </c>
      <c r="P561" s="70"/>
      <c r="Q561" s="62" t="s">
        <v>258</v>
      </c>
      <c r="R561" s="61"/>
      <c r="S561" s="61"/>
    </row>
    <row r="562" spans="1:19" ht="13.8" customHeight="1" x14ac:dyDescent="0.3">
      <c r="A562" s="73" t="s">
        <v>305</v>
      </c>
      <c r="B562" s="74">
        <f>IFERROR(INDEX('Boulder Sample Log'!A$5:A$204,MATCH(A562,'Boulder Sample Log'!E$5:E$204,0)),"")</f>
        <v>46127</v>
      </c>
      <c r="C562" s="73">
        <v>680</v>
      </c>
      <c r="D562" s="73" t="s">
        <v>256</v>
      </c>
      <c r="E562" s="73">
        <v>1</v>
      </c>
      <c r="F562" s="75">
        <v>2.96</v>
      </c>
      <c r="G562" s="73" t="s">
        <v>257</v>
      </c>
      <c r="H562" s="75">
        <v>13.86</v>
      </c>
      <c r="I562" s="75">
        <v>3207.35</v>
      </c>
      <c r="J562" s="73" t="s">
        <v>257</v>
      </c>
      <c r="K562" s="75">
        <v>2077.1799999999998</v>
      </c>
      <c r="L562" s="73" t="s">
        <v>257</v>
      </c>
      <c r="M562" s="73" t="s">
        <v>257</v>
      </c>
      <c r="N562" s="76">
        <v>120.6</v>
      </c>
      <c r="O562" s="73">
        <v>4</v>
      </c>
      <c r="P562" s="73"/>
      <c r="Q562" s="66" t="s">
        <v>258</v>
      </c>
      <c r="R562" s="61"/>
      <c r="S562" s="61"/>
    </row>
    <row r="563" spans="1:19" ht="13.8" customHeight="1" x14ac:dyDescent="0.3">
      <c r="A563" s="70" t="s">
        <v>305</v>
      </c>
      <c r="B563" s="71">
        <f>IFERROR(INDEX('Boulder Sample Log'!A$5:A$204,MATCH(A563,'Boulder Sample Log'!E$5:E$204,0)),"")</f>
        <v>46127</v>
      </c>
      <c r="C563" s="70">
        <v>681</v>
      </c>
      <c r="D563" s="70" t="s">
        <v>256</v>
      </c>
      <c r="E563" s="70">
        <v>1</v>
      </c>
      <c r="F563" s="72">
        <v>3.62</v>
      </c>
      <c r="G563" s="70" t="s">
        <v>257</v>
      </c>
      <c r="H563" s="72">
        <v>12.68</v>
      </c>
      <c r="I563" s="72">
        <v>3358.63</v>
      </c>
      <c r="J563" s="70" t="s">
        <v>257</v>
      </c>
      <c r="K563" s="72">
        <v>2207.48</v>
      </c>
      <c r="L563" s="70" t="s">
        <v>257</v>
      </c>
      <c r="M563" s="70" t="s">
        <v>257</v>
      </c>
      <c r="N563" s="77">
        <v>122.9</v>
      </c>
      <c r="O563" s="70">
        <v>4</v>
      </c>
      <c r="P563" s="70"/>
      <c r="Q563" s="62" t="s">
        <v>258</v>
      </c>
      <c r="R563" s="61"/>
      <c r="S563" s="61"/>
    </row>
    <row r="564" spans="1:19" ht="13.8" customHeight="1" x14ac:dyDescent="0.3">
      <c r="A564" s="73" t="s">
        <v>305</v>
      </c>
      <c r="B564" s="74">
        <f>IFERROR(INDEX('Boulder Sample Log'!A$5:A$204,MATCH(A564,'Boulder Sample Log'!E$5:E$204,0)),"")</f>
        <v>46127</v>
      </c>
      <c r="C564" s="73">
        <v>682</v>
      </c>
      <c r="D564" s="73" t="s">
        <v>256</v>
      </c>
      <c r="E564" s="73">
        <v>1</v>
      </c>
      <c r="F564" s="75">
        <v>7.9</v>
      </c>
      <c r="G564" s="73" t="s">
        <v>257</v>
      </c>
      <c r="H564" s="75">
        <v>41.9</v>
      </c>
      <c r="I564" s="75">
        <v>3460.63</v>
      </c>
      <c r="J564" s="73" t="s">
        <v>257</v>
      </c>
      <c r="K564" s="75">
        <v>4409.66</v>
      </c>
      <c r="L564" s="73" t="s">
        <v>257</v>
      </c>
      <c r="M564" s="73" t="s">
        <v>257</v>
      </c>
      <c r="N564" s="76">
        <v>120.2</v>
      </c>
      <c r="O564" s="73">
        <v>4</v>
      </c>
      <c r="P564" s="73"/>
      <c r="Q564" s="66" t="s">
        <v>258</v>
      </c>
      <c r="R564" s="61"/>
      <c r="S564" s="61"/>
    </row>
    <row r="565" spans="1:19" ht="13.8" customHeight="1" x14ac:dyDescent="0.3">
      <c r="A565" s="70" t="s">
        <v>305</v>
      </c>
      <c r="B565" s="71">
        <f>IFERROR(INDEX('Boulder Sample Log'!A$5:A$204,MATCH(A565,'Boulder Sample Log'!E$5:E$204,0)),"")</f>
        <v>46127</v>
      </c>
      <c r="C565" s="70">
        <v>683</v>
      </c>
      <c r="D565" s="70" t="s">
        <v>256</v>
      </c>
      <c r="E565" s="70">
        <v>2</v>
      </c>
      <c r="F565" s="70" t="s">
        <v>257</v>
      </c>
      <c r="G565" s="70" t="s">
        <v>257</v>
      </c>
      <c r="H565" s="72">
        <v>39.44</v>
      </c>
      <c r="I565" s="72">
        <v>2254.84</v>
      </c>
      <c r="J565" s="70" t="s">
        <v>257</v>
      </c>
      <c r="K565" s="72">
        <v>4687.62</v>
      </c>
      <c r="L565" s="70" t="s">
        <v>257</v>
      </c>
      <c r="M565" s="70" t="s">
        <v>257</v>
      </c>
      <c r="N565" s="77">
        <v>120.1</v>
      </c>
      <c r="O565" s="70">
        <v>4</v>
      </c>
      <c r="P565" s="70"/>
      <c r="Q565" s="62" t="s">
        <v>258</v>
      </c>
      <c r="R565" s="61"/>
      <c r="S565" s="61"/>
    </row>
    <row r="566" spans="1:19" ht="13.8" customHeight="1" x14ac:dyDescent="0.3">
      <c r="A566" s="73" t="s">
        <v>305</v>
      </c>
      <c r="B566" s="74">
        <f>IFERROR(INDEX('Boulder Sample Log'!A$5:A$204,MATCH(A566,'Boulder Sample Log'!E$5:E$204,0)),"")</f>
        <v>46127</v>
      </c>
      <c r="C566" s="73">
        <v>684</v>
      </c>
      <c r="D566" s="73" t="s">
        <v>256</v>
      </c>
      <c r="E566" s="73">
        <v>2</v>
      </c>
      <c r="F566" s="75">
        <v>5.18</v>
      </c>
      <c r="G566" s="73" t="s">
        <v>257</v>
      </c>
      <c r="H566" s="75">
        <v>23.67</v>
      </c>
      <c r="I566" s="75">
        <v>5255.18</v>
      </c>
      <c r="J566" s="73" t="s">
        <v>257</v>
      </c>
      <c r="K566" s="75">
        <v>4718.74</v>
      </c>
      <c r="L566" s="73" t="s">
        <v>257</v>
      </c>
      <c r="M566" s="73" t="s">
        <v>257</v>
      </c>
      <c r="N566" s="76">
        <v>122.8</v>
      </c>
      <c r="O566" s="73">
        <v>4</v>
      </c>
      <c r="P566" s="73"/>
      <c r="Q566" s="66" t="s">
        <v>258</v>
      </c>
      <c r="R566" s="61"/>
      <c r="S566" s="61"/>
    </row>
    <row r="567" spans="1:19" ht="13.8" customHeight="1" x14ac:dyDescent="0.3">
      <c r="A567" s="70" t="s">
        <v>305</v>
      </c>
      <c r="B567" s="71">
        <f>IFERROR(INDEX('Boulder Sample Log'!A$5:A$204,MATCH(A567,'Boulder Sample Log'!E$5:E$204,0)),"")</f>
        <v>46127</v>
      </c>
      <c r="C567" s="70">
        <v>685</v>
      </c>
      <c r="D567" s="70" t="s">
        <v>256</v>
      </c>
      <c r="E567" s="70">
        <v>3</v>
      </c>
      <c r="F567" s="72">
        <v>11.25</v>
      </c>
      <c r="G567" s="70" t="s">
        <v>257</v>
      </c>
      <c r="H567" s="70" t="s">
        <v>257</v>
      </c>
      <c r="I567" s="72">
        <v>600.84</v>
      </c>
      <c r="J567" s="70" t="s">
        <v>257</v>
      </c>
      <c r="K567" s="72">
        <v>898.35</v>
      </c>
      <c r="L567" s="70" t="s">
        <v>257</v>
      </c>
      <c r="M567" s="70" t="s">
        <v>257</v>
      </c>
      <c r="N567" s="77">
        <v>122.9</v>
      </c>
      <c r="O567" s="70">
        <v>4</v>
      </c>
      <c r="P567" s="70"/>
      <c r="Q567" s="62" t="s">
        <v>258</v>
      </c>
      <c r="R567" s="61"/>
      <c r="S567" s="61"/>
    </row>
    <row r="568" spans="1:19" ht="13.8" customHeight="1" x14ac:dyDescent="0.3">
      <c r="A568" s="73" t="s">
        <v>305</v>
      </c>
      <c r="B568" s="74">
        <f>IFERROR(INDEX('Boulder Sample Log'!A$5:A$204,MATCH(A568,'Boulder Sample Log'!E$5:E$204,0)),"")</f>
        <v>46127</v>
      </c>
      <c r="C568" s="73">
        <v>686</v>
      </c>
      <c r="D568" s="73" t="s">
        <v>256</v>
      </c>
      <c r="E568" s="73">
        <v>3</v>
      </c>
      <c r="F568" s="75">
        <v>9.67</v>
      </c>
      <c r="G568" s="73" t="s">
        <v>257</v>
      </c>
      <c r="H568" s="73" t="s">
        <v>257</v>
      </c>
      <c r="I568" s="75">
        <v>545.6</v>
      </c>
      <c r="J568" s="73" t="s">
        <v>257</v>
      </c>
      <c r="K568" s="75">
        <v>869.6</v>
      </c>
      <c r="L568" s="73" t="s">
        <v>257</v>
      </c>
      <c r="M568" s="73" t="s">
        <v>257</v>
      </c>
      <c r="N568" s="76">
        <v>120.5</v>
      </c>
      <c r="O568" s="73">
        <v>4</v>
      </c>
      <c r="P568" s="73"/>
      <c r="Q568" s="66" t="s">
        <v>258</v>
      </c>
      <c r="R568" s="61"/>
      <c r="S568" s="61"/>
    </row>
    <row r="569" spans="1:19" ht="13.8" customHeight="1" x14ac:dyDescent="0.3">
      <c r="A569" s="70" t="s">
        <v>305</v>
      </c>
      <c r="B569" s="71">
        <f>IFERROR(INDEX('Boulder Sample Log'!A$5:A$204,MATCH(A569,'Boulder Sample Log'!E$5:E$204,0)),"")</f>
        <v>46127</v>
      </c>
      <c r="C569" s="70">
        <v>687</v>
      </c>
      <c r="D569" s="70" t="s">
        <v>256</v>
      </c>
      <c r="E569" s="70">
        <v>4</v>
      </c>
      <c r="F569" s="72">
        <v>7.47</v>
      </c>
      <c r="G569" s="70" t="s">
        <v>257</v>
      </c>
      <c r="H569" s="72">
        <v>20.41</v>
      </c>
      <c r="I569" s="72">
        <v>515.82000000000005</v>
      </c>
      <c r="J569" s="70" t="s">
        <v>257</v>
      </c>
      <c r="K569" s="72">
        <v>2159.48</v>
      </c>
      <c r="L569" s="70" t="s">
        <v>257</v>
      </c>
      <c r="M569" s="70" t="s">
        <v>257</v>
      </c>
      <c r="N569" s="77">
        <v>112.8</v>
      </c>
      <c r="O569" s="70">
        <v>4</v>
      </c>
      <c r="P569" s="70"/>
      <c r="Q569" s="62" t="s">
        <v>258</v>
      </c>
      <c r="R569" s="61"/>
      <c r="S569" s="61"/>
    </row>
    <row r="570" spans="1:19" ht="13.8" customHeight="1" x14ac:dyDescent="0.3">
      <c r="A570" s="73" t="s">
        <v>305</v>
      </c>
      <c r="B570" s="74">
        <f>IFERROR(INDEX('Boulder Sample Log'!A$5:A$204,MATCH(A570,'Boulder Sample Log'!E$5:E$204,0)),"")</f>
        <v>46127</v>
      </c>
      <c r="C570" s="73">
        <v>688</v>
      </c>
      <c r="D570" s="73" t="s">
        <v>256</v>
      </c>
      <c r="E570" s="73">
        <v>4</v>
      </c>
      <c r="F570" s="75">
        <v>8.61</v>
      </c>
      <c r="G570" s="73" t="s">
        <v>257</v>
      </c>
      <c r="H570" s="75">
        <v>15.99</v>
      </c>
      <c r="I570" s="75">
        <v>475.85</v>
      </c>
      <c r="J570" s="73" t="s">
        <v>257</v>
      </c>
      <c r="K570" s="75">
        <v>1910.5</v>
      </c>
      <c r="L570" s="73" t="s">
        <v>257</v>
      </c>
      <c r="M570" s="73" t="s">
        <v>257</v>
      </c>
      <c r="N570" s="76">
        <v>120.3</v>
      </c>
      <c r="O570" s="73">
        <v>4</v>
      </c>
      <c r="P570" s="73"/>
      <c r="Q570" s="66" t="s">
        <v>258</v>
      </c>
      <c r="R570" s="61"/>
      <c r="S570" s="61"/>
    </row>
    <row r="571" spans="1:19" ht="13.8" customHeight="1" x14ac:dyDescent="0.3">
      <c r="A571" s="70" t="s">
        <v>305</v>
      </c>
      <c r="B571" s="71">
        <f>IFERROR(INDEX('Boulder Sample Log'!A$5:A$204,MATCH(A571,'Boulder Sample Log'!E$5:E$204,0)),"")</f>
        <v>46127</v>
      </c>
      <c r="C571" s="70">
        <v>689</v>
      </c>
      <c r="D571" s="70" t="s">
        <v>256</v>
      </c>
      <c r="E571" s="70">
        <v>5</v>
      </c>
      <c r="F571" s="72">
        <v>13.27</v>
      </c>
      <c r="G571" s="70" t="s">
        <v>257</v>
      </c>
      <c r="H571" s="72">
        <v>32.42</v>
      </c>
      <c r="I571" s="72">
        <v>4783.1400000000003</v>
      </c>
      <c r="J571" s="70" t="s">
        <v>257</v>
      </c>
      <c r="K571" s="72">
        <v>8189.02</v>
      </c>
      <c r="L571" s="70" t="s">
        <v>257</v>
      </c>
      <c r="M571" s="70" t="s">
        <v>257</v>
      </c>
      <c r="N571" s="77">
        <v>122.6</v>
      </c>
      <c r="O571" s="70">
        <v>4</v>
      </c>
      <c r="P571" s="70"/>
      <c r="Q571" s="62" t="s">
        <v>258</v>
      </c>
      <c r="R571" s="61"/>
      <c r="S571" s="61"/>
    </row>
    <row r="572" spans="1:19" ht="13.8" customHeight="1" x14ac:dyDescent="0.3">
      <c r="A572" s="73" t="s">
        <v>305</v>
      </c>
      <c r="B572" s="74">
        <f>IFERROR(INDEX('Boulder Sample Log'!A$5:A$204,MATCH(A572,'Boulder Sample Log'!E$5:E$204,0)),"")</f>
        <v>46127</v>
      </c>
      <c r="C572" s="73">
        <v>690</v>
      </c>
      <c r="D572" s="73" t="s">
        <v>256</v>
      </c>
      <c r="E572" s="73">
        <v>5</v>
      </c>
      <c r="F572" s="75">
        <v>13.24</v>
      </c>
      <c r="G572" s="73" t="s">
        <v>257</v>
      </c>
      <c r="H572" s="75">
        <v>49.87</v>
      </c>
      <c r="I572" s="75">
        <v>5703.33</v>
      </c>
      <c r="J572" s="73" t="s">
        <v>257</v>
      </c>
      <c r="K572" s="75">
        <v>9033.07</v>
      </c>
      <c r="L572" s="73" t="s">
        <v>257</v>
      </c>
      <c r="M572" s="73" t="s">
        <v>257</v>
      </c>
      <c r="N572" s="76">
        <v>123</v>
      </c>
      <c r="O572" s="73">
        <v>4</v>
      </c>
      <c r="P572" s="73"/>
      <c r="Q572" s="66" t="s">
        <v>258</v>
      </c>
      <c r="R572" s="61"/>
      <c r="S572" s="61"/>
    </row>
    <row r="573" spans="1:19" ht="13.8" customHeight="1" x14ac:dyDescent="0.3">
      <c r="A573" s="70" t="s">
        <v>306</v>
      </c>
      <c r="B573" s="71">
        <f>IFERROR(INDEX('Boulder Sample Log'!A$5:A$204,MATCH(A573,'Boulder Sample Log'!E$5:E$204,0)),"")</f>
        <v>46127</v>
      </c>
      <c r="C573" s="70">
        <v>691</v>
      </c>
      <c r="D573" s="70" t="s">
        <v>256</v>
      </c>
      <c r="E573" s="70">
        <v>1</v>
      </c>
      <c r="F573" s="70" t="s">
        <v>257</v>
      </c>
      <c r="G573" s="70" t="s">
        <v>257</v>
      </c>
      <c r="H573" s="72">
        <v>7.88</v>
      </c>
      <c r="I573" s="72">
        <v>32394.63</v>
      </c>
      <c r="J573" s="72">
        <v>468.95</v>
      </c>
      <c r="K573" s="72">
        <v>355.98</v>
      </c>
      <c r="L573" s="72">
        <v>137.91</v>
      </c>
      <c r="M573" s="72">
        <v>14.55</v>
      </c>
      <c r="N573" s="77">
        <v>122.9</v>
      </c>
      <c r="O573" s="70">
        <v>4</v>
      </c>
      <c r="P573" s="70"/>
      <c r="Q573" s="62" t="s">
        <v>258</v>
      </c>
      <c r="R573" s="61"/>
      <c r="S573" s="61"/>
    </row>
    <row r="574" spans="1:19" ht="13.8" customHeight="1" x14ac:dyDescent="0.3">
      <c r="A574" s="73" t="s">
        <v>306</v>
      </c>
      <c r="B574" s="74">
        <f>IFERROR(INDEX('Boulder Sample Log'!A$5:A$204,MATCH(A574,'Boulder Sample Log'!E$5:E$204,0)),"")</f>
        <v>46127</v>
      </c>
      <c r="C574" s="73">
        <v>692</v>
      </c>
      <c r="D574" s="73" t="s">
        <v>256</v>
      </c>
      <c r="E574" s="73">
        <v>1</v>
      </c>
      <c r="F574" s="73" t="s">
        <v>257</v>
      </c>
      <c r="G574" s="73" t="s">
        <v>257</v>
      </c>
      <c r="H574" s="75">
        <v>7.27</v>
      </c>
      <c r="I574" s="75">
        <v>32510.26</v>
      </c>
      <c r="J574" s="75">
        <v>507.75</v>
      </c>
      <c r="K574" s="75">
        <v>326.68</v>
      </c>
      <c r="L574" s="75">
        <v>138.25</v>
      </c>
      <c r="M574" s="75">
        <v>18.510000000000002</v>
      </c>
      <c r="N574" s="76">
        <v>120.3</v>
      </c>
      <c r="O574" s="73">
        <v>4</v>
      </c>
      <c r="P574" s="73"/>
      <c r="Q574" s="66" t="s">
        <v>258</v>
      </c>
      <c r="R574" s="61"/>
      <c r="S574" s="61"/>
    </row>
    <row r="575" spans="1:19" ht="13.8" customHeight="1" x14ac:dyDescent="0.3">
      <c r="A575" s="70" t="s">
        <v>306</v>
      </c>
      <c r="B575" s="71">
        <f>IFERROR(INDEX('Boulder Sample Log'!A$5:A$204,MATCH(A575,'Boulder Sample Log'!E$5:E$204,0)),"")</f>
        <v>46127</v>
      </c>
      <c r="C575" s="70">
        <v>693</v>
      </c>
      <c r="D575" s="70" t="s">
        <v>256</v>
      </c>
      <c r="E575" s="70">
        <v>2</v>
      </c>
      <c r="F575" s="70" t="s">
        <v>257</v>
      </c>
      <c r="G575" s="70" t="s">
        <v>257</v>
      </c>
      <c r="H575" s="72">
        <v>7.02</v>
      </c>
      <c r="I575" s="72">
        <v>34547.94</v>
      </c>
      <c r="J575" s="72">
        <v>553.54</v>
      </c>
      <c r="K575" s="72">
        <v>698.55</v>
      </c>
      <c r="L575" s="72">
        <v>102.75</v>
      </c>
      <c r="M575" s="72">
        <v>9.32</v>
      </c>
      <c r="N575" s="77">
        <v>123</v>
      </c>
      <c r="O575" s="70">
        <v>4</v>
      </c>
      <c r="P575" s="70"/>
      <c r="Q575" s="62" t="s">
        <v>258</v>
      </c>
      <c r="R575" s="61"/>
      <c r="S575" s="61"/>
    </row>
    <row r="576" spans="1:19" ht="13.8" customHeight="1" x14ac:dyDescent="0.3">
      <c r="A576" s="73" t="s">
        <v>306</v>
      </c>
      <c r="B576" s="74">
        <f>IFERROR(INDEX('Boulder Sample Log'!A$5:A$204,MATCH(A576,'Boulder Sample Log'!E$5:E$204,0)),"")</f>
        <v>46127</v>
      </c>
      <c r="C576" s="73">
        <v>694</v>
      </c>
      <c r="D576" s="73" t="s">
        <v>256</v>
      </c>
      <c r="E576" s="73">
        <v>2</v>
      </c>
      <c r="F576" s="75">
        <v>2.71</v>
      </c>
      <c r="G576" s="73" t="s">
        <v>257</v>
      </c>
      <c r="H576" s="75">
        <v>5.58</v>
      </c>
      <c r="I576" s="75">
        <v>34844.720000000001</v>
      </c>
      <c r="J576" s="75">
        <v>546.02</v>
      </c>
      <c r="K576" s="75">
        <v>763.42</v>
      </c>
      <c r="L576" s="75">
        <v>105.96</v>
      </c>
      <c r="M576" s="75">
        <v>11.51</v>
      </c>
      <c r="N576" s="76">
        <v>120.2</v>
      </c>
      <c r="O576" s="73">
        <v>4</v>
      </c>
      <c r="P576" s="73"/>
      <c r="Q576" s="66" t="s">
        <v>258</v>
      </c>
      <c r="R576" s="61"/>
      <c r="S576" s="61"/>
    </row>
    <row r="577" spans="1:19" ht="13.8" customHeight="1" x14ac:dyDescent="0.3">
      <c r="A577" s="70" t="s">
        <v>306</v>
      </c>
      <c r="B577" s="71">
        <f>IFERROR(INDEX('Boulder Sample Log'!A$5:A$204,MATCH(A577,'Boulder Sample Log'!E$5:E$204,0)),"")</f>
        <v>46127</v>
      </c>
      <c r="C577" s="70">
        <v>695</v>
      </c>
      <c r="D577" s="70" t="s">
        <v>256</v>
      </c>
      <c r="E577" s="70">
        <v>3</v>
      </c>
      <c r="F577" s="70" t="s">
        <v>257</v>
      </c>
      <c r="G577" s="70" t="s">
        <v>257</v>
      </c>
      <c r="H577" s="72">
        <v>7.86</v>
      </c>
      <c r="I577" s="72">
        <v>32946.71</v>
      </c>
      <c r="J577" s="72">
        <v>552.75</v>
      </c>
      <c r="K577" s="72">
        <v>498.92</v>
      </c>
      <c r="L577" s="72">
        <v>94.25</v>
      </c>
      <c r="M577" s="72">
        <v>11.98</v>
      </c>
      <c r="N577" s="77">
        <v>122.9</v>
      </c>
      <c r="O577" s="70">
        <v>4</v>
      </c>
      <c r="P577" s="70"/>
      <c r="Q577" s="62" t="s">
        <v>258</v>
      </c>
      <c r="R577" s="61"/>
      <c r="S577" s="61"/>
    </row>
    <row r="578" spans="1:19" ht="13.8" customHeight="1" x14ac:dyDescent="0.3">
      <c r="A578" s="73" t="s">
        <v>306</v>
      </c>
      <c r="B578" s="74">
        <f>IFERROR(INDEX('Boulder Sample Log'!A$5:A$204,MATCH(A578,'Boulder Sample Log'!E$5:E$204,0)),"")</f>
        <v>46127</v>
      </c>
      <c r="C578" s="73">
        <v>696</v>
      </c>
      <c r="D578" s="73" t="s">
        <v>256</v>
      </c>
      <c r="E578" s="73">
        <v>3</v>
      </c>
      <c r="F578" s="73" t="s">
        <v>257</v>
      </c>
      <c r="G578" s="73" t="s">
        <v>257</v>
      </c>
      <c r="H578" s="75">
        <v>6.77</v>
      </c>
      <c r="I578" s="75">
        <v>32659.439999999999</v>
      </c>
      <c r="J578" s="75">
        <v>543.96</v>
      </c>
      <c r="K578" s="75">
        <v>620.46</v>
      </c>
      <c r="L578" s="75">
        <v>93.47</v>
      </c>
      <c r="M578" s="75">
        <v>6.88</v>
      </c>
      <c r="N578" s="76">
        <v>120.3</v>
      </c>
      <c r="O578" s="73">
        <v>4</v>
      </c>
      <c r="P578" s="73"/>
      <c r="Q578" s="66" t="s">
        <v>258</v>
      </c>
      <c r="R578" s="61"/>
      <c r="S578" s="61"/>
    </row>
    <row r="579" spans="1:19" ht="13.8" customHeight="1" x14ac:dyDescent="0.3">
      <c r="A579" s="70" t="s">
        <v>306</v>
      </c>
      <c r="B579" s="71">
        <f>IFERROR(INDEX('Boulder Sample Log'!A$5:A$204,MATCH(A579,'Boulder Sample Log'!E$5:E$204,0)),"")</f>
        <v>46127</v>
      </c>
      <c r="C579" s="70">
        <v>697</v>
      </c>
      <c r="D579" s="70" t="s">
        <v>256</v>
      </c>
      <c r="E579" s="70">
        <v>4</v>
      </c>
      <c r="F579" s="70" t="s">
        <v>257</v>
      </c>
      <c r="G579" s="70" t="s">
        <v>257</v>
      </c>
      <c r="H579" s="72">
        <v>6.73</v>
      </c>
      <c r="I579" s="72">
        <v>33972.75</v>
      </c>
      <c r="J579" s="72">
        <v>570.48</v>
      </c>
      <c r="K579" s="72">
        <v>518.41999999999996</v>
      </c>
      <c r="L579" s="72">
        <v>95.09</v>
      </c>
      <c r="M579" s="72">
        <v>4.9400000000000004</v>
      </c>
      <c r="N579" s="77">
        <v>120.4</v>
      </c>
      <c r="O579" s="70">
        <v>4</v>
      </c>
      <c r="P579" s="70"/>
      <c r="Q579" s="62" t="s">
        <v>258</v>
      </c>
      <c r="R579" s="61"/>
      <c r="S579" s="61"/>
    </row>
    <row r="580" spans="1:19" ht="13.8" customHeight="1" x14ac:dyDescent="0.3">
      <c r="A580" s="73" t="s">
        <v>306</v>
      </c>
      <c r="B580" s="74">
        <f>IFERROR(INDEX('Boulder Sample Log'!A$5:A$204,MATCH(A580,'Boulder Sample Log'!E$5:E$204,0)),"")</f>
        <v>46127</v>
      </c>
      <c r="C580" s="73">
        <v>698</v>
      </c>
      <c r="D580" s="73" t="s">
        <v>256</v>
      </c>
      <c r="E580" s="73">
        <v>4</v>
      </c>
      <c r="F580" s="73" t="s">
        <v>257</v>
      </c>
      <c r="G580" s="73" t="s">
        <v>257</v>
      </c>
      <c r="H580" s="75">
        <v>6.34</v>
      </c>
      <c r="I580" s="75">
        <v>35862.050000000003</v>
      </c>
      <c r="J580" s="75">
        <v>607.23</v>
      </c>
      <c r="K580" s="75">
        <v>698.9</v>
      </c>
      <c r="L580" s="75">
        <v>79.33</v>
      </c>
      <c r="M580" s="75">
        <v>13.09</v>
      </c>
      <c r="N580" s="76">
        <v>123.1</v>
      </c>
      <c r="O580" s="73">
        <v>4</v>
      </c>
      <c r="P580" s="73"/>
      <c r="Q580" s="66" t="s">
        <v>258</v>
      </c>
      <c r="R580" s="61"/>
      <c r="S580" s="61"/>
    </row>
    <row r="581" spans="1:19" ht="13.8" customHeight="1" x14ac:dyDescent="0.3">
      <c r="A581" s="70" t="s">
        <v>306</v>
      </c>
      <c r="B581" s="71">
        <f>IFERROR(INDEX('Boulder Sample Log'!A$5:A$204,MATCH(A581,'Boulder Sample Log'!E$5:E$204,0)),"")</f>
        <v>46127</v>
      </c>
      <c r="C581" s="70">
        <v>699</v>
      </c>
      <c r="D581" s="70" t="s">
        <v>256</v>
      </c>
      <c r="E581" s="70">
        <v>5</v>
      </c>
      <c r="F581" s="70" t="s">
        <v>257</v>
      </c>
      <c r="G581" s="70" t="s">
        <v>257</v>
      </c>
      <c r="H581" s="72">
        <v>7.37</v>
      </c>
      <c r="I581" s="72">
        <v>35549.54</v>
      </c>
      <c r="J581" s="72">
        <v>497.56</v>
      </c>
      <c r="K581" s="72">
        <v>278.89999999999998</v>
      </c>
      <c r="L581" s="72">
        <v>95.16</v>
      </c>
      <c r="M581" s="72">
        <v>14.63</v>
      </c>
      <c r="N581" s="77">
        <v>122.8</v>
      </c>
      <c r="O581" s="70">
        <v>4</v>
      </c>
      <c r="P581" s="70"/>
      <c r="Q581" s="62" t="s">
        <v>258</v>
      </c>
      <c r="R581" s="61"/>
      <c r="S581" s="61"/>
    </row>
    <row r="582" spans="1:19" ht="13.8" customHeight="1" x14ac:dyDescent="0.3">
      <c r="A582" s="73" t="s">
        <v>306</v>
      </c>
      <c r="B582" s="74">
        <f>IFERROR(INDEX('Boulder Sample Log'!A$5:A$204,MATCH(A582,'Boulder Sample Log'!E$5:E$204,0)),"")</f>
        <v>46127</v>
      </c>
      <c r="C582" s="73">
        <v>700</v>
      </c>
      <c r="D582" s="73" t="s">
        <v>256</v>
      </c>
      <c r="E582" s="73">
        <v>5</v>
      </c>
      <c r="F582" s="73" t="s">
        <v>257</v>
      </c>
      <c r="G582" s="73" t="s">
        <v>257</v>
      </c>
      <c r="H582" s="75">
        <v>8.24</v>
      </c>
      <c r="I582" s="75">
        <v>40119</v>
      </c>
      <c r="J582" s="75">
        <v>536.36</v>
      </c>
      <c r="K582" s="75">
        <v>1571.47</v>
      </c>
      <c r="L582" s="75">
        <v>80.28</v>
      </c>
      <c r="M582" s="75">
        <v>10.73</v>
      </c>
      <c r="N582" s="76">
        <v>122.8</v>
      </c>
      <c r="O582" s="73">
        <v>4</v>
      </c>
      <c r="P582" s="73"/>
      <c r="Q582" s="66" t="s">
        <v>258</v>
      </c>
      <c r="R582" s="61"/>
      <c r="S582" s="61"/>
    </row>
    <row r="583" spans="1:19" ht="13.8" customHeight="1" x14ac:dyDescent="0.3">
      <c r="A583" s="70" t="s">
        <v>307</v>
      </c>
      <c r="B583" s="71">
        <f>IFERROR(INDEX('Boulder Sample Log'!A$5:A$204,MATCH(A583,'Boulder Sample Log'!E$5:E$204,0)),"")</f>
        <v>46127</v>
      </c>
      <c r="C583" s="70">
        <v>701</v>
      </c>
      <c r="D583" s="70" t="s">
        <v>256</v>
      </c>
      <c r="E583" s="70">
        <v>1</v>
      </c>
      <c r="F583" s="70" t="s">
        <v>257</v>
      </c>
      <c r="G583" s="70" t="s">
        <v>257</v>
      </c>
      <c r="H583" s="72">
        <v>7.72</v>
      </c>
      <c r="I583" s="72">
        <v>39506.089999999997</v>
      </c>
      <c r="J583" s="72">
        <v>698.04</v>
      </c>
      <c r="K583" s="72">
        <v>614.52</v>
      </c>
      <c r="L583" s="72">
        <v>70.58</v>
      </c>
      <c r="M583" s="72">
        <v>22.3</v>
      </c>
      <c r="N583" s="77">
        <v>120.3</v>
      </c>
      <c r="O583" s="70">
        <v>4</v>
      </c>
      <c r="P583" s="70"/>
      <c r="Q583" s="62" t="s">
        <v>258</v>
      </c>
      <c r="R583" s="61"/>
      <c r="S583" s="61"/>
    </row>
    <row r="584" spans="1:19" ht="13.8" customHeight="1" x14ac:dyDescent="0.3">
      <c r="A584" s="73" t="s">
        <v>307</v>
      </c>
      <c r="B584" s="74">
        <f>IFERROR(INDEX('Boulder Sample Log'!A$5:A$204,MATCH(A584,'Boulder Sample Log'!E$5:E$204,0)),"")</f>
        <v>46127</v>
      </c>
      <c r="C584" s="73">
        <v>702</v>
      </c>
      <c r="D584" s="73" t="s">
        <v>256</v>
      </c>
      <c r="E584" s="73">
        <v>1</v>
      </c>
      <c r="F584" s="73" t="s">
        <v>257</v>
      </c>
      <c r="G584" s="73" t="s">
        <v>257</v>
      </c>
      <c r="H584" s="75">
        <v>7.33</v>
      </c>
      <c r="I584" s="75">
        <v>40106.449999999997</v>
      </c>
      <c r="J584" s="75">
        <v>678.63</v>
      </c>
      <c r="K584" s="75">
        <v>674.61</v>
      </c>
      <c r="L584" s="75">
        <v>65.98</v>
      </c>
      <c r="M584" s="75">
        <v>19.91</v>
      </c>
      <c r="N584" s="76">
        <v>120.5</v>
      </c>
      <c r="O584" s="73">
        <v>4</v>
      </c>
      <c r="P584" s="73"/>
      <c r="Q584" s="66" t="s">
        <v>258</v>
      </c>
      <c r="R584" s="61"/>
      <c r="S584" s="61"/>
    </row>
    <row r="585" spans="1:19" ht="13.8" customHeight="1" x14ac:dyDescent="0.3">
      <c r="A585" s="70" t="s">
        <v>307</v>
      </c>
      <c r="B585" s="71">
        <f>IFERROR(INDEX('Boulder Sample Log'!A$5:A$204,MATCH(A585,'Boulder Sample Log'!E$5:E$204,0)),"")</f>
        <v>46127</v>
      </c>
      <c r="C585" s="70">
        <v>703</v>
      </c>
      <c r="D585" s="70" t="s">
        <v>256</v>
      </c>
      <c r="E585" s="70">
        <v>2</v>
      </c>
      <c r="F585" s="70" t="s">
        <v>257</v>
      </c>
      <c r="G585" s="70" t="s">
        <v>257</v>
      </c>
      <c r="H585" s="72">
        <v>8.1300000000000008</v>
      </c>
      <c r="I585" s="72">
        <v>39862.839999999997</v>
      </c>
      <c r="J585" s="72">
        <v>686.89</v>
      </c>
      <c r="K585" s="72">
        <v>647.46</v>
      </c>
      <c r="L585" s="72">
        <v>119.88</v>
      </c>
      <c r="M585" s="72">
        <v>14.15</v>
      </c>
      <c r="N585" s="77">
        <v>123</v>
      </c>
      <c r="O585" s="70">
        <v>4</v>
      </c>
      <c r="P585" s="70"/>
      <c r="Q585" s="62" t="s">
        <v>258</v>
      </c>
      <c r="R585" s="61"/>
      <c r="S585" s="61"/>
    </row>
    <row r="586" spans="1:19" ht="13.8" customHeight="1" x14ac:dyDescent="0.3">
      <c r="A586" s="73" t="s">
        <v>307</v>
      </c>
      <c r="B586" s="74">
        <f>IFERROR(INDEX('Boulder Sample Log'!A$5:A$204,MATCH(A586,'Boulder Sample Log'!E$5:E$204,0)),"")</f>
        <v>46127</v>
      </c>
      <c r="C586" s="73">
        <v>704</v>
      </c>
      <c r="D586" s="73" t="s">
        <v>256</v>
      </c>
      <c r="E586" s="73">
        <v>2</v>
      </c>
      <c r="F586" s="75">
        <v>4.0999999999999996</v>
      </c>
      <c r="G586" s="73" t="s">
        <v>257</v>
      </c>
      <c r="H586" s="75">
        <v>6.15</v>
      </c>
      <c r="I586" s="75">
        <v>41270.980000000003</v>
      </c>
      <c r="J586" s="75">
        <v>723.48</v>
      </c>
      <c r="K586" s="75">
        <v>533.6</v>
      </c>
      <c r="L586" s="75">
        <v>90.67</v>
      </c>
      <c r="M586" s="75">
        <v>22.88</v>
      </c>
      <c r="N586" s="76">
        <v>120.4</v>
      </c>
      <c r="O586" s="73">
        <v>4</v>
      </c>
      <c r="P586" s="73"/>
      <c r="Q586" s="66" t="s">
        <v>258</v>
      </c>
      <c r="R586" s="61"/>
      <c r="S586" s="61"/>
    </row>
    <row r="587" spans="1:19" ht="13.8" customHeight="1" x14ac:dyDescent="0.3">
      <c r="A587" s="70" t="s">
        <v>307</v>
      </c>
      <c r="B587" s="71">
        <f>IFERROR(INDEX('Boulder Sample Log'!A$5:A$204,MATCH(A587,'Boulder Sample Log'!E$5:E$204,0)),"")</f>
        <v>46127</v>
      </c>
      <c r="C587" s="70">
        <v>705</v>
      </c>
      <c r="D587" s="70" t="s">
        <v>256</v>
      </c>
      <c r="E587" s="70">
        <v>3</v>
      </c>
      <c r="F587" s="70" t="s">
        <v>257</v>
      </c>
      <c r="G587" s="70" t="s">
        <v>257</v>
      </c>
      <c r="H587" s="72">
        <v>6.85</v>
      </c>
      <c r="I587" s="72">
        <v>41269.06</v>
      </c>
      <c r="J587" s="72">
        <v>719.22</v>
      </c>
      <c r="K587" s="72">
        <v>892.91</v>
      </c>
      <c r="L587" s="72">
        <v>143.41999999999999</v>
      </c>
      <c r="M587" s="72">
        <v>18.350000000000001</v>
      </c>
      <c r="N587" s="77">
        <v>122.7</v>
      </c>
      <c r="O587" s="70">
        <v>4</v>
      </c>
      <c r="P587" s="70"/>
      <c r="Q587" s="62" t="s">
        <v>258</v>
      </c>
      <c r="R587" s="61"/>
      <c r="S587" s="61"/>
    </row>
    <row r="588" spans="1:19" ht="13.8" customHeight="1" x14ac:dyDescent="0.3">
      <c r="A588" s="73" t="s">
        <v>307</v>
      </c>
      <c r="B588" s="74">
        <f>IFERROR(INDEX('Boulder Sample Log'!A$5:A$204,MATCH(A588,'Boulder Sample Log'!E$5:E$204,0)),"")</f>
        <v>46127</v>
      </c>
      <c r="C588" s="73">
        <v>706</v>
      </c>
      <c r="D588" s="73" t="s">
        <v>256</v>
      </c>
      <c r="E588" s="73">
        <v>3</v>
      </c>
      <c r="F588" s="75">
        <v>4.01</v>
      </c>
      <c r="G588" s="73" t="s">
        <v>257</v>
      </c>
      <c r="H588" s="75">
        <v>6.27</v>
      </c>
      <c r="I588" s="75">
        <v>41353.21</v>
      </c>
      <c r="J588" s="75">
        <v>738.04</v>
      </c>
      <c r="K588" s="75">
        <v>928.99</v>
      </c>
      <c r="L588" s="75">
        <v>144.19</v>
      </c>
      <c r="M588" s="75">
        <v>16.72</v>
      </c>
      <c r="N588" s="76">
        <v>120.4</v>
      </c>
      <c r="O588" s="73">
        <v>4</v>
      </c>
      <c r="P588" s="73"/>
      <c r="Q588" s="66" t="s">
        <v>258</v>
      </c>
      <c r="R588" s="61"/>
      <c r="S588" s="61"/>
    </row>
    <row r="589" spans="1:19" ht="13.8" customHeight="1" x14ac:dyDescent="0.3">
      <c r="A589" s="70" t="s">
        <v>307</v>
      </c>
      <c r="B589" s="71">
        <f>IFERROR(INDEX('Boulder Sample Log'!A$5:A$204,MATCH(A589,'Boulder Sample Log'!E$5:E$204,0)),"")</f>
        <v>46127</v>
      </c>
      <c r="C589" s="70">
        <v>707</v>
      </c>
      <c r="D589" s="70" t="s">
        <v>256</v>
      </c>
      <c r="E589" s="70">
        <v>4</v>
      </c>
      <c r="F589" s="72">
        <v>3.28</v>
      </c>
      <c r="G589" s="70" t="s">
        <v>257</v>
      </c>
      <c r="H589" s="72">
        <v>7.01</v>
      </c>
      <c r="I589" s="72">
        <v>38247.85</v>
      </c>
      <c r="J589" s="72">
        <v>644.84</v>
      </c>
      <c r="K589" s="72">
        <v>2851.64</v>
      </c>
      <c r="L589" s="72">
        <v>127.47</v>
      </c>
      <c r="M589" s="72">
        <v>18.399999999999999</v>
      </c>
      <c r="N589" s="77">
        <v>120.5</v>
      </c>
      <c r="O589" s="70">
        <v>4</v>
      </c>
      <c r="P589" s="70"/>
      <c r="Q589" s="62" t="s">
        <v>258</v>
      </c>
      <c r="R589" s="61"/>
      <c r="S589" s="61"/>
    </row>
    <row r="590" spans="1:19" ht="13.8" customHeight="1" x14ac:dyDescent="0.3">
      <c r="A590" s="73" t="s">
        <v>307</v>
      </c>
      <c r="B590" s="74">
        <f>IFERROR(INDEX('Boulder Sample Log'!A$5:A$204,MATCH(A590,'Boulder Sample Log'!E$5:E$204,0)),"")</f>
        <v>46127</v>
      </c>
      <c r="C590" s="73">
        <v>708</v>
      </c>
      <c r="D590" s="73" t="s">
        <v>256</v>
      </c>
      <c r="E590" s="73">
        <v>4</v>
      </c>
      <c r="F590" s="73" t="s">
        <v>257</v>
      </c>
      <c r="G590" s="73" t="s">
        <v>257</v>
      </c>
      <c r="H590" s="75">
        <v>9.65</v>
      </c>
      <c r="I590" s="75">
        <v>39178.949999999997</v>
      </c>
      <c r="J590" s="75">
        <v>617.86</v>
      </c>
      <c r="K590" s="75">
        <v>2283.0100000000002</v>
      </c>
      <c r="L590" s="75">
        <v>115.51</v>
      </c>
      <c r="M590" s="75">
        <v>16.7</v>
      </c>
      <c r="N590" s="76">
        <v>120.4</v>
      </c>
      <c r="O590" s="73">
        <v>4</v>
      </c>
      <c r="P590" s="73"/>
      <c r="Q590" s="66" t="s">
        <v>258</v>
      </c>
      <c r="R590" s="61"/>
      <c r="S590" s="61"/>
    </row>
    <row r="591" spans="1:19" ht="13.8" customHeight="1" x14ac:dyDescent="0.3">
      <c r="A591" s="70" t="s">
        <v>307</v>
      </c>
      <c r="B591" s="71">
        <f>IFERROR(INDEX('Boulder Sample Log'!A$5:A$204,MATCH(A591,'Boulder Sample Log'!E$5:E$204,0)),"")</f>
        <v>46127</v>
      </c>
      <c r="C591" s="70">
        <v>709</v>
      </c>
      <c r="D591" s="70" t="s">
        <v>256</v>
      </c>
      <c r="E591" s="70">
        <v>5</v>
      </c>
      <c r="F591" s="70" t="s">
        <v>257</v>
      </c>
      <c r="G591" s="70" t="s">
        <v>257</v>
      </c>
      <c r="H591" s="72">
        <v>7.84</v>
      </c>
      <c r="I591" s="72">
        <v>38754.9</v>
      </c>
      <c r="J591" s="72">
        <v>673.55</v>
      </c>
      <c r="K591" s="72">
        <v>985.66</v>
      </c>
      <c r="L591" s="72">
        <v>107.69</v>
      </c>
      <c r="M591" s="72">
        <v>21.48</v>
      </c>
      <c r="N591" s="77">
        <v>120.2</v>
      </c>
      <c r="O591" s="70">
        <v>4</v>
      </c>
      <c r="P591" s="70"/>
      <c r="Q591" s="62" t="s">
        <v>258</v>
      </c>
      <c r="R591" s="61"/>
      <c r="S591" s="61"/>
    </row>
    <row r="592" spans="1:19" ht="13.8" customHeight="1" x14ac:dyDescent="0.3">
      <c r="A592" s="73" t="s">
        <v>307</v>
      </c>
      <c r="B592" s="74">
        <f>IFERROR(INDEX('Boulder Sample Log'!A$5:A$204,MATCH(A592,'Boulder Sample Log'!E$5:E$204,0)),"")</f>
        <v>46127</v>
      </c>
      <c r="C592" s="73">
        <v>710</v>
      </c>
      <c r="D592" s="73" t="s">
        <v>256</v>
      </c>
      <c r="E592" s="73">
        <v>5</v>
      </c>
      <c r="F592" s="73" t="s">
        <v>257</v>
      </c>
      <c r="G592" s="73" t="s">
        <v>257</v>
      </c>
      <c r="H592" s="75">
        <v>8.42</v>
      </c>
      <c r="I592" s="75">
        <v>38841.96</v>
      </c>
      <c r="J592" s="75">
        <v>691.84</v>
      </c>
      <c r="K592" s="75">
        <v>617.36</v>
      </c>
      <c r="L592" s="75">
        <v>97.14</v>
      </c>
      <c r="M592" s="75">
        <v>21.64</v>
      </c>
      <c r="N592" s="76">
        <v>120.7</v>
      </c>
      <c r="O592" s="73">
        <v>4</v>
      </c>
      <c r="P592" s="73"/>
      <c r="Q592" s="66" t="s">
        <v>258</v>
      </c>
      <c r="R592" s="61"/>
      <c r="S592" s="61"/>
    </row>
    <row r="593" spans="1:19" ht="13.8" customHeight="1" x14ac:dyDescent="0.3">
      <c r="A593" s="70" t="s">
        <v>308</v>
      </c>
      <c r="B593" s="71">
        <f>IFERROR(INDEX('Boulder Sample Log'!A$5:A$204,MATCH(A593,'Boulder Sample Log'!E$5:E$204,0)),"")</f>
        <v>46127</v>
      </c>
      <c r="C593" s="70">
        <v>711</v>
      </c>
      <c r="D593" s="70" t="s">
        <v>256</v>
      </c>
      <c r="E593" s="70">
        <v>1</v>
      </c>
      <c r="F593" s="70" t="s">
        <v>257</v>
      </c>
      <c r="G593" s="70" t="s">
        <v>257</v>
      </c>
      <c r="H593" s="72">
        <v>9.94</v>
      </c>
      <c r="I593" s="72">
        <v>33707.96</v>
      </c>
      <c r="J593" s="72">
        <v>585.47</v>
      </c>
      <c r="K593" s="72">
        <v>7127.73</v>
      </c>
      <c r="L593" s="72">
        <v>69.03</v>
      </c>
      <c r="M593" s="72">
        <v>11.96</v>
      </c>
      <c r="N593" s="77">
        <v>120.5</v>
      </c>
      <c r="O593" s="70">
        <v>4</v>
      </c>
      <c r="P593" s="70"/>
      <c r="Q593" s="62" t="s">
        <v>258</v>
      </c>
      <c r="R593" s="61"/>
      <c r="S593" s="61"/>
    </row>
    <row r="594" spans="1:19" ht="13.8" customHeight="1" x14ac:dyDescent="0.3">
      <c r="A594" s="73" t="s">
        <v>308</v>
      </c>
      <c r="B594" s="74">
        <f>IFERROR(INDEX('Boulder Sample Log'!A$5:A$204,MATCH(A594,'Boulder Sample Log'!E$5:E$204,0)),"")</f>
        <v>46127</v>
      </c>
      <c r="C594" s="73">
        <v>712</v>
      </c>
      <c r="D594" s="73" t="s">
        <v>256</v>
      </c>
      <c r="E594" s="73">
        <v>1</v>
      </c>
      <c r="F594" s="73" t="s">
        <v>257</v>
      </c>
      <c r="G594" s="73" t="s">
        <v>257</v>
      </c>
      <c r="H594" s="75">
        <v>7.16</v>
      </c>
      <c r="I594" s="75">
        <v>36661.040000000001</v>
      </c>
      <c r="J594" s="75">
        <v>614.58000000000004</v>
      </c>
      <c r="K594" s="75">
        <v>7728.85</v>
      </c>
      <c r="L594" s="75">
        <v>69.489999999999995</v>
      </c>
      <c r="M594" s="75">
        <v>15.76</v>
      </c>
      <c r="N594" s="76">
        <v>120.4</v>
      </c>
      <c r="O594" s="73">
        <v>4</v>
      </c>
      <c r="P594" s="73"/>
      <c r="Q594" s="66" t="s">
        <v>258</v>
      </c>
      <c r="R594" s="61"/>
      <c r="S594" s="61"/>
    </row>
    <row r="595" spans="1:19" ht="13.8" customHeight="1" x14ac:dyDescent="0.3">
      <c r="A595" s="70" t="s">
        <v>308</v>
      </c>
      <c r="B595" s="71">
        <f>IFERROR(INDEX('Boulder Sample Log'!A$5:A$204,MATCH(A595,'Boulder Sample Log'!E$5:E$204,0)),"")</f>
        <v>46127</v>
      </c>
      <c r="C595" s="70">
        <v>713</v>
      </c>
      <c r="D595" s="70" t="s">
        <v>256</v>
      </c>
      <c r="E595" s="70">
        <v>2</v>
      </c>
      <c r="F595" s="72">
        <v>5.0599999999999996</v>
      </c>
      <c r="G595" s="70" t="s">
        <v>257</v>
      </c>
      <c r="H595" s="72">
        <v>8.0500000000000007</v>
      </c>
      <c r="I595" s="72">
        <v>38686.589999999997</v>
      </c>
      <c r="J595" s="72">
        <v>625.85</v>
      </c>
      <c r="K595" s="72">
        <v>471.04</v>
      </c>
      <c r="L595" s="72">
        <v>61.74</v>
      </c>
      <c r="M595" s="72">
        <v>8.3000000000000007</v>
      </c>
      <c r="N595" s="77">
        <v>123.2</v>
      </c>
      <c r="O595" s="70">
        <v>4</v>
      </c>
      <c r="P595" s="70"/>
      <c r="Q595" s="62" t="s">
        <v>258</v>
      </c>
      <c r="R595" s="61"/>
      <c r="S595" s="61"/>
    </row>
    <row r="596" spans="1:19" ht="13.8" customHeight="1" x14ac:dyDescent="0.3">
      <c r="A596" s="73" t="s">
        <v>308</v>
      </c>
      <c r="B596" s="74">
        <f>IFERROR(INDEX('Boulder Sample Log'!A$5:A$204,MATCH(A596,'Boulder Sample Log'!E$5:E$204,0)),"")</f>
        <v>46127</v>
      </c>
      <c r="C596" s="73">
        <v>714</v>
      </c>
      <c r="D596" s="73" t="s">
        <v>256</v>
      </c>
      <c r="E596" s="73">
        <v>2</v>
      </c>
      <c r="F596" s="73" t="s">
        <v>257</v>
      </c>
      <c r="G596" s="73" t="s">
        <v>257</v>
      </c>
      <c r="H596" s="75">
        <v>9.9499999999999993</v>
      </c>
      <c r="I596" s="75">
        <v>41125.96</v>
      </c>
      <c r="J596" s="75">
        <v>698.09</v>
      </c>
      <c r="K596" s="75">
        <v>1085.3</v>
      </c>
      <c r="L596" s="75">
        <v>65.59</v>
      </c>
      <c r="M596" s="75">
        <v>13.39</v>
      </c>
      <c r="N596" s="76">
        <v>120.8</v>
      </c>
      <c r="O596" s="73">
        <v>4</v>
      </c>
      <c r="P596" s="73"/>
      <c r="Q596" s="66" t="s">
        <v>258</v>
      </c>
      <c r="R596" s="61"/>
      <c r="S596" s="61"/>
    </row>
    <row r="597" spans="1:19" ht="13.8" customHeight="1" x14ac:dyDescent="0.3">
      <c r="A597" s="70" t="s">
        <v>308</v>
      </c>
      <c r="B597" s="71">
        <f>IFERROR(INDEX('Boulder Sample Log'!A$5:A$204,MATCH(A597,'Boulder Sample Log'!E$5:E$204,0)),"")</f>
        <v>46127</v>
      </c>
      <c r="C597" s="70">
        <v>715</v>
      </c>
      <c r="D597" s="70" t="s">
        <v>256</v>
      </c>
      <c r="E597" s="70">
        <v>3</v>
      </c>
      <c r="F597" s="70" t="s">
        <v>257</v>
      </c>
      <c r="G597" s="70" t="s">
        <v>257</v>
      </c>
      <c r="H597" s="72">
        <v>6.8</v>
      </c>
      <c r="I597" s="72">
        <v>34071.760000000002</v>
      </c>
      <c r="J597" s="72">
        <v>563.54</v>
      </c>
      <c r="K597" s="72">
        <v>461.32</v>
      </c>
      <c r="L597" s="72">
        <v>57.48</v>
      </c>
      <c r="M597" s="72">
        <v>14.24</v>
      </c>
      <c r="N597" s="77">
        <v>123.1</v>
      </c>
      <c r="O597" s="70">
        <v>4</v>
      </c>
      <c r="P597" s="70"/>
      <c r="Q597" s="62" t="s">
        <v>258</v>
      </c>
      <c r="R597" s="61"/>
      <c r="S597" s="61"/>
    </row>
    <row r="598" spans="1:19" ht="13.8" customHeight="1" x14ac:dyDescent="0.3">
      <c r="A598" s="73" t="s">
        <v>308</v>
      </c>
      <c r="B598" s="74">
        <f>IFERROR(INDEX('Boulder Sample Log'!A$5:A$204,MATCH(A598,'Boulder Sample Log'!E$5:E$204,0)),"")</f>
        <v>46127</v>
      </c>
      <c r="C598" s="73">
        <v>716</v>
      </c>
      <c r="D598" s="73" t="s">
        <v>256</v>
      </c>
      <c r="E598" s="73">
        <v>3</v>
      </c>
      <c r="F598" s="73" t="s">
        <v>257</v>
      </c>
      <c r="G598" s="73" t="s">
        <v>257</v>
      </c>
      <c r="H598" s="75">
        <v>6.84</v>
      </c>
      <c r="I598" s="75">
        <v>33344.71</v>
      </c>
      <c r="J598" s="75">
        <v>554.1</v>
      </c>
      <c r="K598" s="75">
        <v>453.03</v>
      </c>
      <c r="L598" s="75">
        <v>63.29</v>
      </c>
      <c r="M598" s="75">
        <v>7.61</v>
      </c>
      <c r="N598" s="76">
        <v>120.3</v>
      </c>
      <c r="O598" s="73">
        <v>4</v>
      </c>
      <c r="P598" s="73"/>
      <c r="Q598" s="66" t="s">
        <v>258</v>
      </c>
      <c r="R598" s="61"/>
      <c r="S598" s="61"/>
    </row>
    <row r="599" spans="1:19" ht="13.8" customHeight="1" x14ac:dyDescent="0.3">
      <c r="A599" s="70" t="s">
        <v>308</v>
      </c>
      <c r="B599" s="71">
        <f>IFERROR(INDEX('Boulder Sample Log'!A$5:A$204,MATCH(A599,'Boulder Sample Log'!E$5:E$204,0)),"")</f>
        <v>46127</v>
      </c>
      <c r="C599" s="70">
        <v>717</v>
      </c>
      <c r="D599" s="70" t="s">
        <v>256</v>
      </c>
      <c r="E599" s="70">
        <v>4</v>
      </c>
      <c r="F599" s="70" t="s">
        <v>257</v>
      </c>
      <c r="G599" s="70" t="s">
        <v>257</v>
      </c>
      <c r="H599" s="72">
        <v>9.66</v>
      </c>
      <c r="I599" s="72">
        <v>44071.17</v>
      </c>
      <c r="J599" s="72">
        <v>771.14</v>
      </c>
      <c r="K599" s="72">
        <v>2093.06</v>
      </c>
      <c r="L599" s="72">
        <v>63.22</v>
      </c>
      <c r="M599" s="72">
        <v>9.8800000000000008</v>
      </c>
      <c r="N599" s="77">
        <v>122.9</v>
      </c>
      <c r="O599" s="70">
        <v>4</v>
      </c>
      <c r="P599" s="70"/>
      <c r="Q599" s="62" t="s">
        <v>258</v>
      </c>
      <c r="R599" s="61"/>
      <c r="S599" s="61"/>
    </row>
    <row r="600" spans="1:19" ht="13.8" customHeight="1" x14ac:dyDescent="0.3">
      <c r="A600" s="73" t="s">
        <v>308</v>
      </c>
      <c r="B600" s="74">
        <f>IFERROR(INDEX('Boulder Sample Log'!A$5:A$204,MATCH(A600,'Boulder Sample Log'!E$5:E$204,0)),"")</f>
        <v>46127</v>
      </c>
      <c r="C600" s="73">
        <v>718</v>
      </c>
      <c r="D600" s="73" t="s">
        <v>256</v>
      </c>
      <c r="E600" s="73">
        <v>4</v>
      </c>
      <c r="F600" s="73" t="s">
        <v>257</v>
      </c>
      <c r="G600" s="73" t="s">
        <v>257</v>
      </c>
      <c r="H600" s="75">
        <v>7.71</v>
      </c>
      <c r="I600" s="75">
        <v>41070.589999999997</v>
      </c>
      <c r="J600" s="75">
        <v>757.3</v>
      </c>
      <c r="K600" s="75">
        <v>3223.61</v>
      </c>
      <c r="L600" s="75">
        <v>69.86</v>
      </c>
      <c r="M600" s="75">
        <v>10.52</v>
      </c>
      <c r="N600" s="76">
        <v>123.1</v>
      </c>
      <c r="O600" s="73">
        <v>4</v>
      </c>
      <c r="P600" s="73"/>
      <c r="Q600" s="66" t="s">
        <v>258</v>
      </c>
      <c r="R600" s="61"/>
      <c r="S600" s="61"/>
    </row>
    <row r="601" spans="1:19" ht="13.8" customHeight="1" x14ac:dyDescent="0.3">
      <c r="A601" s="70" t="s">
        <v>308</v>
      </c>
      <c r="B601" s="71">
        <f>IFERROR(INDEX('Boulder Sample Log'!A$5:A$204,MATCH(A601,'Boulder Sample Log'!E$5:E$204,0)),"")</f>
        <v>46127</v>
      </c>
      <c r="C601" s="70">
        <v>719</v>
      </c>
      <c r="D601" s="70" t="s">
        <v>256</v>
      </c>
      <c r="E601" s="70">
        <v>5</v>
      </c>
      <c r="F601" s="70" t="s">
        <v>257</v>
      </c>
      <c r="G601" s="70" t="s">
        <v>257</v>
      </c>
      <c r="H601" s="72">
        <v>8.07</v>
      </c>
      <c r="I601" s="72">
        <v>36764.339999999997</v>
      </c>
      <c r="J601" s="72">
        <v>536.16999999999996</v>
      </c>
      <c r="K601" s="72">
        <v>425.76</v>
      </c>
      <c r="L601" s="72">
        <v>55.51</v>
      </c>
      <c r="M601" s="72">
        <v>6.57</v>
      </c>
      <c r="N601" s="77">
        <v>123.1</v>
      </c>
      <c r="O601" s="70">
        <v>4</v>
      </c>
      <c r="P601" s="70"/>
      <c r="Q601" s="62" t="s">
        <v>258</v>
      </c>
      <c r="R601" s="61"/>
      <c r="S601" s="61"/>
    </row>
    <row r="602" spans="1:19" ht="13.8" customHeight="1" x14ac:dyDescent="0.3">
      <c r="A602" s="73" t="s">
        <v>308</v>
      </c>
      <c r="B602" s="74">
        <f>IFERROR(INDEX('Boulder Sample Log'!A$5:A$204,MATCH(A602,'Boulder Sample Log'!E$5:E$204,0)),"")</f>
        <v>46127</v>
      </c>
      <c r="C602" s="73">
        <v>720</v>
      </c>
      <c r="D602" s="73" t="s">
        <v>256</v>
      </c>
      <c r="E602" s="73">
        <v>5</v>
      </c>
      <c r="F602" s="75">
        <v>2.93</v>
      </c>
      <c r="G602" s="73" t="s">
        <v>257</v>
      </c>
      <c r="H602" s="75">
        <v>8.6300000000000008</v>
      </c>
      <c r="I602" s="75">
        <v>37077.85</v>
      </c>
      <c r="J602" s="75">
        <v>494.6</v>
      </c>
      <c r="K602" s="75">
        <v>1022.55</v>
      </c>
      <c r="L602" s="75">
        <v>53.2</v>
      </c>
      <c r="M602" s="75">
        <v>4.91</v>
      </c>
      <c r="N602" s="76">
        <v>120.6</v>
      </c>
      <c r="O602" s="73">
        <v>4</v>
      </c>
      <c r="P602" s="73"/>
      <c r="Q602" s="66" t="s">
        <v>258</v>
      </c>
      <c r="R602" s="61"/>
      <c r="S602" s="61"/>
    </row>
    <row r="603" spans="1:19" ht="13.8" customHeight="1" x14ac:dyDescent="0.3">
      <c r="A603" s="70" t="s">
        <v>309</v>
      </c>
      <c r="B603" s="71">
        <f>IFERROR(INDEX('Boulder Sample Log'!A$5:A$204,MATCH(A603,'Boulder Sample Log'!E$5:E$204,0)),"")</f>
        <v>46127</v>
      </c>
      <c r="C603" s="70">
        <v>721</v>
      </c>
      <c r="D603" s="70" t="s">
        <v>256</v>
      </c>
      <c r="E603" s="70">
        <v>1</v>
      </c>
      <c r="F603" s="72">
        <v>3.03</v>
      </c>
      <c r="G603" s="70" t="s">
        <v>257</v>
      </c>
      <c r="H603" s="72">
        <v>6.83</v>
      </c>
      <c r="I603" s="72">
        <v>37510.449999999997</v>
      </c>
      <c r="J603" s="72">
        <v>645.77</v>
      </c>
      <c r="K603" s="72">
        <v>4112.55</v>
      </c>
      <c r="L603" s="72">
        <v>219.76</v>
      </c>
      <c r="M603" s="72">
        <v>31.21</v>
      </c>
      <c r="N603" s="77">
        <v>123</v>
      </c>
      <c r="O603" s="70">
        <v>4</v>
      </c>
      <c r="P603" s="70"/>
      <c r="Q603" s="62" t="s">
        <v>258</v>
      </c>
      <c r="R603" s="61"/>
      <c r="S603" s="61"/>
    </row>
    <row r="604" spans="1:19" ht="13.8" customHeight="1" x14ac:dyDescent="0.3">
      <c r="A604" s="73" t="s">
        <v>309</v>
      </c>
      <c r="B604" s="74">
        <f>IFERROR(INDEX('Boulder Sample Log'!A$5:A$204,MATCH(A604,'Boulder Sample Log'!E$5:E$204,0)),"")</f>
        <v>46127</v>
      </c>
      <c r="C604" s="73">
        <v>722</v>
      </c>
      <c r="D604" s="73" t="s">
        <v>256</v>
      </c>
      <c r="E604" s="73">
        <v>1</v>
      </c>
      <c r="F604" s="73" t="s">
        <v>257</v>
      </c>
      <c r="G604" s="73" t="s">
        <v>257</v>
      </c>
      <c r="H604" s="75">
        <v>9.01</v>
      </c>
      <c r="I604" s="75">
        <v>38335.449999999997</v>
      </c>
      <c r="J604" s="75">
        <v>644.29</v>
      </c>
      <c r="K604" s="75">
        <v>4291.79</v>
      </c>
      <c r="L604" s="75">
        <v>289.24</v>
      </c>
      <c r="M604" s="75">
        <v>31.32</v>
      </c>
      <c r="N604" s="76">
        <v>122.9</v>
      </c>
      <c r="O604" s="73">
        <v>4</v>
      </c>
      <c r="P604" s="73"/>
      <c r="Q604" s="66" t="s">
        <v>258</v>
      </c>
      <c r="R604" s="61"/>
      <c r="S604" s="61"/>
    </row>
    <row r="605" spans="1:19" ht="13.8" customHeight="1" x14ac:dyDescent="0.3">
      <c r="A605" s="70" t="s">
        <v>309</v>
      </c>
      <c r="B605" s="71">
        <f>IFERROR(INDEX('Boulder Sample Log'!A$5:A$204,MATCH(A605,'Boulder Sample Log'!E$5:E$204,0)),"")</f>
        <v>46127</v>
      </c>
      <c r="C605" s="70">
        <v>723</v>
      </c>
      <c r="D605" s="70" t="s">
        <v>256</v>
      </c>
      <c r="E605" s="70">
        <v>2</v>
      </c>
      <c r="F605" s="70" t="s">
        <v>257</v>
      </c>
      <c r="G605" s="70" t="s">
        <v>257</v>
      </c>
      <c r="H605" s="72">
        <v>6.8</v>
      </c>
      <c r="I605" s="72">
        <v>37457.58</v>
      </c>
      <c r="J605" s="72">
        <v>610.9</v>
      </c>
      <c r="K605" s="72">
        <v>2942.83</v>
      </c>
      <c r="L605" s="72">
        <v>123.14</v>
      </c>
      <c r="M605" s="72">
        <v>20.66</v>
      </c>
      <c r="N605" s="77">
        <v>123</v>
      </c>
      <c r="O605" s="70">
        <v>4</v>
      </c>
      <c r="P605" s="70"/>
      <c r="Q605" s="62" t="s">
        <v>258</v>
      </c>
      <c r="R605" s="61"/>
      <c r="S605" s="61"/>
    </row>
    <row r="606" spans="1:19" ht="13.8" customHeight="1" x14ac:dyDescent="0.3">
      <c r="A606" s="73" t="s">
        <v>309</v>
      </c>
      <c r="B606" s="74">
        <f>IFERROR(INDEX('Boulder Sample Log'!A$5:A$204,MATCH(A606,'Boulder Sample Log'!E$5:E$204,0)),"")</f>
        <v>46127</v>
      </c>
      <c r="C606" s="73">
        <v>724</v>
      </c>
      <c r="D606" s="73" t="s">
        <v>256</v>
      </c>
      <c r="E606" s="73">
        <v>2</v>
      </c>
      <c r="F606" s="73" t="s">
        <v>257</v>
      </c>
      <c r="G606" s="73" t="s">
        <v>257</v>
      </c>
      <c r="H606" s="75">
        <v>6.68</v>
      </c>
      <c r="I606" s="75">
        <v>36956.04</v>
      </c>
      <c r="J606" s="75">
        <v>603.36</v>
      </c>
      <c r="K606" s="75">
        <v>3207.14</v>
      </c>
      <c r="L606" s="75">
        <v>127.36</v>
      </c>
      <c r="M606" s="75">
        <v>18.53</v>
      </c>
      <c r="N606" s="76">
        <v>122.8</v>
      </c>
      <c r="O606" s="73">
        <v>4</v>
      </c>
      <c r="P606" s="73"/>
      <c r="Q606" s="66" t="s">
        <v>258</v>
      </c>
      <c r="R606" s="61"/>
      <c r="S606" s="61"/>
    </row>
    <row r="607" spans="1:19" ht="13.8" customHeight="1" x14ac:dyDescent="0.3">
      <c r="A607" s="70" t="s">
        <v>309</v>
      </c>
      <c r="B607" s="71">
        <f>IFERROR(INDEX('Boulder Sample Log'!A$5:A$204,MATCH(A607,'Boulder Sample Log'!E$5:E$204,0)),"")</f>
        <v>46127</v>
      </c>
      <c r="C607" s="70">
        <v>725</v>
      </c>
      <c r="D607" s="70" t="s">
        <v>256</v>
      </c>
      <c r="E607" s="70">
        <v>3</v>
      </c>
      <c r="F607" s="70" t="s">
        <v>257</v>
      </c>
      <c r="G607" s="70" t="s">
        <v>257</v>
      </c>
      <c r="H607" s="72">
        <v>6.18</v>
      </c>
      <c r="I607" s="72">
        <v>36861.870000000003</v>
      </c>
      <c r="J607" s="72">
        <v>617.22</v>
      </c>
      <c r="K607" s="72">
        <v>2765.01</v>
      </c>
      <c r="L607" s="72">
        <v>121.99</v>
      </c>
      <c r="M607" s="72">
        <v>23.12</v>
      </c>
      <c r="N607" s="77">
        <v>122.8</v>
      </c>
      <c r="O607" s="70">
        <v>4</v>
      </c>
      <c r="P607" s="70"/>
      <c r="Q607" s="62" t="s">
        <v>258</v>
      </c>
      <c r="R607" s="61"/>
      <c r="S607" s="61"/>
    </row>
    <row r="608" spans="1:19" ht="13.8" customHeight="1" x14ac:dyDescent="0.3">
      <c r="A608" s="73" t="s">
        <v>309</v>
      </c>
      <c r="B608" s="74">
        <f>IFERROR(INDEX('Boulder Sample Log'!A$5:A$204,MATCH(A608,'Boulder Sample Log'!E$5:E$204,0)),"")</f>
        <v>46127</v>
      </c>
      <c r="C608" s="73">
        <v>726</v>
      </c>
      <c r="D608" s="73" t="s">
        <v>256</v>
      </c>
      <c r="E608" s="73">
        <v>3</v>
      </c>
      <c r="F608" s="73" t="s">
        <v>257</v>
      </c>
      <c r="G608" s="73" t="s">
        <v>257</v>
      </c>
      <c r="H608" s="75">
        <v>5.89</v>
      </c>
      <c r="I608" s="75">
        <v>36596.18</v>
      </c>
      <c r="J608" s="75">
        <v>660.83</v>
      </c>
      <c r="K608" s="75">
        <v>11152.76</v>
      </c>
      <c r="L608" s="75">
        <v>108.09</v>
      </c>
      <c r="M608" s="75">
        <v>19.32</v>
      </c>
      <c r="N608" s="76">
        <v>122.9</v>
      </c>
      <c r="O608" s="73">
        <v>4</v>
      </c>
      <c r="P608" s="73"/>
      <c r="Q608" s="66" t="s">
        <v>258</v>
      </c>
      <c r="R608" s="61"/>
      <c r="S608" s="61"/>
    </row>
    <row r="609" spans="1:19" ht="13.8" customHeight="1" x14ac:dyDescent="0.3">
      <c r="A609" s="70" t="s">
        <v>309</v>
      </c>
      <c r="B609" s="71">
        <f>IFERROR(INDEX('Boulder Sample Log'!A$5:A$204,MATCH(A609,'Boulder Sample Log'!E$5:E$204,0)),"")</f>
        <v>46127</v>
      </c>
      <c r="C609" s="70">
        <v>727</v>
      </c>
      <c r="D609" s="70" t="s">
        <v>256</v>
      </c>
      <c r="E609" s="70">
        <v>4</v>
      </c>
      <c r="F609" s="70" t="s">
        <v>257</v>
      </c>
      <c r="G609" s="70" t="s">
        <v>257</v>
      </c>
      <c r="H609" s="72">
        <v>7.91</v>
      </c>
      <c r="I609" s="72">
        <v>39178.720000000001</v>
      </c>
      <c r="J609" s="72">
        <v>752.32</v>
      </c>
      <c r="K609" s="72">
        <v>3772.57</v>
      </c>
      <c r="L609" s="72">
        <v>133.88</v>
      </c>
      <c r="M609" s="72">
        <v>82.94</v>
      </c>
      <c r="N609" s="77">
        <v>120.6</v>
      </c>
      <c r="O609" s="70">
        <v>4</v>
      </c>
      <c r="P609" s="70"/>
      <c r="Q609" s="62" t="s">
        <v>258</v>
      </c>
      <c r="R609" s="61"/>
      <c r="S609" s="61"/>
    </row>
    <row r="610" spans="1:19" ht="13.8" customHeight="1" x14ac:dyDescent="0.3">
      <c r="A610" s="73" t="s">
        <v>309</v>
      </c>
      <c r="B610" s="74">
        <f>IFERROR(INDEX('Boulder Sample Log'!A$5:A$204,MATCH(A610,'Boulder Sample Log'!E$5:E$204,0)),"")</f>
        <v>46127</v>
      </c>
      <c r="C610" s="73">
        <v>728</v>
      </c>
      <c r="D610" s="73" t="s">
        <v>256</v>
      </c>
      <c r="E610" s="73">
        <v>4</v>
      </c>
      <c r="F610" s="73" t="s">
        <v>257</v>
      </c>
      <c r="G610" s="73" t="s">
        <v>257</v>
      </c>
      <c r="H610" s="75">
        <v>8.08</v>
      </c>
      <c r="I610" s="75">
        <v>38900.76</v>
      </c>
      <c r="J610" s="75">
        <v>710.06</v>
      </c>
      <c r="K610" s="75">
        <v>4651.3100000000004</v>
      </c>
      <c r="L610" s="75">
        <v>117.09</v>
      </c>
      <c r="M610" s="75">
        <v>32.83</v>
      </c>
      <c r="N610" s="76">
        <v>120.2</v>
      </c>
      <c r="O610" s="73">
        <v>4</v>
      </c>
      <c r="P610" s="73"/>
      <c r="Q610" s="66" t="s">
        <v>258</v>
      </c>
      <c r="R610" s="61"/>
      <c r="S610" s="61"/>
    </row>
    <row r="611" spans="1:19" ht="13.8" customHeight="1" x14ac:dyDescent="0.3">
      <c r="A611" s="70" t="s">
        <v>309</v>
      </c>
      <c r="B611" s="71">
        <f>IFERROR(INDEX('Boulder Sample Log'!A$5:A$204,MATCH(A611,'Boulder Sample Log'!E$5:E$204,0)),"")</f>
        <v>46127</v>
      </c>
      <c r="C611" s="70">
        <v>729</v>
      </c>
      <c r="D611" s="70" t="s">
        <v>256</v>
      </c>
      <c r="E611" s="70">
        <v>5</v>
      </c>
      <c r="F611" s="70" t="s">
        <v>257</v>
      </c>
      <c r="G611" s="70" t="s">
        <v>257</v>
      </c>
      <c r="H611" s="72">
        <v>11.8</v>
      </c>
      <c r="I611" s="72">
        <v>39103.42</v>
      </c>
      <c r="J611" s="72">
        <v>1032.54</v>
      </c>
      <c r="K611" s="72">
        <v>4677.37</v>
      </c>
      <c r="L611" s="72">
        <v>111.64</v>
      </c>
      <c r="M611" s="72">
        <v>38.340000000000003</v>
      </c>
      <c r="N611" s="77">
        <v>123.3</v>
      </c>
      <c r="O611" s="70">
        <v>4</v>
      </c>
      <c r="P611" s="70"/>
      <c r="Q611" s="62" t="s">
        <v>258</v>
      </c>
      <c r="R611" s="61"/>
      <c r="S611" s="61"/>
    </row>
    <row r="612" spans="1:19" ht="13.8" customHeight="1" x14ac:dyDescent="0.3">
      <c r="A612" s="73" t="s">
        <v>309</v>
      </c>
      <c r="B612" s="74">
        <f>IFERROR(INDEX('Boulder Sample Log'!A$5:A$204,MATCH(A612,'Boulder Sample Log'!E$5:E$204,0)),"")</f>
        <v>46127</v>
      </c>
      <c r="C612" s="73">
        <v>731</v>
      </c>
      <c r="D612" s="73" t="s">
        <v>256</v>
      </c>
      <c r="E612" s="73">
        <v>5</v>
      </c>
      <c r="F612" s="73" t="s">
        <v>257</v>
      </c>
      <c r="G612" s="73" t="s">
        <v>257</v>
      </c>
      <c r="H612" s="75">
        <v>7.25</v>
      </c>
      <c r="I612" s="75">
        <v>38518.620000000003</v>
      </c>
      <c r="J612" s="75">
        <v>641.54999999999995</v>
      </c>
      <c r="K612" s="75">
        <v>3594.04</v>
      </c>
      <c r="L612" s="75">
        <v>99.68</v>
      </c>
      <c r="M612" s="75">
        <v>49.3</v>
      </c>
      <c r="N612" s="76">
        <v>120.1</v>
      </c>
      <c r="O612" s="73">
        <v>4</v>
      </c>
      <c r="P612" s="73"/>
      <c r="Q612" s="66" t="s">
        <v>258</v>
      </c>
      <c r="R612" s="61"/>
      <c r="S612" s="61"/>
    </row>
    <row r="613" spans="1:19" ht="13.8" customHeight="1" x14ac:dyDescent="0.3">
      <c r="A613" s="70" t="s">
        <v>310</v>
      </c>
      <c r="B613" s="71">
        <f>IFERROR(INDEX('Boulder Sample Log'!A$5:A$204,MATCH(A613,'Boulder Sample Log'!E$5:E$204,0)),"")</f>
        <v>46128</v>
      </c>
      <c r="C613" s="70">
        <v>740</v>
      </c>
      <c r="D613" s="70" t="s">
        <v>256</v>
      </c>
      <c r="E613" s="70">
        <v>1</v>
      </c>
      <c r="F613" s="70" t="s">
        <v>257</v>
      </c>
      <c r="G613" s="70" t="s">
        <v>257</v>
      </c>
      <c r="H613" s="72">
        <v>6.95</v>
      </c>
      <c r="I613" s="72">
        <v>38950.410000000003</v>
      </c>
      <c r="J613" s="72">
        <v>652.29</v>
      </c>
      <c r="K613" s="72">
        <v>4567.6099999999997</v>
      </c>
      <c r="L613" s="72">
        <v>93.16</v>
      </c>
      <c r="M613" s="72">
        <v>7.36</v>
      </c>
      <c r="N613" s="77">
        <v>120.1</v>
      </c>
      <c r="O613" s="70">
        <v>4</v>
      </c>
      <c r="P613" s="70"/>
      <c r="Q613" s="62" t="s">
        <v>258</v>
      </c>
      <c r="R613" s="61"/>
      <c r="S613" s="61"/>
    </row>
    <row r="614" spans="1:19" ht="13.8" customHeight="1" x14ac:dyDescent="0.3">
      <c r="A614" s="73" t="s">
        <v>310</v>
      </c>
      <c r="B614" s="74">
        <f>IFERROR(INDEX('Boulder Sample Log'!A$5:A$204,MATCH(A614,'Boulder Sample Log'!E$5:E$204,0)),"")</f>
        <v>46128</v>
      </c>
      <c r="C614" s="73">
        <v>741</v>
      </c>
      <c r="D614" s="73" t="s">
        <v>256</v>
      </c>
      <c r="E614" s="73">
        <v>1</v>
      </c>
      <c r="F614" s="73" t="s">
        <v>257</v>
      </c>
      <c r="G614" s="73" t="s">
        <v>257</v>
      </c>
      <c r="H614" s="75">
        <v>6.49</v>
      </c>
      <c r="I614" s="75">
        <v>38719.4</v>
      </c>
      <c r="J614" s="75">
        <v>632.74</v>
      </c>
      <c r="K614" s="75">
        <v>4514.9799999999996</v>
      </c>
      <c r="L614" s="75">
        <v>95.47</v>
      </c>
      <c r="M614" s="75">
        <v>11.85</v>
      </c>
      <c r="N614" s="76">
        <v>122.8</v>
      </c>
      <c r="O614" s="73">
        <v>4</v>
      </c>
      <c r="P614" s="73"/>
      <c r="Q614" s="66" t="s">
        <v>258</v>
      </c>
      <c r="R614" s="61"/>
      <c r="S614" s="61"/>
    </row>
    <row r="615" spans="1:19" ht="13.8" customHeight="1" x14ac:dyDescent="0.3">
      <c r="A615" s="70" t="s">
        <v>310</v>
      </c>
      <c r="B615" s="71">
        <f>IFERROR(INDEX('Boulder Sample Log'!A$5:A$204,MATCH(A615,'Boulder Sample Log'!E$5:E$204,0)),"")</f>
        <v>46128</v>
      </c>
      <c r="C615" s="70">
        <v>742</v>
      </c>
      <c r="D615" s="70" t="s">
        <v>256</v>
      </c>
      <c r="E615" s="70">
        <v>2</v>
      </c>
      <c r="F615" s="70" t="s">
        <v>257</v>
      </c>
      <c r="G615" s="70" t="s">
        <v>257</v>
      </c>
      <c r="H615" s="72">
        <v>7.06</v>
      </c>
      <c r="I615" s="72">
        <v>38831.050000000003</v>
      </c>
      <c r="J615" s="72">
        <v>675.99</v>
      </c>
      <c r="K615" s="72">
        <v>6635.47</v>
      </c>
      <c r="L615" s="72">
        <v>83.89</v>
      </c>
      <c r="M615" s="72">
        <v>6.99</v>
      </c>
      <c r="N615" s="77">
        <v>120.6</v>
      </c>
      <c r="O615" s="70">
        <v>4</v>
      </c>
      <c r="P615" s="70"/>
      <c r="Q615" s="62" t="s">
        <v>258</v>
      </c>
      <c r="R615" s="61"/>
      <c r="S615" s="61"/>
    </row>
    <row r="616" spans="1:19" ht="13.8" customHeight="1" x14ac:dyDescent="0.3">
      <c r="A616" s="73" t="s">
        <v>310</v>
      </c>
      <c r="B616" s="74">
        <f>IFERROR(INDEX('Boulder Sample Log'!A$5:A$204,MATCH(A616,'Boulder Sample Log'!E$5:E$204,0)),"")</f>
        <v>46128</v>
      </c>
      <c r="C616" s="73">
        <v>743</v>
      </c>
      <c r="D616" s="73" t="s">
        <v>256</v>
      </c>
      <c r="E616" s="73">
        <v>2</v>
      </c>
      <c r="F616" s="75">
        <v>3.17</v>
      </c>
      <c r="G616" s="73" t="s">
        <v>257</v>
      </c>
      <c r="H616" s="75">
        <v>7.6</v>
      </c>
      <c r="I616" s="75">
        <v>40120.04</v>
      </c>
      <c r="J616" s="75">
        <v>715.16</v>
      </c>
      <c r="K616" s="75">
        <v>6472.9</v>
      </c>
      <c r="L616" s="75">
        <v>80.81</v>
      </c>
      <c r="M616" s="75">
        <v>8.1999999999999993</v>
      </c>
      <c r="N616" s="76">
        <v>123.1</v>
      </c>
      <c r="O616" s="73">
        <v>4</v>
      </c>
      <c r="P616" s="73"/>
      <c r="Q616" s="66" t="s">
        <v>258</v>
      </c>
      <c r="R616" s="61"/>
      <c r="S616" s="61"/>
    </row>
    <row r="617" spans="1:19" ht="13.8" customHeight="1" x14ac:dyDescent="0.3">
      <c r="A617" s="70" t="s">
        <v>310</v>
      </c>
      <c r="B617" s="71">
        <f>IFERROR(INDEX('Boulder Sample Log'!A$5:A$204,MATCH(A617,'Boulder Sample Log'!E$5:E$204,0)),"")</f>
        <v>46128</v>
      </c>
      <c r="C617" s="70">
        <v>744</v>
      </c>
      <c r="D617" s="70" t="s">
        <v>256</v>
      </c>
      <c r="E617" s="70">
        <v>3</v>
      </c>
      <c r="F617" s="70" t="s">
        <v>257</v>
      </c>
      <c r="G617" s="70" t="s">
        <v>257</v>
      </c>
      <c r="H617" s="72">
        <v>8.43</v>
      </c>
      <c r="I617" s="72">
        <v>38925.33</v>
      </c>
      <c r="J617" s="72">
        <v>640.92999999999995</v>
      </c>
      <c r="K617" s="72">
        <v>2431.31</v>
      </c>
      <c r="L617" s="72">
        <v>111.3</v>
      </c>
      <c r="M617" s="72">
        <v>24.17</v>
      </c>
      <c r="N617" s="77">
        <v>120.5</v>
      </c>
      <c r="O617" s="70">
        <v>4</v>
      </c>
      <c r="P617" s="70"/>
      <c r="Q617" s="62" t="s">
        <v>258</v>
      </c>
      <c r="R617" s="61"/>
      <c r="S617" s="61"/>
    </row>
    <row r="618" spans="1:19" ht="13.8" customHeight="1" x14ac:dyDescent="0.3">
      <c r="A618" s="73" t="s">
        <v>310</v>
      </c>
      <c r="B618" s="74">
        <f>IFERROR(INDEX('Boulder Sample Log'!A$5:A$204,MATCH(A618,'Boulder Sample Log'!E$5:E$204,0)),"")</f>
        <v>46128</v>
      </c>
      <c r="C618" s="73">
        <v>745</v>
      </c>
      <c r="D618" s="73" t="s">
        <v>256</v>
      </c>
      <c r="E618" s="73">
        <v>3</v>
      </c>
      <c r="F618" s="73" t="s">
        <v>257</v>
      </c>
      <c r="G618" s="73" t="s">
        <v>257</v>
      </c>
      <c r="H618" s="75">
        <v>7.32</v>
      </c>
      <c r="I618" s="75">
        <v>39598.53</v>
      </c>
      <c r="J618" s="75">
        <v>692.73</v>
      </c>
      <c r="K618" s="75">
        <v>1468.87</v>
      </c>
      <c r="L618" s="75">
        <v>83.42</v>
      </c>
      <c r="M618" s="75">
        <v>23.71</v>
      </c>
      <c r="N618" s="76">
        <v>120.5</v>
      </c>
      <c r="O618" s="73">
        <v>4</v>
      </c>
      <c r="P618" s="73"/>
      <c r="Q618" s="66" t="s">
        <v>258</v>
      </c>
      <c r="R618" s="61"/>
      <c r="S618" s="61"/>
    </row>
    <row r="619" spans="1:19" ht="13.8" customHeight="1" x14ac:dyDescent="0.3">
      <c r="A619" s="70" t="s">
        <v>310</v>
      </c>
      <c r="B619" s="71">
        <f>IFERROR(INDEX('Boulder Sample Log'!A$5:A$204,MATCH(A619,'Boulder Sample Log'!E$5:E$204,0)),"")</f>
        <v>46128</v>
      </c>
      <c r="C619" s="70">
        <v>747</v>
      </c>
      <c r="D619" s="70" t="s">
        <v>256</v>
      </c>
      <c r="E619" s="70">
        <v>4</v>
      </c>
      <c r="F619" s="72">
        <v>3.02</v>
      </c>
      <c r="G619" s="70" t="s">
        <v>257</v>
      </c>
      <c r="H619" s="72">
        <v>6.65</v>
      </c>
      <c r="I619" s="72">
        <v>38572.629999999997</v>
      </c>
      <c r="J619" s="72">
        <v>632.85</v>
      </c>
      <c r="K619" s="72">
        <v>2678.55</v>
      </c>
      <c r="L619" s="72">
        <v>111.71</v>
      </c>
      <c r="M619" s="72">
        <v>22.32</v>
      </c>
      <c r="N619" s="77">
        <v>120.1</v>
      </c>
      <c r="O619" s="70">
        <v>4</v>
      </c>
      <c r="P619" s="70"/>
      <c r="Q619" s="62" t="s">
        <v>258</v>
      </c>
      <c r="R619" s="61"/>
      <c r="S619" s="61"/>
    </row>
    <row r="620" spans="1:19" ht="13.8" customHeight="1" x14ac:dyDescent="0.3">
      <c r="A620" s="73" t="s">
        <v>310</v>
      </c>
      <c r="B620" s="74">
        <f>IFERROR(INDEX('Boulder Sample Log'!A$5:A$204,MATCH(A620,'Boulder Sample Log'!E$5:E$204,0)),"")</f>
        <v>46128</v>
      </c>
      <c r="C620" s="73">
        <v>748</v>
      </c>
      <c r="D620" s="73" t="s">
        <v>256</v>
      </c>
      <c r="E620" s="73">
        <v>4</v>
      </c>
      <c r="F620" s="73" t="s">
        <v>257</v>
      </c>
      <c r="G620" s="73" t="s">
        <v>257</v>
      </c>
      <c r="H620" s="75">
        <v>9.4</v>
      </c>
      <c r="I620" s="75">
        <v>44849.29</v>
      </c>
      <c r="J620" s="75">
        <v>748.9</v>
      </c>
      <c r="K620" s="73" t="s">
        <v>257</v>
      </c>
      <c r="L620" s="75">
        <v>147.72</v>
      </c>
      <c r="M620" s="75">
        <v>13.41</v>
      </c>
      <c r="N620" s="76">
        <v>33.1</v>
      </c>
      <c r="O620" s="73">
        <v>4</v>
      </c>
      <c r="P620" s="73" t="s">
        <v>311</v>
      </c>
      <c r="Q620" s="66" t="s">
        <v>258</v>
      </c>
      <c r="R620" s="61"/>
      <c r="S620" s="61"/>
    </row>
    <row r="621" spans="1:19" ht="13.8" customHeight="1" x14ac:dyDescent="0.3">
      <c r="A621" s="70" t="s">
        <v>310</v>
      </c>
      <c r="B621" s="71">
        <f>IFERROR(INDEX('Boulder Sample Log'!A$5:A$204,MATCH(A621,'Boulder Sample Log'!E$5:E$204,0)),"")</f>
        <v>46128</v>
      </c>
      <c r="C621" s="70">
        <v>749</v>
      </c>
      <c r="D621" s="70" t="s">
        <v>256</v>
      </c>
      <c r="E621" s="70">
        <v>4</v>
      </c>
      <c r="F621" s="72">
        <v>3.26</v>
      </c>
      <c r="G621" s="70" t="s">
        <v>257</v>
      </c>
      <c r="H621" s="72">
        <v>7.29</v>
      </c>
      <c r="I621" s="72">
        <v>39937.050000000003</v>
      </c>
      <c r="J621" s="72">
        <v>665.7</v>
      </c>
      <c r="K621" s="72">
        <v>2998.21</v>
      </c>
      <c r="L621" s="72">
        <v>132.91999999999999</v>
      </c>
      <c r="M621" s="72">
        <v>14.76</v>
      </c>
      <c r="N621" s="77">
        <v>120.4</v>
      </c>
      <c r="O621" s="70">
        <v>4</v>
      </c>
      <c r="P621" s="70"/>
      <c r="Q621" s="62" t="s">
        <v>258</v>
      </c>
      <c r="R621" s="61"/>
      <c r="S621" s="61"/>
    </row>
    <row r="622" spans="1:19" ht="13.8" customHeight="1" x14ac:dyDescent="0.3">
      <c r="A622" s="73" t="s">
        <v>310</v>
      </c>
      <c r="B622" s="74">
        <f>IFERROR(INDEX('Boulder Sample Log'!A$5:A$204,MATCH(A622,'Boulder Sample Log'!E$5:E$204,0)),"")</f>
        <v>46128</v>
      </c>
      <c r="C622" s="73">
        <v>750</v>
      </c>
      <c r="D622" s="73" t="s">
        <v>256</v>
      </c>
      <c r="E622" s="73">
        <v>5</v>
      </c>
      <c r="F622" s="75">
        <v>4.99</v>
      </c>
      <c r="G622" s="73" t="s">
        <v>257</v>
      </c>
      <c r="H622" s="75">
        <v>10.4</v>
      </c>
      <c r="I622" s="75">
        <v>39756.85</v>
      </c>
      <c r="J622" s="75">
        <v>687.21</v>
      </c>
      <c r="K622" s="75">
        <v>3701.92</v>
      </c>
      <c r="L622" s="75">
        <v>124.85</v>
      </c>
      <c r="M622" s="75">
        <v>14.57</v>
      </c>
      <c r="N622" s="76">
        <v>120.3</v>
      </c>
      <c r="O622" s="73">
        <v>4</v>
      </c>
      <c r="P622" s="73"/>
      <c r="Q622" s="66" t="s">
        <v>258</v>
      </c>
      <c r="R622" s="61"/>
      <c r="S622" s="61"/>
    </row>
    <row r="623" spans="1:19" ht="13.8" customHeight="1" x14ac:dyDescent="0.3">
      <c r="A623" s="70" t="s">
        <v>310</v>
      </c>
      <c r="B623" s="71">
        <f>IFERROR(INDEX('Boulder Sample Log'!A$5:A$204,MATCH(A623,'Boulder Sample Log'!E$5:E$204,0)),"")</f>
        <v>46128</v>
      </c>
      <c r="C623" s="70">
        <v>751</v>
      </c>
      <c r="D623" s="70" t="s">
        <v>256</v>
      </c>
      <c r="E623" s="70">
        <v>5</v>
      </c>
      <c r="F623" s="70" t="s">
        <v>257</v>
      </c>
      <c r="G623" s="70" t="s">
        <v>257</v>
      </c>
      <c r="H623" s="72">
        <v>9.98</v>
      </c>
      <c r="I623" s="72">
        <v>40113.9</v>
      </c>
      <c r="J623" s="72">
        <v>679.21</v>
      </c>
      <c r="K623" s="72">
        <v>3583</v>
      </c>
      <c r="L623" s="72">
        <v>151.81</v>
      </c>
      <c r="M623" s="72">
        <v>15.57</v>
      </c>
      <c r="N623" s="77">
        <v>120.4</v>
      </c>
      <c r="O623" s="70">
        <v>4</v>
      </c>
      <c r="P623" s="70"/>
      <c r="Q623" s="62" t="s">
        <v>258</v>
      </c>
      <c r="R623" s="61"/>
      <c r="S623" s="61"/>
    </row>
    <row r="624" spans="1:19" ht="13.8" customHeight="1" x14ac:dyDescent="0.3">
      <c r="A624" s="73" t="s">
        <v>312</v>
      </c>
      <c r="B624" s="74">
        <f>IFERROR(INDEX('Boulder Sample Log'!A$5:A$204,MATCH(A624,'Boulder Sample Log'!E$5:E$204,0)),"")</f>
        <v>46128</v>
      </c>
      <c r="C624" s="73">
        <v>752</v>
      </c>
      <c r="D624" s="73" t="s">
        <v>256</v>
      </c>
      <c r="E624" s="73">
        <v>1</v>
      </c>
      <c r="F624" s="73" t="s">
        <v>257</v>
      </c>
      <c r="G624" s="73" t="s">
        <v>257</v>
      </c>
      <c r="H624" s="75">
        <v>7.21</v>
      </c>
      <c r="I624" s="75">
        <v>40741.5</v>
      </c>
      <c r="J624" s="75">
        <v>717.27</v>
      </c>
      <c r="K624" s="75">
        <v>5519.46</v>
      </c>
      <c r="L624" s="75">
        <v>137.66999999999999</v>
      </c>
      <c r="M624" s="73" t="s">
        <v>257</v>
      </c>
      <c r="N624" s="76">
        <v>120.5</v>
      </c>
      <c r="O624" s="73">
        <v>4</v>
      </c>
      <c r="P624" s="73"/>
      <c r="Q624" s="66" t="s">
        <v>258</v>
      </c>
      <c r="R624" s="61"/>
      <c r="S624" s="61"/>
    </row>
    <row r="625" spans="1:19" ht="13.8" customHeight="1" x14ac:dyDescent="0.3">
      <c r="A625" s="70" t="s">
        <v>312</v>
      </c>
      <c r="B625" s="71">
        <f>IFERROR(INDEX('Boulder Sample Log'!A$5:A$204,MATCH(A625,'Boulder Sample Log'!E$5:E$204,0)),"")</f>
        <v>46128</v>
      </c>
      <c r="C625" s="70">
        <v>753</v>
      </c>
      <c r="D625" s="70" t="s">
        <v>256</v>
      </c>
      <c r="E625" s="70">
        <v>1</v>
      </c>
      <c r="F625" s="70" t="s">
        <v>257</v>
      </c>
      <c r="G625" s="70" t="s">
        <v>257</v>
      </c>
      <c r="H625" s="72">
        <v>6.85</v>
      </c>
      <c r="I625" s="72">
        <v>40181.96</v>
      </c>
      <c r="J625" s="72">
        <v>712.86</v>
      </c>
      <c r="K625" s="72">
        <v>5238.8999999999996</v>
      </c>
      <c r="L625" s="72">
        <v>146.66</v>
      </c>
      <c r="M625" s="72">
        <v>6.33</v>
      </c>
      <c r="N625" s="77">
        <v>120.4</v>
      </c>
      <c r="O625" s="70">
        <v>4</v>
      </c>
      <c r="P625" s="70"/>
      <c r="Q625" s="62" t="s">
        <v>258</v>
      </c>
      <c r="R625" s="61"/>
      <c r="S625" s="61"/>
    </row>
    <row r="626" spans="1:19" ht="13.8" customHeight="1" x14ac:dyDescent="0.3">
      <c r="A626" s="73" t="s">
        <v>312</v>
      </c>
      <c r="B626" s="74">
        <f>IFERROR(INDEX('Boulder Sample Log'!A$5:A$204,MATCH(A626,'Boulder Sample Log'!E$5:E$204,0)),"")</f>
        <v>46128</v>
      </c>
      <c r="C626" s="73">
        <v>754</v>
      </c>
      <c r="D626" s="73" t="s">
        <v>256</v>
      </c>
      <c r="E626" s="73">
        <v>2</v>
      </c>
      <c r="F626" s="73" t="s">
        <v>257</v>
      </c>
      <c r="G626" s="73" t="s">
        <v>257</v>
      </c>
      <c r="H626" s="75">
        <v>6.8</v>
      </c>
      <c r="I626" s="75">
        <v>38906.230000000003</v>
      </c>
      <c r="J626" s="75">
        <v>694.28</v>
      </c>
      <c r="K626" s="75">
        <v>6172.45</v>
      </c>
      <c r="L626" s="75">
        <v>96.04</v>
      </c>
      <c r="M626" s="75">
        <v>15.9</v>
      </c>
      <c r="N626" s="76">
        <v>120.5</v>
      </c>
      <c r="O626" s="73">
        <v>4</v>
      </c>
      <c r="P626" s="73"/>
      <c r="Q626" s="66" t="s">
        <v>258</v>
      </c>
      <c r="R626" s="61"/>
      <c r="S626" s="61"/>
    </row>
    <row r="627" spans="1:19" ht="13.8" customHeight="1" x14ac:dyDescent="0.3">
      <c r="A627" s="70" t="s">
        <v>312</v>
      </c>
      <c r="B627" s="71">
        <f>IFERROR(INDEX('Boulder Sample Log'!A$5:A$204,MATCH(A627,'Boulder Sample Log'!E$5:E$204,0)),"")</f>
        <v>46128</v>
      </c>
      <c r="C627" s="70">
        <v>755</v>
      </c>
      <c r="D627" s="70" t="s">
        <v>256</v>
      </c>
      <c r="E627" s="70">
        <v>2</v>
      </c>
      <c r="F627" s="70" t="s">
        <v>257</v>
      </c>
      <c r="G627" s="70" t="s">
        <v>257</v>
      </c>
      <c r="H627" s="72">
        <v>7.15</v>
      </c>
      <c r="I627" s="72">
        <v>40077.769999999997</v>
      </c>
      <c r="J627" s="72">
        <v>696.3</v>
      </c>
      <c r="K627" s="72">
        <v>5892.98</v>
      </c>
      <c r="L627" s="72">
        <v>81.790000000000006</v>
      </c>
      <c r="M627" s="72">
        <v>9.61</v>
      </c>
      <c r="N627" s="77">
        <v>120.5</v>
      </c>
      <c r="O627" s="70">
        <v>4</v>
      </c>
      <c r="P627" s="70"/>
      <c r="Q627" s="62" t="s">
        <v>258</v>
      </c>
      <c r="R627" s="61"/>
      <c r="S627" s="61"/>
    </row>
    <row r="628" spans="1:19" ht="13.8" customHeight="1" x14ac:dyDescent="0.3">
      <c r="A628" s="73" t="s">
        <v>312</v>
      </c>
      <c r="B628" s="74">
        <f>IFERROR(INDEX('Boulder Sample Log'!A$5:A$204,MATCH(A628,'Boulder Sample Log'!E$5:E$204,0)),"")</f>
        <v>46128</v>
      </c>
      <c r="C628" s="73">
        <v>756</v>
      </c>
      <c r="D628" s="73" t="s">
        <v>256</v>
      </c>
      <c r="E628" s="73">
        <v>3</v>
      </c>
      <c r="F628" s="73" t="s">
        <v>257</v>
      </c>
      <c r="G628" s="73" t="s">
        <v>257</v>
      </c>
      <c r="H628" s="75">
        <v>6.81</v>
      </c>
      <c r="I628" s="75">
        <v>40359.85</v>
      </c>
      <c r="J628" s="75">
        <v>686.9</v>
      </c>
      <c r="K628" s="75">
        <v>2276.1</v>
      </c>
      <c r="L628" s="75">
        <v>217.71</v>
      </c>
      <c r="M628" s="75">
        <v>14.16</v>
      </c>
      <c r="N628" s="76">
        <v>120.5</v>
      </c>
      <c r="O628" s="73">
        <v>4</v>
      </c>
      <c r="P628" s="73"/>
      <c r="Q628" s="66" t="s">
        <v>258</v>
      </c>
      <c r="R628" s="61"/>
      <c r="S628" s="61"/>
    </row>
    <row r="629" spans="1:19" ht="13.8" customHeight="1" x14ac:dyDescent="0.3">
      <c r="A629" s="70" t="s">
        <v>312</v>
      </c>
      <c r="B629" s="71">
        <f>IFERROR(INDEX('Boulder Sample Log'!A$5:A$204,MATCH(A629,'Boulder Sample Log'!E$5:E$204,0)),"")</f>
        <v>46128</v>
      </c>
      <c r="C629" s="70">
        <v>757</v>
      </c>
      <c r="D629" s="70" t="s">
        <v>256</v>
      </c>
      <c r="E629" s="70">
        <v>3</v>
      </c>
      <c r="F629" s="70" t="s">
        <v>257</v>
      </c>
      <c r="G629" s="70" t="s">
        <v>257</v>
      </c>
      <c r="H629" s="72">
        <v>4.67</v>
      </c>
      <c r="I629" s="72">
        <v>40553.019999999997</v>
      </c>
      <c r="J629" s="72">
        <v>688.16</v>
      </c>
      <c r="K629" s="72">
        <v>2446.59</v>
      </c>
      <c r="L629" s="72">
        <v>305.52</v>
      </c>
      <c r="M629" s="72">
        <v>12.64</v>
      </c>
      <c r="N629" s="77">
        <v>120.5</v>
      </c>
      <c r="O629" s="70">
        <v>4</v>
      </c>
      <c r="P629" s="70"/>
      <c r="Q629" s="62" t="s">
        <v>258</v>
      </c>
      <c r="R629" s="61"/>
      <c r="S629" s="61"/>
    </row>
    <row r="630" spans="1:19" ht="13.8" customHeight="1" x14ac:dyDescent="0.3">
      <c r="A630" s="73" t="s">
        <v>312</v>
      </c>
      <c r="B630" s="74">
        <f>IFERROR(INDEX('Boulder Sample Log'!A$5:A$204,MATCH(A630,'Boulder Sample Log'!E$5:E$204,0)),"")</f>
        <v>46128</v>
      </c>
      <c r="C630" s="73">
        <v>758</v>
      </c>
      <c r="D630" s="73" t="s">
        <v>256</v>
      </c>
      <c r="E630" s="73">
        <v>4</v>
      </c>
      <c r="F630" s="73" t="s">
        <v>257</v>
      </c>
      <c r="G630" s="73" t="s">
        <v>257</v>
      </c>
      <c r="H630" s="75">
        <v>7.16</v>
      </c>
      <c r="I630" s="75">
        <v>39972.050000000003</v>
      </c>
      <c r="J630" s="75">
        <v>706.2</v>
      </c>
      <c r="K630" s="75">
        <v>4907.75</v>
      </c>
      <c r="L630" s="75">
        <v>145.13</v>
      </c>
      <c r="M630" s="75">
        <v>6.93</v>
      </c>
      <c r="N630" s="76">
        <v>122.7</v>
      </c>
      <c r="O630" s="73">
        <v>4</v>
      </c>
      <c r="P630" s="73"/>
      <c r="Q630" s="66" t="s">
        <v>258</v>
      </c>
      <c r="R630" s="61"/>
      <c r="S630" s="61"/>
    </row>
    <row r="631" spans="1:19" ht="13.8" customHeight="1" x14ac:dyDescent="0.3">
      <c r="A631" s="70" t="s">
        <v>312</v>
      </c>
      <c r="B631" s="71">
        <f>IFERROR(INDEX('Boulder Sample Log'!A$5:A$204,MATCH(A631,'Boulder Sample Log'!E$5:E$204,0)),"")</f>
        <v>46128</v>
      </c>
      <c r="C631" s="70">
        <v>759</v>
      </c>
      <c r="D631" s="70" t="s">
        <v>256</v>
      </c>
      <c r="E631" s="70">
        <v>4</v>
      </c>
      <c r="F631" s="70" t="s">
        <v>257</v>
      </c>
      <c r="G631" s="70" t="s">
        <v>257</v>
      </c>
      <c r="H631" s="72">
        <v>7.73</v>
      </c>
      <c r="I631" s="72">
        <v>41183.480000000003</v>
      </c>
      <c r="J631" s="72">
        <v>702.41</v>
      </c>
      <c r="K631" s="72">
        <v>4192.57</v>
      </c>
      <c r="L631" s="72">
        <v>153.06</v>
      </c>
      <c r="M631" s="72">
        <v>14.07</v>
      </c>
      <c r="N631" s="77">
        <v>120.3</v>
      </c>
      <c r="O631" s="70">
        <v>4</v>
      </c>
      <c r="P631" s="70"/>
      <c r="Q631" s="62" t="s">
        <v>258</v>
      </c>
      <c r="R631" s="61"/>
      <c r="S631" s="61"/>
    </row>
    <row r="632" spans="1:19" ht="13.8" customHeight="1" x14ac:dyDescent="0.3">
      <c r="A632" s="73" t="s">
        <v>312</v>
      </c>
      <c r="B632" s="74">
        <f>IFERROR(INDEX('Boulder Sample Log'!A$5:A$204,MATCH(A632,'Boulder Sample Log'!E$5:E$204,0)),"")</f>
        <v>46128</v>
      </c>
      <c r="C632" s="73">
        <v>760</v>
      </c>
      <c r="D632" s="73" t="s">
        <v>256</v>
      </c>
      <c r="E632" s="73">
        <v>5</v>
      </c>
      <c r="F632" s="73" t="s">
        <v>257</v>
      </c>
      <c r="G632" s="73" t="s">
        <v>257</v>
      </c>
      <c r="H632" s="75">
        <v>8.74</v>
      </c>
      <c r="I632" s="75">
        <v>38779.769999999997</v>
      </c>
      <c r="J632" s="75">
        <v>622.42999999999995</v>
      </c>
      <c r="K632" s="75">
        <v>4520.78</v>
      </c>
      <c r="L632" s="75">
        <v>437.66</v>
      </c>
      <c r="M632" s="75">
        <v>42.22</v>
      </c>
      <c r="N632" s="76">
        <v>120.5</v>
      </c>
      <c r="O632" s="73">
        <v>4</v>
      </c>
      <c r="P632" s="73"/>
      <c r="Q632" s="66" t="s">
        <v>258</v>
      </c>
      <c r="R632" s="61"/>
      <c r="S632" s="61"/>
    </row>
    <row r="633" spans="1:19" ht="13.8" customHeight="1" x14ac:dyDescent="0.3">
      <c r="A633" s="70" t="s">
        <v>312</v>
      </c>
      <c r="B633" s="71">
        <f>IFERROR(INDEX('Boulder Sample Log'!A$5:A$204,MATCH(A633,'Boulder Sample Log'!E$5:E$204,0)),"")</f>
        <v>46128</v>
      </c>
      <c r="C633" s="70">
        <v>761</v>
      </c>
      <c r="D633" s="70" t="s">
        <v>256</v>
      </c>
      <c r="E633" s="70">
        <v>5</v>
      </c>
      <c r="F633" s="70" t="s">
        <v>257</v>
      </c>
      <c r="G633" s="70" t="s">
        <v>257</v>
      </c>
      <c r="H633" s="72">
        <v>9.59</v>
      </c>
      <c r="I633" s="72">
        <v>40109.54</v>
      </c>
      <c r="J633" s="72">
        <v>673.74</v>
      </c>
      <c r="K633" s="72">
        <v>4624.4399999999996</v>
      </c>
      <c r="L633" s="72">
        <v>495.6</v>
      </c>
      <c r="M633" s="72">
        <v>40.090000000000003</v>
      </c>
      <c r="N633" s="77">
        <v>120.8</v>
      </c>
      <c r="O633" s="70">
        <v>4</v>
      </c>
      <c r="P633" s="70"/>
      <c r="Q633" s="62" t="s">
        <v>258</v>
      </c>
      <c r="R633" s="61"/>
      <c r="S633" s="61"/>
    </row>
    <row r="634" spans="1:19" ht="13.8" customHeight="1" x14ac:dyDescent="0.3">
      <c r="A634" s="73" t="s">
        <v>313</v>
      </c>
      <c r="B634" s="74">
        <f>IFERROR(INDEX('Boulder Sample Log'!A$5:A$204,MATCH(A634,'Boulder Sample Log'!E$5:E$204,0)),"")</f>
        <v>46128</v>
      </c>
      <c r="C634" s="73">
        <v>762</v>
      </c>
      <c r="D634" s="73" t="s">
        <v>256</v>
      </c>
      <c r="E634" s="73">
        <v>1</v>
      </c>
      <c r="F634" s="73" t="s">
        <v>257</v>
      </c>
      <c r="G634" s="73" t="s">
        <v>257</v>
      </c>
      <c r="H634" s="75">
        <v>6.59</v>
      </c>
      <c r="I634" s="75">
        <v>38698.53</v>
      </c>
      <c r="J634" s="75">
        <v>689.02</v>
      </c>
      <c r="K634" s="75">
        <v>19144.25</v>
      </c>
      <c r="L634" s="75">
        <v>114.3</v>
      </c>
      <c r="M634" s="75">
        <v>13.49</v>
      </c>
      <c r="N634" s="76">
        <v>120.3</v>
      </c>
      <c r="O634" s="73">
        <v>4</v>
      </c>
      <c r="P634" s="73"/>
      <c r="Q634" s="66" t="s">
        <v>258</v>
      </c>
      <c r="R634" s="61"/>
      <c r="S634" s="61"/>
    </row>
    <row r="635" spans="1:19" ht="13.8" customHeight="1" x14ac:dyDescent="0.3">
      <c r="A635" s="70" t="s">
        <v>313</v>
      </c>
      <c r="B635" s="71">
        <f>IFERROR(INDEX('Boulder Sample Log'!A$5:A$204,MATCH(A635,'Boulder Sample Log'!E$5:E$204,0)),"")</f>
        <v>46128</v>
      </c>
      <c r="C635" s="70">
        <v>763</v>
      </c>
      <c r="D635" s="70" t="s">
        <v>256</v>
      </c>
      <c r="E635" s="70">
        <v>1</v>
      </c>
      <c r="F635" s="70" t="s">
        <v>257</v>
      </c>
      <c r="G635" s="70" t="s">
        <v>257</v>
      </c>
      <c r="H635" s="72">
        <v>6.23</v>
      </c>
      <c r="I635" s="72">
        <v>37317.43</v>
      </c>
      <c r="J635" s="72">
        <v>617.54</v>
      </c>
      <c r="K635" s="72">
        <v>22764.86</v>
      </c>
      <c r="L635" s="72">
        <v>83.73</v>
      </c>
      <c r="M635" s="72">
        <v>11.74</v>
      </c>
      <c r="N635" s="77">
        <v>120</v>
      </c>
      <c r="O635" s="70">
        <v>4</v>
      </c>
      <c r="P635" s="70"/>
      <c r="Q635" s="62" t="s">
        <v>258</v>
      </c>
      <c r="R635" s="61"/>
      <c r="S635" s="61"/>
    </row>
    <row r="636" spans="1:19" ht="13.8" customHeight="1" x14ac:dyDescent="0.3">
      <c r="A636" s="73" t="s">
        <v>313</v>
      </c>
      <c r="B636" s="74">
        <f>IFERROR(INDEX('Boulder Sample Log'!A$5:A$204,MATCH(A636,'Boulder Sample Log'!E$5:E$204,0)),"")</f>
        <v>46128</v>
      </c>
      <c r="C636" s="73">
        <v>764</v>
      </c>
      <c r="D636" s="73" t="s">
        <v>256</v>
      </c>
      <c r="E636" s="73">
        <v>2</v>
      </c>
      <c r="F636" s="73" t="s">
        <v>257</v>
      </c>
      <c r="G636" s="73" t="s">
        <v>257</v>
      </c>
      <c r="H636" s="75">
        <v>9.31</v>
      </c>
      <c r="I636" s="75">
        <v>41450.949999999997</v>
      </c>
      <c r="J636" s="75">
        <v>674.24</v>
      </c>
      <c r="K636" s="75">
        <v>5433.29</v>
      </c>
      <c r="L636" s="75">
        <v>88.23</v>
      </c>
      <c r="M636" s="75">
        <v>28.62</v>
      </c>
      <c r="N636" s="76">
        <v>120.3</v>
      </c>
      <c r="O636" s="73">
        <v>4</v>
      </c>
      <c r="P636" s="73"/>
      <c r="Q636" s="66" t="s">
        <v>258</v>
      </c>
      <c r="R636" s="61"/>
      <c r="S636" s="61"/>
    </row>
    <row r="637" spans="1:19" ht="13.8" customHeight="1" x14ac:dyDescent="0.3">
      <c r="A637" s="70" t="s">
        <v>313</v>
      </c>
      <c r="B637" s="71">
        <f>IFERROR(INDEX('Boulder Sample Log'!A$5:A$204,MATCH(A637,'Boulder Sample Log'!E$5:E$204,0)),"")</f>
        <v>46128</v>
      </c>
      <c r="C637" s="70">
        <v>765</v>
      </c>
      <c r="D637" s="70" t="s">
        <v>256</v>
      </c>
      <c r="E637" s="70">
        <v>2</v>
      </c>
      <c r="F637" s="72">
        <v>3.25</v>
      </c>
      <c r="G637" s="70" t="s">
        <v>257</v>
      </c>
      <c r="H637" s="72">
        <v>8.41</v>
      </c>
      <c r="I637" s="72">
        <v>39925.5</v>
      </c>
      <c r="J637" s="72">
        <v>690.09</v>
      </c>
      <c r="K637" s="72">
        <v>9708.7199999999993</v>
      </c>
      <c r="L637" s="72">
        <v>102.29</v>
      </c>
      <c r="M637" s="72">
        <v>12.53</v>
      </c>
      <c r="N637" s="77">
        <v>123</v>
      </c>
      <c r="O637" s="70">
        <v>4</v>
      </c>
      <c r="P637" s="70"/>
      <c r="Q637" s="62" t="s">
        <v>258</v>
      </c>
      <c r="R637" s="61"/>
      <c r="S637" s="61"/>
    </row>
    <row r="638" spans="1:19" ht="13.8" customHeight="1" x14ac:dyDescent="0.3">
      <c r="A638" s="73" t="s">
        <v>313</v>
      </c>
      <c r="B638" s="74">
        <f>IFERROR(INDEX('Boulder Sample Log'!A$5:A$204,MATCH(A638,'Boulder Sample Log'!E$5:E$204,0)),"")</f>
        <v>46128</v>
      </c>
      <c r="C638" s="73">
        <v>766</v>
      </c>
      <c r="D638" s="73" t="s">
        <v>256</v>
      </c>
      <c r="E638" s="73">
        <v>3</v>
      </c>
      <c r="F638" s="73" t="s">
        <v>257</v>
      </c>
      <c r="G638" s="73" t="s">
        <v>257</v>
      </c>
      <c r="H638" s="75">
        <v>9.0500000000000007</v>
      </c>
      <c r="I638" s="75">
        <v>38231.32</v>
      </c>
      <c r="J638" s="75">
        <v>671.73</v>
      </c>
      <c r="K638" s="75">
        <v>12542.5</v>
      </c>
      <c r="L638" s="75">
        <v>113.19</v>
      </c>
      <c r="M638" s="75">
        <v>22.11</v>
      </c>
      <c r="N638" s="76">
        <v>120.4</v>
      </c>
      <c r="O638" s="73">
        <v>4</v>
      </c>
      <c r="P638" s="73"/>
      <c r="Q638" s="66" t="s">
        <v>258</v>
      </c>
      <c r="R638" s="61"/>
      <c r="S638" s="61"/>
    </row>
    <row r="639" spans="1:19" ht="13.8" customHeight="1" x14ac:dyDescent="0.3">
      <c r="A639" s="70" t="s">
        <v>313</v>
      </c>
      <c r="B639" s="71">
        <f>IFERROR(INDEX('Boulder Sample Log'!A$5:A$204,MATCH(A639,'Boulder Sample Log'!E$5:E$204,0)),"")</f>
        <v>46128</v>
      </c>
      <c r="C639" s="70">
        <v>767</v>
      </c>
      <c r="D639" s="70" t="s">
        <v>256</v>
      </c>
      <c r="E639" s="70">
        <v>3</v>
      </c>
      <c r="F639" s="70" t="s">
        <v>257</v>
      </c>
      <c r="G639" s="70" t="s">
        <v>257</v>
      </c>
      <c r="H639" s="72">
        <v>8.1999999999999993</v>
      </c>
      <c r="I639" s="72">
        <v>41636.410000000003</v>
      </c>
      <c r="J639" s="72">
        <v>668.57</v>
      </c>
      <c r="K639" s="72">
        <v>14561.67</v>
      </c>
      <c r="L639" s="72">
        <v>83.22</v>
      </c>
      <c r="M639" s="72">
        <v>14.82</v>
      </c>
      <c r="N639" s="77">
        <v>122.9</v>
      </c>
      <c r="O639" s="70">
        <v>4</v>
      </c>
      <c r="P639" s="70"/>
      <c r="Q639" s="62" t="s">
        <v>258</v>
      </c>
      <c r="R639" s="61"/>
      <c r="S639" s="61"/>
    </row>
    <row r="640" spans="1:19" ht="13.8" customHeight="1" x14ac:dyDescent="0.3">
      <c r="A640" s="73" t="s">
        <v>313</v>
      </c>
      <c r="B640" s="74">
        <f>IFERROR(INDEX('Boulder Sample Log'!A$5:A$204,MATCH(A640,'Boulder Sample Log'!E$5:E$204,0)),"")</f>
        <v>46128</v>
      </c>
      <c r="C640" s="73">
        <v>768</v>
      </c>
      <c r="D640" s="73" t="s">
        <v>256</v>
      </c>
      <c r="E640" s="73">
        <v>4</v>
      </c>
      <c r="F640" s="73" t="s">
        <v>257</v>
      </c>
      <c r="G640" s="73" t="s">
        <v>257</v>
      </c>
      <c r="H640" s="75">
        <v>7.56</v>
      </c>
      <c r="I640" s="75">
        <v>38903.96</v>
      </c>
      <c r="J640" s="75">
        <v>648.33000000000004</v>
      </c>
      <c r="K640" s="75">
        <v>24718.41</v>
      </c>
      <c r="L640" s="75">
        <v>103.69</v>
      </c>
      <c r="M640" s="75">
        <v>15.44</v>
      </c>
      <c r="N640" s="76">
        <v>120.2</v>
      </c>
      <c r="O640" s="73">
        <v>4</v>
      </c>
      <c r="P640" s="73"/>
      <c r="Q640" s="66" t="s">
        <v>258</v>
      </c>
      <c r="R640" s="61"/>
      <c r="S640" s="61"/>
    </row>
    <row r="641" spans="1:19" ht="13.8" customHeight="1" x14ac:dyDescent="0.3">
      <c r="A641" s="70" t="s">
        <v>313</v>
      </c>
      <c r="B641" s="71">
        <f>IFERROR(INDEX('Boulder Sample Log'!A$5:A$204,MATCH(A641,'Boulder Sample Log'!E$5:E$204,0)),"")</f>
        <v>46128</v>
      </c>
      <c r="C641" s="70">
        <v>769</v>
      </c>
      <c r="D641" s="70" t="s">
        <v>256</v>
      </c>
      <c r="E641" s="70">
        <v>4</v>
      </c>
      <c r="F641" s="70" t="s">
        <v>257</v>
      </c>
      <c r="G641" s="70" t="s">
        <v>257</v>
      </c>
      <c r="H641" s="72">
        <v>6.29</v>
      </c>
      <c r="I641" s="72">
        <v>38216.68</v>
      </c>
      <c r="J641" s="72">
        <v>638.69000000000005</v>
      </c>
      <c r="K641" s="72">
        <v>24040.42</v>
      </c>
      <c r="L641" s="72">
        <v>81.72</v>
      </c>
      <c r="M641" s="72">
        <v>26.12</v>
      </c>
      <c r="N641" s="77">
        <v>123.1</v>
      </c>
      <c r="O641" s="70">
        <v>4</v>
      </c>
      <c r="P641" s="70"/>
      <c r="Q641" s="62" t="s">
        <v>258</v>
      </c>
      <c r="R641" s="61"/>
      <c r="S641" s="61"/>
    </row>
    <row r="642" spans="1:19" ht="13.8" customHeight="1" x14ac:dyDescent="0.3">
      <c r="A642" s="73" t="s">
        <v>313</v>
      </c>
      <c r="B642" s="74">
        <f>IFERROR(INDEX('Boulder Sample Log'!A$5:A$204,MATCH(A642,'Boulder Sample Log'!E$5:E$204,0)),"")</f>
        <v>46128</v>
      </c>
      <c r="C642" s="73">
        <v>770</v>
      </c>
      <c r="D642" s="73" t="s">
        <v>256</v>
      </c>
      <c r="E642" s="73">
        <v>5</v>
      </c>
      <c r="F642" s="73" t="s">
        <v>257</v>
      </c>
      <c r="G642" s="73" t="s">
        <v>257</v>
      </c>
      <c r="H642" s="75">
        <v>11.3</v>
      </c>
      <c r="I642" s="75">
        <v>38985.199999999997</v>
      </c>
      <c r="J642" s="75">
        <v>643.83000000000004</v>
      </c>
      <c r="K642" s="75">
        <v>15264.95</v>
      </c>
      <c r="L642" s="75">
        <v>239.73</v>
      </c>
      <c r="M642" s="75">
        <v>35.46</v>
      </c>
      <c r="N642" s="76">
        <v>123.2</v>
      </c>
      <c r="O642" s="73">
        <v>4</v>
      </c>
      <c r="P642" s="73"/>
      <c r="Q642" s="66" t="s">
        <v>258</v>
      </c>
      <c r="R642" s="61"/>
      <c r="S642" s="61"/>
    </row>
    <row r="643" spans="1:19" ht="13.8" customHeight="1" x14ac:dyDescent="0.3">
      <c r="A643" s="70" t="s">
        <v>313</v>
      </c>
      <c r="B643" s="71">
        <f>IFERROR(INDEX('Boulder Sample Log'!A$5:A$204,MATCH(A643,'Boulder Sample Log'!E$5:E$204,0)),"")</f>
        <v>46128</v>
      </c>
      <c r="C643" s="70">
        <v>771</v>
      </c>
      <c r="D643" s="70" t="s">
        <v>256</v>
      </c>
      <c r="E643" s="70">
        <v>5</v>
      </c>
      <c r="F643" s="70" t="s">
        <v>257</v>
      </c>
      <c r="G643" s="70" t="s">
        <v>257</v>
      </c>
      <c r="H643" s="72">
        <v>7.35</v>
      </c>
      <c r="I643" s="72">
        <v>39002.01</v>
      </c>
      <c r="J643" s="72">
        <v>660.37</v>
      </c>
      <c r="K643" s="72">
        <v>11934.3</v>
      </c>
      <c r="L643" s="72">
        <v>351.02</v>
      </c>
      <c r="M643" s="72">
        <v>41.72</v>
      </c>
      <c r="N643" s="77">
        <v>123</v>
      </c>
      <c r="O643" s="70">
        <v>4</v>
      </c>
      <c r="P643" s="70"/>
      <c r="Q643" s="62" t="s">
        <v>258</v>
      </c>
      <c r="R643" s="61"/>
      <c r="S643" s="61"/>
    </row>
    <row r="644" spans="1:19" ht="13.8" customHeight="1" x14ac:dyDescent="0.3">
      <c r="A644" s="73" t="s">
        <v>314</v>
      </c>
      <c r="B644" s="74">
        <f>IFERROR(INDEX('Boulder Sample Log'!A$5:A$204,MATCH(A644,'Boulder Sample Log'!E$5:E$204,0)),"")</f>
        <v>46128</v>
      </c>
      <c r="C644" s="73">
        <v>772</v>
      </c>
      <c r="D644" s="73" t="s">
        <v>256</v>
      </c>
      <c r="E644" s="73">
        <v>1</v>
      </c>
      <c r="F644" s="73" t="s">
        <v>257</v>
      </c>
      <c r="G644" s="75">
        <v>3.99</v>
      </c>
      <c r="H644" s="75">
        <v>10.91</v>
      </c>
      <c r="I644" s="75">
        <v>14730.32</v>
      </c>
      <c r="J644" s="75">
        <v>87.62</v>
      </c>
      <c r="K644" s="75">
        <v>754.16</v>
      </c>
      <c r="L644" s="75">
        <v>42.93</v>
      </c>
      <c r="M644" s="75">
        <v>7.69</v>
      </c>
      <c r="N644" s="76">
        <v>120.6</v>
      </c>
      <c r="O644" s="73">
        <v>4</v>
      </c>
      <c r="P644" s="73"/>
      <c r="Q644" s="66" t="s">
        <v>258</v>
      </c>
      <c r="R644" s="61"/>
      <c r="S644" s="61"/>
    </row>
    <row r="645" spans="1:19" ht="13.8" customHeight="1" x14ac:dyDescent="0.3">
      <c r="A645" s="70" t="s">
        <v>314</v>
      </c>
      <c r="B645" s="71">
        <f>IFERROR(INDEX('Boulder Sample Log'!A$5:A$204,MATCH(A645,'Boulder Sample Log'!E$5:E$204,0)),"")</f>
        <v>46128</v>
      </c>
      <c r="C645" s="70">
        <v>773</v>
      </c>
      <c r="D645" s="70" t="s">
        <v>256</v>
      </c>
      <c r="E645" s="70">
        <v>1</v>
      </c>
      <c r="F645" s="72">
        <v>2.2999999999999998</v>
      </c>
      <c r="G645" s="72">
        <v>6.42</v>
      </c>
      <c r="H645" s="72">
        <v>13.59</v>
      </c>
      <c r="I645" s="72">
        <v>11971.78</v>
      </c>
      <c r="J645" s="70" t="s">
        <v>257</v>
      </c>
      <c r="K645" s="72">
        <v>1782.92</v>
      </c>
      <c r="L645" s="72">
        <v>35.35</v>
      </c>
      <c r="M645" s="72">
        <v>7.78</v>
      </c>
      <c r="N645" s="77">
        <v>120.5</v>
      </c>
      <c r="O645" s="70">
        <v>4</v>
      </c>
      <c r="P645" s="70"/>
      <c r="Q645" s="62" t="s">
        <v>258</v>
      </c>
      <c r="R645" s="61"/>
      <c r="S645" s="61"/>
    </row>
    <row r="646" spans="1:19" ht="13.8" customHeight="1" x14ac:dyDescent="0.3">
      <c r="A646" s="73" t="s">
        <v>314</v>
      </c>
      <c r="B646" s="74">
        <f>IFERROR(INDEX('Boulder Sample Log'!A$5:A$204,MATCH(A646,'Boulder Sample Log'!E$5:E$204,0)),"")</f>
        <v>46128</v>
      </c>
      <c r="C646" s="73">
        <v>774</v>
      </c>
      <c r="D646" s="73" t="s">
        <v>256</v>
      </c>
      <c r="E646" s="73">
        <v>2</v>
      </c>
      <c r="F646" s="75">
        <v>4.43</v>
      </c>
      <c r="G646" s="75">
        <v>7.94</v>
      </c>
      <c r="H646" s="75">
        <v>16.55</v>
      </c>
      <c r="I646" s="75">
        <v>12102.03</v>
      </c>
      <c r="J646" s="73" t="s">
        <v>257</v>
      </c>
      <c r="K646" s="75">
        <v>1089.1500000000001</v>
      </c>
      <c r="L646" s="75">
        <v>27.99</v>
      </c>
      <c r="M646" s="75">
        <v>9.82</v>
      </c>
      <c r="N646" s="76">
        <v>120.2</v>
      </c>
      <c r="O646" s="73">
        <v>4</v>
      </c>
      <c r="P646" s="73"/>
      <c r="Q646" s="66" t="s">
        <v>258</v>
      </c>
      <c r="R646" s="61"/>
      <c r="S646" s="61"/>
    </row>
    <row r="647" spans="1:19" ht="13.8" customHeight="1" x14ac:dyDescent="0.3">
      <c r="A647" s="70" t="s">
        <v>314</v>
      </c>
      <c r="B647" s="71">
        <f>IFERROR(INDEX('Boulder Sample Log'!A$5:A$204,MATCH(A647,'Boulder Sample Log'!E$5:E$204,0)),"")</f>
        <v>46128</v>
      </c>
      <c r="C647" s="70">
        <v>775</v>
      </c>
      <c r="D647" s="70" t="s">
        <v>256</v>
      </c>
      <c r="E647" s="70">
        <v>2</v>
      </c>
      <c r="F647" s="70" t="s">
        <v>257</v>
      </c>
      <c r="G647" s="72">
        <v>7.64</v>
      </c>
      <c r="H647" s="72">
        <v>15.23</v>
      </c>
      <c r="I647" s="72">
        <v>12322.92</v>
      </c>
      <c r="J647" s="70" t="s">
        <v>257</v>
      </c>
      <c r="K647" s="72">
        <v>1257.27</v>
      </c>
      <c r="L647" s="72">
        <v>38.04</v>
      </c>
      <c r="M647" s="72">
        <v>9.1199999999999992</v>
      </c>
      <c r="N647" s="77">
        <v>120.3</v>
      </c>
      <c r="O647" s="70">
        <v>4</v>
      </c>
      <c r="P647" s="70"/>
      <c r="Q647" s="62" t="s">
        <v>258</v>
      </c>
      <c r="R647" s="61"/>
      <c r="S647" s="61"/>
    </row>
    <row r="648" spans="1:19" ht="13.8" customHeight="1" x14ac:dyDescent="0.3">
      <c r="A648" s="73" t="s">
        <v>314</v>
      </c>
      <c r="B648" s="74">
        <f>IFERROR(INDEX('Boulder Sample Log'!A$5:A$204,MATCH(A648,'Boulder Sample Log'!E$5:E$204,0)),"")</f>
        <v>46128</v>
      </c>
      <c r="C648" s="73">
        <v>776</v>
      </c>
      <c r="D648" s="73" t="s">
        <v>256</v>
      </c>
      <c r="E648" s="73">
        <v>3</v>
      </c>
      <c r="F648" s="75">
        <v>2.4</v>
      </c>
      <c r="G648" s="75">
        <v>19.420000000000002</v>
      </c>
      <c r="H648" s="75">
        <v>12.88</v>
      </c>
      <c r="I648" s="75">
        <v>14388.86</v>
      </c>
      <c r="J648" s="75">
        <v>40.83</v>
      </c>
      <c r="K648" s="75">
        <v>1261.72</v>
      </c>
      <c r="L648" s="75">
        <v>29.18</v>
      </c>
      <c r="M648" s="75">
        <v>13.57</v>
      </c>
      <c r="N648" s="76">
        <v>120.2</v>
      </c>
      <c r="O648" s="73">
        <v>4</v>
      </c>
      <c r="P648" s="73"/>
      <c r="Q648" s="66" t="s">
        <v>258</v>
      </c>
      <c r="R648" s="61"/>
      <c r="S648" s="61"/>
    </row>
    <row r="649" spans="1:19" ht="13.8" customHeight="1" x14ac:dyDescent="0.3">
      <c r="A649" s="70" t="s">
        <v>314</v>
      </c>
      <c r="B649" s="71">
        <f>IFERROR(INDEX('Boulder Sample Log'!A$5:A$204,MATCH(A649,'Boulder Sample Log'!E$5:E$204,0)),"")</f>
        <v>46128</v>
      </c>
      <c r="C649" s="70">
        <v>777</v>
      </c>
      <c r="D649" s="70" t="s">
        <v>256</v>
      </c>
      <c r="E649" s="70">
        <v>3</v>
      </c>
      <c r="F649" s="70" t="s">
        <v>257</v>
      </c>
      <c r="G649" s="70" t="s">
        <v>257</v>
      </c>
      <c r="H649" s="70" t="s">
        <v>257</v>
      </c>
      <c r="I649" s="70" t="s">
        <v>257</v>
      </c>
      <c r="J649" s="72">
        <v>647.12</v>
      </c>
      <c r="K649" s="72">
        <v>2337.16</v>
      </c>
      <c r="L649" s="70" t="s">
        <v>257</v>
      </c>
      <c r="M649" s="70" t="s">
        <v>257</v>
      </c>
      <c r="N649" s="77">
        <v>124.2</v>
      </c>
      <c r="O649" s="70">
        <v>4</v>
      </c>
      <c r="P649" s="70" t="s">
        <v>315</v>
      </c>
      <c r="Q649" s="62" t="s">
        <v>258</v>
      </c>
      <c r="R649" s="61"/>
      <c r="S649" s="61"/>
    </row>
    <row r="650" spans="1:19" ht="13.8" customHeight="1" x14ac:dyDescent="0.3">
      <c r="A650" s="73" t="s">
        <v>314</v>
      </c>
      <c r="B650" s="74">
        <f>IFERROR(INDEX('Boulder Sample Log'!A$5:A$204,MATCH(A650,'Boulder Sample Log'!E$5:E$204,0)),"")</f>
        <v>46128</v>
      </c>
      <c r="C650" s="73">
        <v>778</v>
      </c>
      <c r="D650" s="73" t="s">
        <v>256</v>
      </c>
      <c r="E650" s="73">
        <v>4</v>
      </c>
      <c r="F650" s="73" t="s">
        <v>257</v>
      </c>
      <c r="G650" s="75">
        <v>17.989999999999998</v>
      </c>
      <c r="H650" s="75">
        <v>13.07</v>
      </c>
      <c r="I650" s="75">
        <v>10586.89</v>
      </c>
      <c r="J650" s="75">
        <v>28.02</v>
      </c>
      <c r="K650" s="75">
        <v>1319.86</v>
      </c>
      <c r="L650" s="75">
        <v>33.04</v>
      </c>
      <c r="M650" s="75">
        <v>15.54</v>
      </c>
      <c r="N650" s="76">
        <v>120.5</v>
      </c>
      <c r="O650" s="73">
        <v>4</v>
      </c>
      <c r="P650" s="73"/>
      <c r="Q650" s="66" t="s">
        <v>258</v>
      </c>
      <c r="R650" s="61"/>
      <c r="S650" s="61"/>
    </row>
    <row r="651" spans="1:19" ht="13.8" customHeight="1" x14ac:dyDescent="0.3">
      <c r="A651" s="70" t="s">
        <v>314</v>
      </c>
      <c r="B651" s="71">
        <f>IFERROR(INDEX('Boulder Sample Log'!A$5:A$204,MATCH(A651,'Boulder Sample Log'!E$5:E$204,0)),"")</f>
        <v>46128</v>
      </c>
      <c r="C651" s="70">
        <v>779</v>
      </c>
      <c r="D651" s="70" t="s">
        <v>256</v>
      </c>
      <c r="E651" s="70">
        <v>4</v>
      </c>
      <c r="F651" s="72">
        <v>2.88</v>
      </c>
      <c r="G651" s="72">
        <v>23.03</v>
      </c>
      <c r="H651" s="72">
        <v>11.09</v>
      </c>
      <c r="I651" s="72">
        <v>14637.7</v>
      </c>
      <c r="J651" s="72">
        <v>26.64</v>
      </c>
      <c r="K651" s="72">
        <v>1633.3</v>
      </c>
      <c r="L651" s="72">
        <v>30.68</v>
      </c>
      <c r="M651" s="72">
        <v>12.82</v>
      </c>
      <c r="N651" s="77">
        <v>120.6</v>
      </c>
      <c r="O651" s="70">
        <v>4</v>
      </c>
      <c r="P651" s="70"/>
      <c r="Q651" s="62" t="s">
        <v>258</v>
      </c>
      <c r="R651" s="61"/>
      <c r="S651" s="61"/>
    </row>
    <row r="652" spans="1:19" ht="13.8" customHeight="1" x14ac:dyDescent="0.3">
      <c r="A652" s="73" t="s">
        <v>314</v>
      </c>
      <c r="B652" s="74">
        <f>IFERROR(INDEX('Boulder Sample Log'!A$5:A$204,MATCH(A652,'Boulder Sample Log'!E$5:E$204,0)),"")</f>
        <v>46128</v>
      </c>
      <c r="C652" s="73">
        <v>780</v>
      </c>
      <c r="D652" s="73" t="s">
        <v>256</v>
      </c>
      <c r="E652" s="73">
        <v>5</v>
      </c>
      <c r="F652" s="75">
        <v>5.61</v>
      </c>
      <c r="G652" s="75">
        <v>12.13</v>
      </c>
      <c r="H652" s="75">
        <v>8.11</v>
      </c>
      <c r="I652" s="75">
        <v>16298.86</v>
      </c>
      <c r="J652" s="73" t="s">
        <v>257</v>
      </c>
      <c r="K652" s="75">
        <v>2589.5300000000002</v>
      </c>
      <c r="L652" s="75">
        <v>105.57</v>
      </c>
      <c r="M652" s="75">
        <v>10.67</v>
      </c>
      <c r="N652" s="76">
        <v>120.5</v>
      </c>
      <c r="O652" s="73">
        <v>4</v>
      </c>
      <c r="P652" s="73"/>
      <c r="Q652" s="66" t="s">
        <v>258</v>
      </c>
      <c r="R652" s="61"/>
      <c r="S652" s="61"/>
    </row>
    <row r="653" spans="1:19" ht="13.8" customHeight="1" x14ac:dyDescent="0.3">
      <c r="A653" s="70" t="s">
        <v>314</v>
      </c>
      <c r="B653" s="71">
        <f>IFERROR(INDEX('Boulder Sample Log'!A$5:A$204,MATCH(A653,'Boulder Sample Log'!E$5:E$204,0)),"")</f>
        <v>46128</v>
      </c>
      <c r="C653" s="70">
        <v>781</v>
      </c>
      <c r="D653" s="70" t="s">
        <v>256</v>
      </c>
      <c r="E653" s="70">
        <v>5</v>
      </c>
      <c r="F653" s="72">
        <v>5.56</v>
      </c>
      <c r="G653" s="72">
        <v>6.34</v>
      </c>
      <c r="H653" s="72">
        <v>7.27</v>
      </c>
      <c r="I653" s="72">
        <v>12685.42</v>
      </c>
      <c r="J653" s="70" t="s">
        <v>257</v>
      </c>
      <c r="K653" s="72">
        <v>2306.5100000000002</v>
      </c>
      <c r="L653" s="72">
        <v>78.56</v>
      </c>
      <c r="M653" s="72">
        <v>3.71</v>
      </c>
      <c r="N653" s="77">
        <v>120.2</v>
      </c>
      <c r="O653" s="70">
        <v>4</v>
      </c>
      <c r="P653" s="70"/>
      <c r="Q653" s="62" t="s">
        <v>258</v>
      </c>
      <c r="R653" s="61"/>
      <c r="S653" s="61"/>
    </row>
    <row r="654" spans="1:19" ht="13.8" customHeight="1" x14ac:dyDescent="0.3">
      <c r="A654" s="73" t="s">
        <v>316</v>
      </c>
      <c r="B654" s="74">
        <f>IFERROR(INDEX('Boulder Sample Log'!A$5:A$204,MATCH(A654,'Boulder Sample Log'!E$5:E$204,0)),"")</f>
        <v>46128</v>
      </c>
      <c r="C654" s="73">
        <v>782</v>
      </c>
      <c r="D654" s="73" t="s">
        <v>256</v>
      </c>
      <c r="E654" s="73">
        <v>1</v>
      </c>
      <c r="F654" s="73" t="s">
        <v>257</v>
      </c>
      <c r="G654" s="73" t="s">
        <v>257</v>
      </c>
      <c r="H654" s="75">
        <v>5.08</v>
      </c>
      <c r="I654" s="75">
        <v>33752.07</v>
      </c>
      <c r="J654" s="75">
        <v>627.11</v>
      </c>
      <c r="K654" s="75">
        <v>37151.599999999999</v>
      </c>
      <c r="L654" s="75">
        <v>149.54</v>
      </c>
      <c r="M654" s="75">
        <v>20.16</v>
      </c>
      <c r="N654" s="76">
        <v>120.6</v>
      </c>
      <c r="O654" s="73">
        <v>4</v>
      </c>
      <c r="P654" s="73"/>
      <c r="Q654" s="66" t="s">
        <v>258</v>
      </c>
      <c r="R654" s="61"/>
      <c r="S654" s="61"/>
    </row>
    <row r="655" spans="1:19" ht="13.8" customHeight="1" x14ac:dyDescent="0.3">
      <c r="A655" s="70" t="s">
        <v>316</v>
      </c>
      <c r="B655" s="71">
        <f>IFERROR(INDEX('Boulder Sample Log'!A$5:A$204,MATCH(A655,'Boulder Sample Log'!E$5:E$204,0)),"")</f>
        <v>46128</v>
      </c>
      <c r="C655" s="70">
        <v>783</v>
      </c>
      <c r="D655" s="70" t="s">
        <v>256</v>
      </c>
      <c r="E655" s="70">
        <v>1</v>
      </c>
      <c r="F655" s="70" t="s">
        <v>257</v>
      </c>
      <c r="G655" s="70" t="s">
        <v>257</v>
      </c>
      <c r="H655" s="72">
        <v>7.57</v>
      </c>
      <c r="I655" s="72">
        <v>33235.89</v>
      </c>
      <c r="J655" s="72">
        <v>603.73</v>
      </c>
      <c r="K655" s="72">
        <v>40092.14</v>
      </c>
      <c r="L655" s="72">
        <v>132.83000000000001</v>
      </c>
      <c r="M655" s="72">
        <v>20.53</v>
      </c>
      <c r="N655" s="77">
        <v>120.6</v>
      </c>
      <c r="O655" s="70">
        <v>4</v>
      </c>
      <c r="P655" s="70"/>
      <c r="Q655" s="62" t="s">
        <v>258</v>
      </c>
      <c r="R655" s="61"/>
      <c r="S655" s="61"/>
    </row>
    <row r="656" spans="1:19" ht="13.8" customHeight="1" x14ac:dyDescent="0.3">
      <c r="A656" s="73" t="s">
        <v>316</v>
      </c>
      <c r="B656" s="74">
        <f>IFERROR(INDEX('Boulder Sample Log'!A$5:A$204,MATCH(A656,'Boulder Sample Log'!E$5:E$204,0)),"")</f>
        <v>46128</v>
      </c>
      <c r="C656" s="73">
        <v>784</v>
      </c>
      <c r="D656" s="73" t="s">
        <v>256</v>
      </c>
      <c r="E656" s="73">
        <v>2</v>
      </c>
      <c r="F656" s="73" t="s">
        <v>257</v>
      </c>
      <c r="G656" s="73" t="s">
        <v>257</v>
      </c>
      <c r="H656" s="75">
        <v>9.14</v>
      </c>
      <c r="I656" s="75">
        <v>31284.99</v>
      </c>
      <c r="J656" s="75">
        <v>784.18</v>
      </c>
      <c r="K656" s="75">
        <v>76882.12</v>
      </c>
      <c r="L656" s="75">
        <v>134.56</v>
      </c>
      <c r="M656" s="75">
        <v>14.31</v>
      </c>
      <c r="N656" s="76">
        <v>122.8</v>
      </c>
      <c r="O656" s="73">
        <v>4</v>
      </c>
      <c r="P656" s="73"/>
      <c r="Q656" s="66" t="s">
        <v>258</v>
      </c>
      <c r="R656" s="61"/>
      <c r="S656" s="61"/>
    </row>
    <row r="657" spans="1:19" ht="13.8" customHeight="1" x14ac:dyDescent="0.3">
      <c r="A657" s="70" t="s">
        <v>316</v>
      </c>
      <c r="B657" s="71">
        <f>IFERROR(INDEX('Boulder Sample Log'!A$5:A$204,MATCH(A657,'Boulder Sample Log'!E$5:E$204,0)),"")</f>
        <v>46128</v>
      </c>
      <c r="C657" s="70">
        <v>785</v>
      </c>
      <c r="D657" s="70" t="s">
        <v>256</v>
      </c>
      <c r="E657" s="70">
        <v>2</v>
      </c>
      <c r="F657" s="70" t="s">
        <v>257</v>
      </c>
      <c r="G657" s="70" t="s">
        <v>257</v>
      </c>
      <c r="H657" s="72">
        <v>7.51</v>
      </c>
      <c r="I657" s="72">
        <v>32545.95</v>
      </c>
      <c r="J657" s="72">
        <v>773.32</v>
      </c>
      <c r="K657" s="72">
        <v>81364.66</v>
      </c>
      <c r="L657" s="72">
        <v>81.73</v>
      </c>
      <c r="M657" s="72">
        <v>13</v>
      </c>
      <c r="N657" s="77">
        <v>120.4</v>
      </c>
      <c r="O657" s="70">
        <v>4</v>
      </c>
      <c r="P657" s="70"/>
      <c r="Q657" s="62" t="s">
        <v>258</v>
      </c>
      <c r="R657" s="61"/>
      <c r="S657" s="61"/>
    </row>
    <row r="658" spans="1:19" ht="13.8" customHeight="1" x14ac:dyDescent="0.3">
      <c r="A658" s="73" t="s">
        <v>316</v>
      </c>
      <c r="B658" s="74">
        <f>IFERROR(INDEX('Boulder Sample Log'!A$5:A$204,MATCH(A658,'Boulder Sample Log'!E$5:E$204,0)),"")</f>
        <v>46128</v>
      </c>
      <c r="C658" s="73">
        <v>786</v>
      </c>
      <c r="D658" s="73" t="s">
        <v>256</v>
      </c>
      <c r="E658" s="73">
        <v>3</v>
      </c>
      <c r="F658" s="73" t="s">
        <v>257</v>
      </c>
      <c r="G658" s="73" t="s">
        <v>257</v>
      </c>
      <c r="H658" s="75">
        <v>7.24</v>
      </c>
      <c r="I658" s="75">
        <v>33809.69</v>
      </c>
      <c r="J658" s="75">
        <v>865.96</v>
      </c>
      <c r="K658" s="75">
        <v>57156.87</v>
      </c>
      <c r="L658" s="75">
        <v>202.94</v>
      </c>
      <c r="M658" s="75">
        <v>15.33</v>
      </c>
      <c r="N658" s="76">
        <v>122.8</v>
      </c>
      <c r="O658" s="73">
        <v>4</v>
      </c>
      <c r="P658" s="73"/>
      <c r="Q658" s="66" t="s">
        <v>258</v>
      </c>
      <c r="R658" s="61"/>
      <c r="S658" s="61"/>
    </row>
    <row r="659" spans="1:19" ht="13.8" customHeight="1" x14ac:dyDescent="0.3">
      <c r="A659" s="70" t="s">
        <v>316</v>
      </c>
      <c r="B659" s="71">
        <f>IFERROR(INDEX('Boulder Sample Log'!A$5:A$204,MATCH(A659,'Boulder Sample Log'!E$5:E$204,0)),"")</f>
        <v>46128</v>
      </c>
      <c r="C659" s="70">
        <v>787</v>
      </c>
      <c r="D659" s="70" t="s">
        <v>256</v>
      </c>
      <c r="E659" s="70">
        <v>3</v>
      </c>
      <c r="F659" s="70" t="s">
        <v>257</v>
      </c>
      <c r="G659" s="70" t="s">
        <v>257</v>
      </c>
      <c r="H659" s="72">
        <v>7.42</v>
      </c>
      <c r="I659" s="72">
        <v>34325.11</v>
      </c>
      <c r="J659" s="72">
        <v>818.25</v>
      </c>
      <c r="K659" s="72">
        <v>50174.66</v>
      </c>
      <c r="L659" s="72">
        <v>186.49</v>
      </c>
      <c r="M659" s="72">
        <v>13.61</v>
      </c>
      <c r="N659" s="77">
        <v>123.3</v>
      </c>
      <c r="O659" s="70">
        <v>4</v>
      </c>
      <c r="P659" s="70"/>
      <c r="Q659" s="62" t="s">
        <v>258</v>
      </c>
      <c r="R659" s="61"/>
      <c r="S659" s="61"/>
    </row>
    <row r="660" spans="1:19" ht="13.8" customHeight="1" x14ac:dyDescent="0.3">
      <c r="A660" s="73" t="s">
        <v>316</v>
      </c>
      <c r="B660" s="74">
        <f>IFERROR(INDEX('Boulder Sample Log'!A$5:A$204,MATCH(A660,'Boulder Sample Log'!E$5:E$204,0)),"")</f>
        <v>46128</v>
      </c>
      <c r="C660" s="73">
        <v>788</v>
      </c>
      <c r="D660" s="73" t="s">
        <v>256</v>
      </c>
      <c r="E660" s="73">
        <v>4</v>
      </c>
      <c r="F660" s="73" t="s">
        <v>257</v>
      </c>
      <c r="G660" s="73" t="s">
        <v>257</v>
      </c>
      <c r="H660" s="75">
        <v>7.31</v>
      </c>
      <c r="I660" s="75">
        <v>34437.980000000003</v>
      </c>
      <c r="J660" s="75">
        <v>1356.21</v>
      </c>
      <c r="K660" s="75">
        <v>77467.520000000004</v>
      </c>
      <c r="L660" s="75">
        <v>266.76</v>
      </c>
      <c r="M660" s="75">
        <v>13.66</v>
      </c>
      <c r="N660" s="76">
        <v>123</v>
      </c>
      <c r="O660" s="73">
        <v>4</v>
      </c>
      <c r="P660" s="73"/>
      <c r="Q660" s="66" t="s">
        <v>258</v>
      </c>
      <c r="R660" s="61"/>
      <c r="S660" s="61"/>
    </row>
    <row r="661" spans="1:19" ht="13.8" customHeight="1" x14ac:dyDescent="0.3">
      <c r="A661" s="70" t="s">
        <v>316</v>
      </c>
      <c r="B661" s="71">
        <f>IFERROR(INDEX('Boulder Sample Log'!A$5:A$204,MATCH(A661,'Boulder Sample Log'!E$5:E$204,0)),"")</f>
        <v>46128</v>
      </c>
      <c r="C661" s="70">
        <v>789</v>
      </c>
      <c r="D661" s="70" t="s">
        <v>256</v>
      </c>
      <c r="E661" s="70">
        <v>4</v>
      </c>
      <c r="F661" s="70" t="s">
        <v>257</v>
      </c>
      <c r="G661" s="70" t="s">
        <v>257</v>
      </c>
      <c r="H661" s="72">
        <v>6.74</v>
      </c>
      <c r="I661" s="72">
        <v>35428.46</v>
      </c>
      <c r="J661" s="72">
        <v>903.46</v>
      </c>
      <c r="K661" s="72">
        <v>58508.14</v>
      </c>
      <c r="L661" s="72">
        <v>186.89</v>
      </c>
      <c r="M661" s="72">
        <v>14.16</v>
      </c>
      <c r="N661" s="77">
        <v>120.1</v>
      </c>
      <c r="O661" s="70">
        <v>4</v>
      </c>
      <c r="P661" s="70"/>
      <c r="Q661" s="62" t="s">
        <v>258</v>
      </c>
      <c r="R661" s="61"/>
      <c r="S661" s="61"/>
    </row>
    <row r="662" spans="1:19" ht="13.8" customHeight="1" x14ac:dyDescent="0.3">
      <c r="A662" s="73" t="s">
        <v>316</v>
      </c>
      <c r="B662" s="74">
        <f>IFERROR(INDEX('Boulder Sample Log'!A$5:A$204,MATCH(A662,'Boulder Sample Log'!E$5:E$204,0)),"")</f>
        <v>46128</v>
      </c>
      <c r="C662" s="73">
        <v>790</v>
      </c>
      <c r="D662" s="73" t="s">
        <v>256</v>
      </c>
      <c r="E662" s="73">
        <v>5</v>
      </c>
      <c r="F662" s="73" t="s">
        <v>257</v>
      </c>
      <c r="G662" s="73" t="s">
        <v>257</v>
      </c>
      <c r="H662" s="75">
        <v>9.26</v>
      </c>
      <c r="I662" s="75">
        <v>38191.230000000003</v>
      </c>
      <c r="J662" s="75">
        <v>630.55999999999995</v>
      </c>
      <c r="K662" s="75">
        <v>20574.91</v>
      </c>
      <c r="L662" s="75">
        <v>78.349999999999994</v>
      </c>
      <c r="M662" s="75">
        <v>14.59</v>
      </c>
      <c r="N662" s="76">
        <v>120.7</v>
      </c>
      <c r="O662" s="73">
        <v>4</v>
      </c>
      <c r="P662" s="73"/>
      <c r="Q662" s="66" t="s">
        <v>258</v>
      </c>
      <c r="R662" s="61"/>
      <c r="S662" s="61"/>
    </row>
    <row r="663" spans="1:19" ht="13.8" customHeight="1" x14ac:dyDescent="0.3">
      <c r="A663" s="70" t="s">
        <v>316</v>
      </c>
      <c r="B663" s="71">
        <f>IFERROR(INDEX('Boulder Sample Log'!A$5:A$204,MATCH(A663,'Boulder Sample Log'!E$5:E$204,0)),"")</f>
        <v>46128</v>
      </c>
      <c r="C663" s="70">
        <v>791</v>
      </c>
      <c r="D663" s="70" t="s">
        <v>256</v>
      </c>
      <c r="E663" s="70">
        <v>5</v>
      </c>
      <c r="F663" s="70" t="s">
        <v>257</v>
      </c>
      <c r="G663" s="70" t="s">
        <v>257</v>
      </c>
      <c r="H663" s="72">
        <v>6.53</v>
      </c>
      <c r="I663" s="72">
        <v>38554.9</v>
      </c>
      <c r="J663" s="72">
        <v>654.1</v>
      </c>
      <c r="K663" s="72">
        <v>19595.84</v>
      </c>
      <c r="L663" s="72">
        <v>74.39</v>
      </c>
      <c r="M663" s="72">
        <v>10.62</v>
      </c>
      <c r="N663" s="77">
        <v>123</v>
      </c>
      <c r="O663" s="70">
        <v>4</v>
      </c>
      <c r="P663" s="70"/>
      <c r="Q663" s="62" t="s">
        <v>258</v>
      </c>
      <c r="R663" s="61"/>
      <c r="S663" s="61"/>
    </row>
    <row r="664" spans="1:19" ht="13.8" customHeight="1" x14ac:dyDescent="0.3">
      <c r="A664" s="73" t="s">
        <v>317</v>
      </c>
      <c r="B664" s="74">
        <f>IFERROR(INDEX('Boulder Sample Log'!A$5:A$204,MATCH(A664,'Boulder Sample Log'!E$5:E$204,0)),"")</f>
        <v>46128</v>
      </c>
      <c r="C664" s="73">
        <v>792</v>
      </c>
      <c r="D664" s="73" t="s">
        <v>256</v>
      </c>
      <c r="E664" s="73">
        <v>1</v>
      </c>
      <c r="F664" s="73" t="s">
        <v>257</v>
      </c>
      <c r="G664" s="75">
        <v>42.07</v>
      </c>
      <c r="H664" s="75">
        <v>7.89</v>
      </c>
      <c r="I664" s="75">
        <v>13896</v>
      </c>
      <c r="J664" s="73" t="s">
        <v>257</v>
      </c>
      <c r="K664" s="75">
        <v>17771.96</v>
      </c>
      <c r="L664" s="75">
        <v>27.9</v>
      </c>
      <c r="M664" s="75">
        <v>8.19</v>
      </c>
      <c r="N664" s="76">
        <v>120.5</v>
      </c>
      <c r="O664" s="73">
        <v>4</v>
      </c>
      <c r="P664" s="73"/>
      <c r="Q664" s="66" t="s">
        <v>258</v>
      </c>
      <c r="R664" s="61"/>
      <c r="S664" s="61"/>
    </row>
    <row r="665" spans="1:19" ht="13.8" customHeight="1" x14ac:dyDescent="0.3">
      <c r="A665" s="70" t="s">
        <v>317</v>
      </c>
      <c r="B665" s="71">
        <f>IFERROR(INDEX('Boulder Sample Log'!A$5:A$204,MATCH(A665,'Boulder Sample Log'!E$5:E$204,0)),"")</f>
        <v>46128</v>
      </c>
      <c r="C665" s="70">
        <v>793</v>
      </c>
      <c r="D665" s="70" t="s">
        <v>256</v>
      </c>
      <c r="E665" s="70">
        <v>1</v>
      </c>
      <c r="F665" s="70" t="s">
        <v>257</v>
      </c>
      <c r="G665" s="72">
        <v>39.119999999999997</v>
      </c>
      <c r="H665" s="72">
        <v>5.13</v>
      </c>
      <c r="I665" s="72">
        <v>13101.12</v>
      </c>
      <c r="J665" s="70" t="s">
        <v>257</v>
      </c>
      <c r="K665" s="72">
        <v>17277.47</v>
      </c>
      <c r="L665" s="72">
        <v>30.17</v>
      </c>
      <c r="M665" s="72">
        <v>8.02</v>
      </c>
      <c r="N665" s="77">
        <v>120.5</v>
      </c>
      <c r="O665" s="70">
        <v>4</v>
      </c>
      <c r="P665" s="70"/>
      <c r="Q665" s="62" t="s">
        <v>258</v>
      </c>
      <c r="R665" s="61"/>
      <c r="S665" s="61"/>
    </row>
    <row r="666" spans="1:19" ht="13.8" customHeight="1" x14ac:dyDescent="0.3">
      <c r="A666" s="73" t="s">
        <v>317</v>
      </c>
      <c r="B666" s="74">
        <f>IFERROR(INDEX('Boulder Sample Log'!A$5:A$204,MATCH(A666,'Boulder Sample Log'!E$5:E$204,0)),"")</f>
        <v>46128</v>
      </c>
      <c r="C666" s="73">
        <v>794</v>
      </c>
      <c r="D666" s="73" t="s">
        <v>256</v>
      </c>
      <c r="E666" s="73">
        <v>2</v>
      </c>
      <c r="F666" s="73" t="s">
        <v>257</v>
      </c>
      <c r="G666" s="75">
        <v>20.63</v>
      </c>
      <c r="H666" s="75">
        <v>3.32</v>
      </c>
      <c r="I666" s="75">
        <v>7390.91</v>
      </c>
      <c r="J666" s="73" t="s">
        <v>257</v>
      </c>
      <c r="K666" s="75">
        <v>11943.01</v>
      </c>
      <c r="L666" s="75">
        <v>52.38</v>
      </c>
      <c r="M666" s="73" t="s">
        <v>257</v>
      </c>
      <c r="N666" s="76">
        <v>120.1</v>
      </c>
      <c r="O666" s="73">
        <v>4</v>
      </c>
      <c r="P666" s="73"/>
      <c r="Q666" s="66" t="s">
        <v>258</v>
      </c>
      <c r="R666" s="61"/>
      <c r="S666" s="61"/>
    </row>
    <row r="667" spans="1:19" ht="13.8" customHeight="1" x14ac:dyDescent="0.3">
      <c r="A667" s="70" t="s">
        <v>317</v>
      </c>
      <c r="B667" s="71">
        <f>IFERROR(INDEX('Boulder Sample Log'!A$5:A$204,MATCH(A667,'Boulder Sample Log'!E$5:E$204,0)),"")</f>
        <v>46128</v>
      </c>
      <c r="C667" s="70">
        <v>795</v>
      </c>
      <c r="D667" s="70" t="s">
        <v>256</v>
      </c>
      <c r="E667" s="70">
        <v>2</v>
      </c>
      <c r="F667" s="72">
        <v>2.38</v>
      </c>
      <c r="G667" s="72">
        <v>53.51</v>
      </c>
      <c r="H667" s="72">
        <v>7.71</v>
      </c>
      <c r="I667" s="72">
        <v>15857.93</v>
      </c>
      <c r="J667" s="70" t="s">
        <v>257</v>
      </c>
      <c r="K667" s="72">
        <v>16020.43</v>
      </c>
      <c r="L667" s="72">
        <v>45.32</v>
      </c>
      <c r="M667" s="72">
        <v>35.22</v>
      </c>
      <c r="N667" s="77">
        <v>123</v>
      </c>
      <c r="O667" s="70">
        <v>4</v>
      </c>
      <c r="P667" s="70"/>
      <c r="Q667" s="62" t="s">
        <v>258</v>
      </c>
      <c r="R667" s="61"/>
      <c r="S667" s="61"/>
    </row>
    <row r="668" spans="1:19" ht="13.8" customHeight="1" x14ac:dyDescent="0.3">
      <c r="A668" s="73" t="s">
        <v>317</v>
      </c>
      <c r="B668" s="74">
        <f>IFERROR(INDEX('Boulder Sample Log'!A$5:A$204,MATCH(A668,'Boulder Sample Log'!E$5:E$204,0)),"")</f>
        <v>46128</v>
      </c>
      <c r="C668" s="73">
        <v>796</v>
      </c>
      <c r="D668" s="73" t="s">
        <v>256</v>
      </c>
      <c r="E668" s="73">
        <v>3</v>
      </c>
      <c r="F668" s="75">
        <v>2.08</v>
      </c>
      <c r="G668" s="75">
        <v>10.24</v>
      </c>
      <c r="H668" s="75">
        <v>5.91</v>
      </c>
      <c r="I668" s="75">
        <v>12320.36</v>
      </c>
      <c r="J668" s="73" t="s">
        <v>257</v>
      </c>
      <c r="K668" s="75">
        <v>10478.1</v>
      </c>
      <c r="L668" s="75">
        <v>22.74</v>
      </c>
      <c r="M668" s="75">
        <v>13.94</v>
      </c>
      <c r="N668" s="76">
        <v>120.5</v>
      </c>
      <c r="O668" s="73">
        <v>4</v>
      </c>
      <c r="P668" s="73"/>
      <c r="Q668" s="66" t="s">
        <v>258</v>
      </c>
      <c r="R668" s="61"/>
      <c r="S668" s="61"/>
    </row>
    <row r="669" spans="1:19" ht="13.8" customHeight="1" x14ac:dyDescent="0.3">
      <c r="A669" s="70" t="s">
        <v>317</v>
      </c>
      <c r="B669" s="71">
        <f>IFERROR(INDEX('Boulder Sample Log'!A$5:A$204,MATCH(A669,'Boulder Sample Log'!E$5:E$204,0)),"")</f>
        <v>46128</v>
      </c>
      <c r="C669" s="70">
        <v>797</v>
      </c>
      <c r="D669" s="70" t="s">
        <v>256</v>
      </c>
      <c r="E669" s="70">
        <v>3</v>
      </c>
      <c r="F669" s="72">
        <v>143.99</v>
      </c>
      <c r="G669" s="72">
        <v>9.73</v>
      </c>
      <c r="H669" s="72">
        <v>10.050000000000001</v>
      </c>
      <c r="I669" s="72">
        <v>11173.38</v>
      </c>
      <c r="J669" s="70" t="s">
        <v>257</v>
      </c>
      <c r="K669" s="72">
        <v>7155.9</v>
      </c>
      <c r="L669" s="72">
        <v>19.39</v>
      </c>
      <c r="M669" s="72">
        <v>8.84</v>
      </c>
      <c r="N669" s="77">
        <v>120.7</v>
      </c>
      <c r="O669" s="70">
        <v>4</v>
      </c>
      <c r="P669" s="70"/>
      <c r="Q669" s="62" t="s">
        <v>258</v>
      </c>
      <c r="R669" s="61"/>
      <c r="S669" s="61"/>
    </row>
    <row r="670" spans="1:19" ht="13.8" customHeight="1" x14ac:dyDescent="0.3">
      <c r="A670" s="73" t="s">
        <v>317</v>
      </c>
      <c r="B670" s="74">
        <f>IFERROR(INDEX('Boulder Sample Log'!A$5:A$204,MATCH(A670,'Boulder Sample Log'!E$5:E$204,0)),"")</f>
        <v>46128</v>
      </c>
      <c r="C670" s="73">
        <v>798</v>
      </c>
      <c r="D670" s="73" t="s">
        <v>256</v>
      </c>
      <c r="E670" s="73">
        <v>3</v>
      </c>
      <c r="F670" s="75">
        <v>328.77</v>
      </c>
      <c r="G670" s="75">
        <v>16.579999999999998</v>
      </c>
      <c r="H670" s="73" t="s">
        <v>257</v>
      </c>
      <c r="I670" s="75">
        <v>14133.08</v>
      </c>
      <c r="J670" s="73" t="s">
        <v>257</v>
      </c>
      <c r="K670" s="75">
        <v>12421.18</v>
      </c>
      <c r="L670" s="73" t="s">
        <v>257</v>
      </c>
      <c r="M670" s="73" t="s">
        <v>257</v>
      </c>
      <c r="N670" s="76">
        <v>120.4</v>
      </c>
      <c r="O670" s="73">
        <v>4</v>
      </c>
      <c r="P670" s="73"/>
      <c r="Q670" s="66" t="s">
        <v>258</v>
      </c>
      <c r="R670" s="61"/>
      <c r="S670" s="61"/>
    </row>
    <row r="671" spans="1:19" ht="13.8" customHeight="1" x14ac:dyDescent="0.3">
      <c r="A671" s="70" t="s">
        <v>317</v>
      </c>
      <c r="B671" s="71">
        <f>IFERROR(INDEX('Boulder Sample Log'!A$5:A$204,MATCH(A671,'Boulder Sample Log'!E$5:E$204,0)),"")</f>
        <v>46128</v>
      </c>
      <c r="C671" s="70">
        <v>799</v>
      </c>
      <c r="D671" s="70" t="s">
        <v>256</v>
      </c>
      <c r="E671" s="70">
        <v>4</v>
      </c>
      <c r="F671" s="70" t="s">
        <v>257</v>
      </c>
      <c r="G671" s="72">
        <v>31.88</v>
      </c>
      <c r="H671" s="72">
        <v>11.38</v>
      </c>
      <c r="I671" s="72">
        <v>14485.87</v>
      </c>
      <c r="J671" s="70" t="s">
        <v>257</v>
      </c>
      <c r="K671" s="72">
        <v>18421.57</v>
      </c>
      <c r="L671" s="72">
        <v>80.430000000000007</v>
      </c>
      <c r="M671" s="72">
        <v>30.87</v>
      </c>
      <c r="N671" s="77">
        <v>120.2</v>
      </c>
      <c r="O671" s="70">
        <v>4</v>
      </c>
      <c r="P671" s="70"/>
      <c r="Q671" s="62" t="s">
        <v>258</v>
      </c>
      <c r="R671" s="61"/>
      <c r="S671" s="61"/>
    </row>
    <row r="672" spans="1:19" ht="13.8" customHeight="1" x14ac:dyDescent="0.3">
      <c r="A672" s="73" t="s">
        <v>317</v>
      </c>
      <c r="B672" s="74">
        <f>IFERROR(INDEX('Boulder Sample Log'!A$5:A$204,MATCH(A672,'Boulder Sample Log'!E$5:E$204,0)),"")</f>
        <v>46128</v>
      </c>
      <c r="C672" s="73">
        <v>800</v>
      </c>
      <c r="D672" s="73" t="s">
        <v>256</v>
      </c>
      <c r="E672" s="73">
        <v>4</v>
      </c>
      <c r="F672" s="75">
        <v>32.64</v>
      </c>
      <c r="G672" s="75">
        <v>51.48</v>
      </c>
      <c r="H672" s="75">
        <v>19.98</v>
      </c>
      <c r="I672" s="75">
        <v>10818.57</v>
      </c>
      <c r="J672" s="73" t="s">
        <v>257</v>
      </c>
      <c r="K672" s="75">
        <v>14536.02</v>
      </c>
      <c r="L672" s="75">
        <v>30.46</v>
      </c>
      <c r="M672" s="75">
        <v>21.07</v>
      </c>
      <c r="N672" s="76">
        <v>120.4</v>
      </c>
      <c r="O672" s="73">
        <v>4</v>
      </c>
      <c r="P672" s="73"/>
      <c r="Q672" s="66" t="s">
        <v>258</v>
      </c>
      <c r="R672" s="61"/>
      <c r="S672" s="61"/>
    </row>
    <row r="673" spans="1:19" ht="13.8" customHeight="1" x14ac:dyDescent="0.3">
      <c r="A673" s="70" t="s">
        <v>317</v>
      </c>
      <c r="B673" s="71">
        <f>IFERROR(INDEX('Boulder Sample Log'!A$5:A$204,MATCH(A673,'Boulder Sample Log'!E$5:E$204,0)),"")</f>
        <v>46128</v>
      </c>
      <c r="C673" s="70">
        <v>801</v>
      </c>
      <c r="D673" s="70" t="s">
        <v>256</v>
      </c>
      <c r="E673" s="70">
        <v>4</v>
      </c>
      <c r="F673" s="70" t="s">
        <v>257</v>
      </c>
      <c r="G673" s="72">
        <v>36.6</v>
      </c>
      <c r="H673" s="72">
        <v>5.72</v>
      </c>
      <c r="I673" s="72">
        <v>14610.19</v>
      </c>
      <c r="J673" s="70" t="s">
        <v>257</v>
      </c>
      <c r="K673" s="72">
        <v>18525.48</v>
      </c>
      <c r="L673" s="72">
        <v>57.51</v>
      </c>
      <c r="M673" s="72">
        <v>37.71</v>
      </c>
      <c r="N673" s="77">
        <v>122.8</v>
      </c>
      <c r="O673" s="70">
        <v>4</v>
      </c>
      <c r="P673" s="70"/>
      <c r="Q673" s="62" t="s">
        <v>258</v>
      </c>
      <c r="R673" s="61"/>
      <c r="S673" s="61"/>
    </row>
    <row r="674" spans="1:19" ht="13.8" customHeight="1" x14ac:dyDescent="0.3">
      <c r="A674" s="73" t="s">
        <v>317</v>
      </c>
      <c r="B674" s="74">
        <f>IFERROR(INDEX('Boulder Sample Log'!A$5:A$204,MATCH(A674,'Boulder Sample Log'!E$5:E$204,0)),"")</f>
        <v>46128</v>
      </c>
      <c r="C674" s="73">
        <v>802</v>
      </c>
      <c r="D674" s="73" t="s">
        <v>256</v>
      </c>
      <c r="E674" s="73">
        <v>5</v>
      </c>
      <c r="F674" s="73" t="s">
        <v>257</v>
      </c>
      <c r="G674" s="75">
        <v>43.41</v>
      </c>
      <c r="H674" s="75">
        <v>7.12</v>
      </c>
      <c r="I674" s="75">
        <v>19171.66</v>
      </c>
      <c r="J674" s="73" t="s">
        <v>257</v>
      </c>
      <c r="K674" s="75">
        <v>20131.93</v>
      </c>
      <c r="L674" s="75">
        <v>14.74</v>
      </c>
      <c r="M674" s="75">
        <v>13.5</v>
      </c>
      <c r="N674" s="76">
        <v>123</v>
      </c>
      <c r="O674" s="73">
        <v>4</v>
      </c>
      <c r="P674" s="73"/>
      <c r="Q674" s="66" t="s">
        <v>258</v>
      </c>
      <c r="R674" s="61"/>
      <c r="S674" s="61"/>
    </row>
    <row r="675" spans="1:19" ht="13.8" customHeight="1" x14ac:dyDescent="0.3">
      <c r="A675" s="70" t="s">
        <v>317</v>
      </c>
      <c r="B675" s="71">
        <f>IFERROR(INDEX('Boulder Sample Log'!A$5:A$204,MATCH(A675,'Boulder Sample Log'!E$5:E$204,0)),"")</f>
        <v>46128</v>
      </c>
      <c r="C675" s="70">
        <v>803</v>
      </c>
      <c r="D675" s="70" t="s">
        <v>256</v>
      </c>
      <c r="E675" s="70">
        <v>5</v>
      </c>
      <c r="F675" s="72">
        <v>3.64</v>
      </c>
      <c r="G675" s="72">
        <v>51.25</v>
      </c>
      <c r="H675" s="72">
        <v>6.31</v>
      </c>
      <c r="I675" s="72">
        <v>19473.14</v>
      </c>
      <c r="J675" s="70" t="s">
        <v>257</v>
      </c>
      <c r="K675" s="72">
        <v>15952.42</v>
      </c>
      <c r="L675" s="72">
        <v>15.22</v>
      </c>
      <c r="M675" s="72">
        <v>24.38</v>
      </c>
      <c r="N675" s="77">
        <v>122.9</v>
      </c>
      <c r="O675" s="70">
        <v>4</v>
      </c>
      <c r="P675" s="70"/>
      <c r="Q675" s="62" t="s">
        <v>258</v>
      </c>
      <c r="R675" s="61"/>
      <c r="S675" s="61"/>
    </row>
    <row r="676" spans="1:19" ht="13.8" customHeight="1" x14ac:dyDescent="0.3">
      <c r="A676" s="73" t="s">
        <v>318</v>
      </c>
      <c r="B676" s="74">
        <f>IFERROR(INDEX('Boulder Sample Log'!A$5:A$204,MATCH(A676,'Boulder Sample Log'!E$5:E$204,0)),"")</f>
        <v>46128</v>
      </c>
      <c r="C676" s="73">
        <v>804</v>
      </c>
      <c r="D676" s="73" t="s">
        <v>256</v>
      </c>
      <c r="E676" s="73">
        <v>1</v>
      </c>
      <c r="F676" s="73" t="s">
        <v>257</v>
      </c>
      <c r="G676" s="73" t="s">
        <v>257</v>
      </c>
      <c r="H676" s="75">
        <v>7.44</v>
      </c>
      <c r="I676" s="75">
        <v>35470.019999999997</v>
      </c>
      <c r="J676" s="75">
        <v>522.12</v>
      </c>
      <c r="K676" s="75">
        <v>2353.36</v>
      </c>
      <c r="L676" s="75">
        <v>85.59</v>
      </c>
      <c r="M676" s="75">
        <v>14.76</v>
      </c>
      <c r="N676" s="76">
        <v>122.9</v>
      </c>
      <c r="O676" s="73">
        <v>4</v>
      </c>
      <c r="P676" s="73"/>
      <c r="Q676" s="66" t="s">
        <v>258</v>
      </c>
      <c r="R676" s="61"/>
      <c r="S676" s="61"/>
    </row>
    <row r="677" spans="1:19" ht="13.8" customHeight="1" x14ac:dyDescent="0.3">
      <c r="A677" s="70" t="s">
        <v>318</v>
      </c>
      <c r="B677" s="71">
        <f>IFERROR(INDEX('Boulder Sample Log'!A$5:A$204,MATCH(A677,'Boulder Sample Log'!E$5:E$204,0)),"")</f>
        <v>46128</v>
      </c>
      <c r="C677" s="70">
        <v>805</v>
      </c>
      <c r="D677" s="70" t="s">
        <v>256</v>
      </c>
      <c r="E677" s="70">
        <v>1</v>
      </c>
      <c r="F677" s="70" t="s">
        <v>257</v>
      </c>
      <c r="G677" s="70" t="s">
        <v>257</v>
      </c>
      <c r="H677" s="72">
        <v>7.16</v>
      </c>
      <c r="I677" s="72">
        <v>36189.64</v>
      </c>
      <c r="J677" s="72">
        <v>483.02</v>
      </c>
      <c r="K677" s="72">
        <v>1328.79</v>
      </c>
      <c r="L677" s="72">
        <v>94.15</v>
      </c>
      <c r="M677" s="72">
        <v>10.28</v>
      </c>
      <c r="N677" s="77">
        <v>122.8</v>
      </c>
      <c r="O677" s="70">
        <v>4</v>
      </c>
      <c r="P677" s="70"/>
      <c r="Q677" s="62" t="s">
        <v>258</v>
      </c>
      <c r="R677" s="61"/>
      <c r="S677" s="61"/>
    </row>
    <row r="678" spans="1:19" ht="13.8" customHeight="1" x14ac:dyDescent="0.3">
      <c r="A678" s="73" t="s">
        <v>318</v>
      </c>
      <c r="B678" s="74">
        <f>IFERROR(INDEX('Boulder Sample Log'!A$5:A$204,MATCH(A678,'Boulder Sample Log'!E$5:E$204,0)),"")</f>
        <v>46128</v>
      </c>
      <c r="C678" s="73">
        <v>806</v>
      </c>
      <c r="D678" s="73" t="s">
        <v>256</v>
      </c>
      <c r="E678" s="73">
        <v>2</v>
      </c>
      <c r="F678" s="73" t="s">
        <v>257</v>
      </c>
      <c r="G678" s="73" t="s">
        <v>257</v>
      </c>
      <c r="H678" s="75">
        <v>9.76</v>
      </c>
      <c r="I678" s="75">
        <v>42287.839999999997</v>
      </c>
      <c r="J678" s="75">
        <v>1013.45</v>
      </c>
      <c r="K678" s="75">
        <v>820.42</v>
      </c>
      <c r="L678" s="75">
        <v>101.96</v>
      </c>
      <c r="M678" s="75">
        <v>11.31</v>
      </c>
      <c r="N678" s="76">
        <v>122.8</v>
      </c>
      <c r="O678" s="73">
        <v>4</v>
      </c>
      <c r="P678" s="73"/>
      <c r="Q678" s="66" t="s">
        <v>258</v>
      </c>
      <c r="R678" s="61"/>
      <c r="S678" s="61"/>
    </row>
    <row r="679" spans="1:19" ht="13.8" customHeight="1" x14ac:dyDescent="0.3">
      <c r="A679" s="70" t="s">
        <v>318</v>
      </c>
      <c r="B679" s="71">
        <f>IFERROR(INDEX('Boulder Sample Log'!A$5:A$204,MATCH(A679,'Boulder Sample Log'!E$5:E$204,0)),"")</f>
        <v>46128</v>
      </c>
      <c r="C679" s="70">
        <v>807</v>
      </c>
      <c r="D679" s="70" t="s">
        <v>256</v>
      </c>
      <c r="E679" s="70">
        <v>2</v>
      </c>
      <c r="F679" s="70" t="s">
        <v>257</v>
      </c>
      <c r="G679" s="70" t="s">
        <v>257</v>
      </c>
      <c r="H679" s="72">
        <v>10.67</v>
      </c>
      <c r="I679" s="72">
        <v>52934.39</v>
      </c>
      <c r="J679" s="72">
        <v>743.31</v>
      </c>
      <c r="K679" s="70" t="s">
        <v>257</v>
      </c>
      <c r="L679" s="72">
        <v>117.67</v>
      </c>
      <c r="M679" s="72">
        <v>9.85</v>
      </c>
      <c r="N679" s="77">
        <v>85.4</v>
      </c>
      <c r="O679" s="70">
        <v>4</v>
      </c>
      <c r="P679" s="70" t="s">
        <v>319</v>
      </c>
      <c r="Q679" s="62" t="s">
        <v>258</v>
      </c>
      <c r="R679" s="61"/>
      <c r="S679" s="61"/>
    </row>
    <row r="680" spans="1:19" ht="13.8" customHeight="1" x14ac:dyDescent="0.3">
      <c r="A680" s="73" t="s">
        <v>318</v>
      </c>
      <c r="B680" s="74">
        <f>IFERROR(INDEX('Boulder Sample Log'!A$5:A$204,MATCH(A680,'Boulder Sample Log'!E$5:E$204,0)),"")</f>
        <v>46128</v>
      </c>
      <c r="C680" s="73">
        <v>808</v>
      </c>
      <c r="D680" s="73" t="s">
        <v>256</v>
      </c>
      <c r="E680" s="73">
        <v>2</v>
      </c>
      <c r="F680" s="73" t="s">
        <v>257</v>
      </c>
      <c r="G680" s="73" t="s">
        <v>257</v>
      </c>
      <c r="H680" s="75">
        <v>8.14</v>
      </c>
      <c r="I680" s="75">
        <v>36566.74</v>
      </c>
      <c r="J680" s="75">
        <v>669.54</v>
      </c>
      <c r="K680" s="75">
        <v>980.02</v>
      </c>
      <c r="L680" s="75">
        <v>103.01</v>
      </c>
      <c r="M680" s="75">
        <v>13.76</v>
      </c>
      <c r="N680" s="76">
        <v>123.2</v>
      </c>
      <c r="O680" s="73">
        <v>4</v>
      </c>
      <c r="P680" s="73"/>
      <c r="Q680" s="66" t="s">
        <v>258</v>
      </c>
      <c r="R680" s="61"/>
      <c r="S680" s="61"/>
    </row>
    <row r="681" spans="1:19" ht="13.8" customHeight="1" x14ac:dyDescent="0.3">
      <c r="A681" s="70" t="s">
        <v>318</v>
      </c>
      <c r="B681" s="71">
        <f>IFERROR(INDEX('Boulder Sample Log'!A$5:A$204,MATCH(A681,'Boulder Sample Log'!E$5:E$204,0)),"")</f>
        <v>46128</v>
      </c>
      <c r="C681" s="70">
        <v>809</v>
      </c>
      <c r="D681" s="70" t="s">
        <v>256</v>
      </c>
      <c r="E681" s="70">
        <v>3</v>
      </c>
      <c r="F681" s="72">
        <v>4.5999999999999996</v>
      </c>
      <c r="G681" s="70" t="s">
        <v>257</v>
      </c>
      <c r="H681" s="72">
        <v>7.56</v>
      </c>
      <c r="I681" s="72">
        <v>35020.019999999997</v>
      </c>
      <c r="J681" s="72">
        <v>613.33000000000004</v>
      </c>
      <c r="K681" s="72">
        <v>1397.58</v>
      </c>
      <c r="L681" s="72">
        <v>127.62</v>
      </c>
      <c r="M681" s="72">
        <v>11.49</v>
      </c>
      <c r="N681" s="77">
        <v>120</v>
      </c>
      <c r="O681" s="70">
        <v>4</v>
      </c>
      <c r="P681" s="70"/>
      <c r="Q681" s="62" t="s">
        <v>258</v>
      </c>
      <c r="R681" s="61"/>
      <c r="S681" s="61"/>
    </row>
    <row r="682" spans="1:19" ht="13.8" customHeight="1" x14ac:dyDescent="0.3">
      <c r="A682" s="73" t="s">
        <v>318</v>
      </c>
      <c r="B682" s="74">
        <f>IFERROR(INDEX('Boulder Sample Log'!A$5:A$204,MATCH(A682,'Boulder Sample Log'!E$5:E$204,0)),"")</f>
        <v>46128</v>
      </c>
      <c r="C682" s="73">
        <v>810</v>
      </c>
      <c r="D682" s="73" t="s">
        <v>256</v>
      </c>
      <c r="E682" s="73">
        <v>3</v>
      </c>
      <c r="F682" s="73" t="s">
        <v>257</v>
      </c>
      <c r="G682" s="73" t="s">
        <v>257</v>
      </c>
      <c r="H682" s="75">
        <v>8.01</v>
      </c>
      <c r="I682" s="75">
        <v>35840.980000000003</v>
      </c>
      <c r="J682" s="75">
        <v>495.64</v>
      </c>
      <c r="K682" s="75">
        <v>2807.85</v>
      </c>
      <c r="L682" s="75">
        <v>150.37</v>
      </c>
      <c r="M682" s="75">
        <v>14.86</v>
      </c>
      <c r="N682" s="76">
        <v>123</v>
      </c>
      <c r="O682" s="73">
        <v>4</v>
      </c>
      <c r="P682" s="73"/>
      <c r="Q682" s="66" t="s">
        <v>258</v>
      </c>
      <c r="R682" s="61"/>
      <c r="S682" s="61"/>
    </row>
    <row r="683" spans="1:19" ht="13.8" customHeight="1" x14ac:dyDescent="0.3">
      <c r="A683" s="70" t="s">
        <v>318</v>
      </c>
      <c r="B683" s="71">
        <f>IFERROR(INDEX('Boulder Sample Log'!A$5:A$204,MATCH(A683,'Boulder Sample Log'!E$5:E$204,0)),"")</f>
        <v>46128</v>
      </c>
      <c r="C683" s="70">
        <v>811</v>
      </c>
      <c r="D683" s="70" t="s">
        <v>256</v>
      </c>
      <c r="E683" s="70">
        <v>4</v>
      </c>
      <c r="F683" s="72">
        <v>4.22</v>
      </c>
      <c r="G683" s="72">
        <v>12.59</v>
      </c>
      <c r="H683" s="72">
        <v>7.94</v>
      </c>
      <c r="I683" s="72">
        <v>33798.730000000003</v>
      </c>
      <c r="J683" s="72">
        <v>430.82</v>
      </c>
      <c r="K683" s="72">
        <v>2879.51</v>
      </c>
      <c r="L683" s="72">
        <v>67.25</v>
      </c>
      <c r="M683" s="72">
        <v>7.86</v>
      </c>
      <c r="N683" s="77">
        <v>120.5</v>
      </c>
      <c r="O683" s="70">
        <v>4</v>
      </c>
      <c r="P683" s="70"/>
      <c r="Q683" s="62" t="s">
        <v>258</v>
      </c>
      <c r="R683" s="61"/>
      <c r="S683" s="61"/>
    </row>
    <row r="684" spans="1:19" ht="13.8" customHeight="1" x14ac:dyDescent="0.3">
      <c r="A684" s="73" t="s">
        <v>318</v>
      </c>
      <c r="B684" s="74">
        <f>IFERROR(INDEX('Boulder Sample Log'!A$5:A$204,MATCH(A684,'Boulder Sample Log'!E$5:E$204,0)),"")</f>
        <v>46128</v>
      </c>
      <c r="C684" s="73">
        <v>812</v>
      </c>
      <c r="D684" s="73" t="s">
        <v>256</v>
      </c>
      <c r="E684" s="73">
        <v>4</v>
      </c>
      <c r="F684" s="73" t="s">
        <v>257</v>
      </c>
      <c r="G684" s="75">
        <v>13</v>
      </c>
      <c r="H684" s="75">
        <v>8.09</v>
      </c>
      <c r="I684" s="75">
        <v>32692.34</v>
      </c>
      <c r="J684" s="75">
        <v>415.58</v>
      </c>
      <c r="K684" s="75">
        <v>2883.82</v>
      </c>
      <c r="L684" s="75">
        <v>65.59</v>
      </c>
      <c r="M684" s="75">
        <v>5.52</v>
      </c>
      <c r="N684" s="76">
        <v>123.2</v>
      </c>
      <c r="O684" s="73">
        <v>4</v>
      </c>
      <c r="P684" s="73"/>
      <c r="Q684" s="66" t="s">
        <v>258</v>
      </c>
      <c r="R684" s="61"/>
      <c r="S684" s="61"/>
    </row>
    <row r="685" spans="1:19" ht="13.8" customHeight="1" x14ac:dyDescent="0.3">
      <c r="A685" s="70" t="s">
        <v>318</v>
      </c>
      <c r="B685" s="71">
        <f>IFERROR(INDEX('Boulder Sample Log'!A$5:A$204,MATCH(A685,'Boulder Sample Log'!E$5:E$204,0)),"")</f>
        <v>46128</v>
      </c>
      <c r="C685" s="70">
        <v>813</v>
      </c>
      <c r="D685" s="70" t="s">
        <v>256</v>
      </c>
      <c r="E685" s="70">
        <v>5</v>
      </c>
      <c r="F685" s="70" t="s">
        <v>257</v>
      </c>
      <c r="G685" s="70" t="s">
        <v>257</v>
      </c>
      <c r="H685" s="72">
        <v>10.84</v>
      </c>
      <c r="I685" s="72">
        <v>31620.85</v>
      </c>
      <c r="J685" s="72">
        <v>506.4</v>
      </c>
      <c r="K685" s="72">
        <v>2989.84</v>
      </c>
      <c r="L685" s="72">
        <v>97.11</v>
      </c>
      <c r="M685" s="72">
        <v>11.19</v>
      </c>
      <c r="N685" s="77">
        <v>123</v>
      </c>
      <c r="O685" s="70">
        <v>4</v>
      </c>
      <c r="P685" s="70"/>
      <c r="Q685" s="62" t="s">
        <v>258</v>
      </c>
      <c r="R685" s="61"/>
      <c r="S685" s="61"/>
    </row>
    <row r="686" spans="1:19" ht="13.8" customHeight="1" x14ac:dyDescent="0.3">
      <c r="A686" s="73" t="s">
        <v>318</v>
      </c>
      <c r="B686" s="74">
        <f>IFERROR(INDEX('Boulder Sample Log'!A$5:A$204,MATCH(A686,'Boulder Sample Log'!E$5:E$204,0)),"")</f>
        <v>46128</v>
      </c>
      <c r="C686" s="73">
        <v>814</v>
      </c>
      <c r="D686" s="73" t="s">
        <v>256</v>
      </c>
      <c r="E686" s="73">
        <v>5</v>
      </c>
      <c r="F686" s="75">
        <v>3.65</v>
      </c>
      <c r="G686" s="73" t="s">
        <v>257</v>
      </c>
      <c r="H686" s="75">
        <v>10.24</v>
      </c>
      <c r="I686" s="75">
        <v>31880.05</v>
      </c>
      <c r="J686" s="75">
        <v>505.13</v>
      </c>
      <c r="K686" s="75">
        <v>3363.54</v>
      </c>
      <c r="L686" s="75">
        <v>96.72</v>
      </c>
      <c r="M686" s="75">
        <v>15.73</v>
      </c>
      <c r="N686" s="76">
        <v>123.1</v>
      </c>
      <c r="O686" s="73">
        <v>4</v>
      </c>
      <c r="P686" s="73"/>
      <c r="Q686" s="66" t="s">
        <v>258</v>
      </c>
      <c r="R686" s="61"/>
      <c r="S686" s="61"/>
    </row>
    <row r="687" spans="1:19" ht="13.8" customHeight="1" x14ac:dyDescent="0.3">
      <c r="A687" s="70" t="s">
        <v>320</v>
      </c>
      <c r="B687" s="71">
        <f>IFERROR(INDEX('Boulder Sample Log'!A$5:A$204,MATCH(A687,'Boulder Sample Log'!E$5:E$204,0)),"")</f>
        <v>46128</v>
      </c>
      <c r="C687" s="70">
        <v>815</v>
      </c>
      <c r="D687" s="70" t="s">
        <v>256</v>
      </c>
      <c r="E687" s="70">
        <v>1</v>
      </c>
      <c r="F687" s="72">
        <v>5.03</v>
      </c>
      <c r="G687" s="72">
        <v>15.54</v>
      </c>
      <c r="H687" s="72">
        <v>11.06</v>
      </c>
      <c r="I687" s="72">
        <v>21097.87</v>
      </c>
      <c r="J687" s="72">
        <v>223.61</v>
      </c>
      <c r="K687" s="72">
        <v>3860.31</v>
      </c>
      <c r="L687" s="72">
        <v>67.239999999999995</v>
      </c>
      <c r="M687" s="72">
        <v>24.16</v>
      </c>
      <c r="N687" s="77">
        <v>120.8</v>
      </c>
      <c r="O687" s="70">
        <v>4</v>
      </c>
      <c r="P687" s="70"/>
      <c r="Q687" s="62" t="s">
        <v>258</v>
      </c>
      <c r="R687" s="61"/>
      <c r="S687" s="61"/>
    </row>
    <row r="688" spans="1:19" ht="13.8" customHeight="1" x14ac:dyDescent="0.3">
      <c r="A688" s="73" t="s">
        <v>320</v>
      </c>
      <c r="B688" s="74">
        <f>IFERROR(INDEX('Boulder Sample Log'!A$5:A$204,MATCH(A688,'Boulder Sample Log'!E$5:E$204,0)),"")</f>
        <v>46128</v>
      </c>
      <c r="C688" s="73">
        <v>816</v>
      </c>
      <c r="D688" s="73" t="s">
        <v>256</v>
      </c>
      <c r="E688" s="73">
        <v>1</v>
      </c>
      <c r="F688" s="75">
        <v>5.52</v>
      </c>
      <c r="G688" s="75">
        <v>10.63</v>
      </c>
      <c r="H688" s="75">
        <v>9.91</v>
      </c>
      <c r="I688" s="75">
        <v>22928.32</v>
      </c>
      <c r="J688" s="75">
        <v>300.49</v>
      </c>
      <c r="K688" s="75">
        <v>4721.8599999999997</v>
      </c>
      <c r="L688" s="75">
        <v>69.64</v>
      </c>
      <c r="M688" s="75">
        <v>17.84</v>
      </c>
      <c r="N688" s="76">
        <v>123.1</v>
      </c>
      <c r="O688" s="73">
        <v>4</v>
      </c>
      <c r="P688" s="73"/>
      <c r="Q688" s="66" t="s">
        <v>258</v>
      </c>
      <c r="R688" s="61"/>
      <c r="S688" s="61"/>
    </row>
    <row r="689" spans="1:19" ht="13.8" customHeight="1" x14ac:dyDescent="0.3">
      <c r="A689" s="70" t="s">
        <v>320</v>
      </c>
      <c r="B689" s="71">
        <f>IFERROR(INDEX('Boulder Sample Log'!A$5:A$204,MATCH(A689,'Boulder Sample Log'!E$5:E$204,0)),"")</f>
        <v>46128</v>
      </c>
      <c r="C689" s="70">
        <v>817</v>
      </c>
      <c r="D689" s="70" t="s">
        <v>256</v>
      </c>
      <c r="E689" s="70">
        <v>2</v>
      </c>
      <c r="F689" s="72">
        <v>122.25</v>
      </c>
      <c r="G689" s="72">
        <v>98.18</v>
      </c>
      <c r="H689" s="72">
        <v>5.19</v>
      </c>
      <c r="I689" s="72">
        <v>19624.63</v>
      </c>
      <c r="J689" s="70" t="s">
        <v>257</v>
      </c>
      <c r="K689" s="72">
        <v>12797.75</v>
      </c>
      <c r="L689" s="70" t="s">
        <v>257</v>
      </c>
      <c r="M689" s="70" t="s">
        <v>257</v>
      </c>
      <c r="N689" s="77">
        <v>120.2</v>
      </c>
      <c r="O689" s="70">
        <v>4</v>
      </c>
      <c r="P689" s="70"/>
      <c r="Q689" s="62" t="s">
        <v>258</v>
      </c>
      <c r="R689" s="61"/>
      <c r="S689" s="61"/>
    </row>
    <row r="690" spans="1:19" ht="13.8" customHeight="1" x14ac:dyDescent="0.3">
      <c r="A690" s="73" t="s">
        <v>320</v>
      </c>
      <c r="B690" s="74">
        <f>IFERROR(INDEX('Boulder Sample Log'!A$5:A$204,MATCH(A690,'Boulder Sample Log'!E$5:E$204,0)),"")</f>
        <v>46128</v>
      </c>
      <c r="C690" s="73">
        <v>818</v>
      </c>
      <c r="D690" s="73" t="s">
        <v>256</v>
      </c>
      <c r="E690" s="73">
        <v>2</v>
      </c>
      <c r="F690" s="75">
        <v>160.54</v>
      </c>
      <c r="G690" s="75">
        <v>73.7</v>
      </c>
      <c r="H690" s="73" t="s">
        <v>257</v>
      </c>
      <c r="I690" s="75">
        <v>53032.15</v>
      </c>
      <c r="J690" s="73" t="s">
        <v>257</v>
      </c>
      <c r="K690" s="75">
        <v>34210.25</v>
      </c>
      <c r="L690" s="75">
        <v>5.2</v>
      </c>
      <c r="M690" s="75">
        <v>9.0399999999999991</v>
      </c>
      <c r="N690" s="76">
        <v>120.4</v>
      </c>
      <c r="O690" s="73">
        <v>4</v>
      </c>
      <c r="P690" s="73"/>
      <c r="Q690" s="66" t="s">
        <v>258</v>
      </c>
      <c r="R690" s="61"/>
      <c r="S690" s="61"/>
    </row>
    <row r="691" spans="1:19" ht="13.8" customHeight="1" x14ac:dyDescent="0.3">
      <c r="A691" s="70" t="s">
        <v>320</v>
      </c>
      <c r="B691" s="71">
        <f>IFERROR(INDEX('Boulder Sample Log'!A$5:A$204,MATCH(A691,'Boulder Sample Log'!E$5:E$204,0)),"")</f>
        <v>46128</v>
      </c>
      <c r="C691" s="70">
        <v>819</v>
      </c>
      <c r="D691" s="70" t="s">
        <v>256</v>
      </c>
      <c r="E691" s="70">
        <v>3</v>
      </c>
      <c r="F691" s="72">
        <v>13.12</v>
      </c>
      <c r="G691" s="72">
        <v>45.3</v>
      </c>
      <c r="H691" s="72">
        <v>7.57</v>
      </c>
      <c r="I691" s="72">
        <v>8362.86</v>
      </c>
      <c r="J691" s="70" t="s">
        <v>257</v>
      </c>
      <c r="K691" s="72">
        <v>2818.41</v>
      </c>
      <c r="L691" s="72">
        <v>57.88</v>
      </c>
      <c r="M691" s="72">
        <v>11.3</v>
      </c>
      <c r="N691" s="77">
        <v>123</v>
      </c>
      <c r="O691" s="70">
        <v>4</v>
      </c>
      <c r="P691" s="70"/>
      <c r="Q691" s="62" t="s">
        <v>258</v>
      </c>
      <c r="R691" s="61"/>
      <c r="S691" s="61"/>
    </row>
    <row r="692" spans="1:19" ht="13.8" customHeight="1" x14ac:dyDescent="0.3">
      <c r="A692" s="73" t="s">
        <v>320</v>
      </c>
      <c r="B692" s="74">
        <f>IFERROR(INDEX('Boulder Sample Log'!A$5:A$204,MATCH(A692,'Boulder Sample Log'!E$5:E$204,0)),"")</f>
        <v>46128</v>
      </c>
      <c r="C692" s="73">
        <v>820</v>
      </c>
      <c r="D692" s="73" t="s">
        <v>256</v>
      </c>
      <c r="E692" s="73">
        <v>3</v>
      </c>
      <c r="F692" s="75">
        <v>12.62</v>
      </c>
      <c r="G692" s="75">
        <v>40.85</v>
      </c>
      <c r="H692" s="75">
        <v>8.0399999999999991</v>
      </c>
      <c r="I692" s="75">
        <v>8535.57</v>
      </c>
      <c r="J692" s="73" t="s">
        <v>257</v>
      </c>
      <c r="K692" s="75">
        <v>3405.37</v>
      </c>
      <c r="L692" s="75">
        <v>71.09</v>
      </c>
      <c r="M692" s="75">
        <v>11.07</v>
      </c>
      <c r="N692" s="76">
        <v>120.6</v>
      </c>
      <c r="O692" s="73">
        <v>4</v>
      </c>
      <c r="P692" s="73"/>
      <c r="Q692" s="66" t="s">
        <v>258</v>
      </c>
      <c r="R692" s="61"/>
      <c r="S692" s="61"/>
    </row>
    <row r="693" spans="1:19" ht="13.8" customHeight="1" x14ac:dyDescent="0.3">
      <c r="A693" s="70" t="s">
        <v>320</v>
      </c>
      <c r="B693" s="71">
        <f>IFERROR(INDEX('Boulder Sample Log'!A$5:A$204,MATCH(A693,'Boulder Sample Log'!E$5:E$204,0)),"")</f>
        <v>46128</v>
      </c>
      <c r="C693" s="70">
        <v>821</v>
      </c>
      <c r="D693" s="70" t="s">
        <v>256</v>
      </c>
      <c r="E693" s="70">
        <v>4</v>
      </c>
      <c r="F693" s="72">
        <v>96.79</v>
      </c>
      <c r="G693" s="72">
        <v>114.36</v>
      </c>
      <c r="H693" s="72">
        <v>6.36</v>
      </c>
      <c r="I693" s="72">
        <v>10060.19</v>
      </c>
      <c r="J693" s="70" t="s">
        <v>257</v>
      </c>
      <c r="K693" s="72">
        <v>10284.42</v>
      </c>
      <c r="L693" s="72">
        <v>6.89</v>
      </c>
      <c r="M693" s="70" t="s">
        <v>257</v>
      </c>
      <c r="N693" s="77">
        <v>120.6</v>
      </c>
      <c r="O693" s="70">
        <v>4</v>
      </c>
      <c r="P693" s="70"/>
      <c r="Q693" s="62" t="s">
        <v>258</v>
      </c>
      <c r="R693" s="61"/>
      <c r="S693" s="61"/>
    </row>
    <row r="694" spans="1:19" ht="13.8" customHeight="1" x14ac:dyDescent="0.3">
      <c r="A694" s="73" t="s">
        <v>320</v>
      </c>
      <c r="B694" s="74">
        <f>IFERROR(INDEX('Boulder Sample Log'!A$5:A$204,MATCH(A694,'Boulder Sample Log'!E$5:E$204,0)),"")</f>
        <v>46128</v>
      </c>
      <c r="C694" s="73">
        <v>822</v>
      </c>
      <c r="D694" s="73" t="s">
        <v>256</v>
      </c>
      <c r="E694" s="73">
        <v>4</v>
      </c>
      <c r="F694" s="75">
        <v>63.26</v>
      </c>
      <c r="G694" s="75">
        <v>171.58</v>
      </c>
      <c r="H694" s="75">
        <v>3.61</v>
      </c>
      <c r="I694" s="75">
        <v>56238.09</v>
      </c>
      <c r="J694" s="73" t="s">
        <v>257</v>
      </c>
      <c r="K694" s="75">
        <v>35268.17</v>
      </c>
      <c r="L694" s="75">
        <v>27.72</v>
      </c>
      <c r="M694" s="75">
        <v>5.24</v>
      </c>
      <c r="N694" s="76">
        <v>122.8</v>
      </c>
      <c r="O694" s="73">
        <v>4</v>
      </c>
      <c r="P694" s="73"/>
      <c r="Q694" s="66" t="s">
        <v>258</v>
      </c>
      <c r="R694" s="61"/>
      <c r="S694" s="61"/>
    </row>
    <row r="695" spans="1:19" ht="13.8" customHeight="1" x14ac:dyDescent="0.3">
      <c r="A695" s="70" t="s">
        <v>320</v>
      </c>
      <c r="B695" s="71">
        <f>IFERROR(INDEX('Boulder Sample Log'!A$5:A$204,MATCH(A695,'Boulder Sample Log'!E$5:E$204,0)),"")</f>
        <v>46128</v>
      </c>
      <c r="C695" s="70">
        <v>823</v>
      </c>
      <c r="D695" s="70" t="s">
        <v>256</v>
      </c>
      <c r="E695" s="70">
        <v>4</v>
      </c>
      <c r="F695" s="72">
        <v>105</v>
      </c>
      <c r="G695" s="72">
        <v>112.51</v>
      </c>
      <c r="H695" s="72">
        <v>5.61</v>
      </c>
      <c r="I695" s="72">
        <v>8915.4500000000007</v>
      </c>
      <c r="J695" s="70" t="s">
        <v>257</v>
      </c>
      <c r="K695" s="72">
        <v>9682.5300000000007</v>
      </c>
      <c r="L695" s="72">
        <v>2.77</v>
      </c>
      <c r="M695" s="70" t="s">
        <v>257</v>
      </c>
      <c r="N695" s="77">
        <v>123</v>
      </c>
      <c r="O695" s="70">
        <v>4</v>
      </c>
      <c r="P695" s="70"/>
      <c r="Q695" s="62" t="s">
        <v>258</v>
      </c>
      <c r="R695" s="61"/>
      <c r="S695" s="61"/>
    </row>
    <row r="696" spans="1:19" ht="13.8" customHeight="1" x14ac:dyDescent="0.3">
      <c r="A696" s="73" t="s">
        <v>320</v>
      </c>
      <c r="B696" s="74">
        <f>IFERROR(INDEX('Boulder Sample Log'!A$5:A$204,MATCH(A696,'Boulder Sample Log'!E$5:E$204,0)),"")</f>
        <v>46128</v>
      </c>
      <c r="C696" s="73">
        <v>824</v>
      </c>
      <c r="D696" s="73" t="s">
        <v>256</v>
      </c>
      <c r="E696" s="73">
        <v>5</v>
      </c>
      <c r="F696" s="75">
        <v>222.45</v>
      </c>
      <c r="G696" s="75">
        <v>73.94</v>
      </c>
      <c r="H696" s="75">
        <v>4.25</v>
      </c>
      <c r="I696" s="75">
        <v>31735.93</v>
      </c>
      <c r="J696" s="73" t="s">
        <v>257</v>
      </c>
      <c r="K696" s="75">
        <v>21258.51</v>
      </c>
      <c r="L696" s="75">
        <v>37.36</v>
      </c>
      <c r="M696" s="73" t="s">
        <v>257</v>
      </c>
      <c r="N696" s="76">
        <v>123.1</v>
      </c>
      <c r="O696" s="73">
        <v>4</v>
      </c>
      <c r="P696" s="73"/>
      <c r="Q696" s="66" t="s">
        <v>258</v>
      </c>
      <c r="R696" s="61"/>
      <c r="S696" s="61"/>
    </row>
    <row r="697" spans="1:19" ht="13.8" customHeight="1" x14ac:dyDescent="0.3">
      <c r="A697" s="70" t="s">
        <v>320</v>
      </c>
      <c r="B697" s="71">
        <f>IFERROR(INDEX('Boulder Sample Log'!A$5:A$204,MATCH(A697,'Boulder Sample Log'!E$5:E$204,0)),"")</f>
        <v>46128</v>
      </c>
      <c r="C697" s="70">
        <v>825</v>
      </c>
      <c r="D697" s="70" t="s">
        <v>256</v>
      </c>
      <c r="E697" s="70">
        <v>5</v>
      </c>
      <c r="F697" s="72">
        <v>177.94</v>
      </c>
      <c r="G697" s="72">
        <v>69.58</v>
      </c>
      <c r="H697" s="72">
        <v>6</v>
      </c>
      <c r="I697" s="72">
        <v>36237.58</v>
      </c>
      <c r="J697" s="70" t="s">
        <v>257</v>
      </c>
      <c r="K697" s="72">
        <v>21081.84</v>
      </c>
      <c r="L697" s="72">
        <v>60.07</v>
      </c>
      <c r="M697" s="70" t="s">
        <v>257</v>
      </c>
      <c r="N697" s="77">
        <v>120.4</v>
      </c>
      <c r="O697" s="70">
        <v>4</v>
      </c>
      <c r="P697" s="70"/>
      <c r="Q697" s="62" t="s">
        <v>258</v>
      </c>
      <c r="R697" s="61"/>
      <c r="S697" s="61"/>
    </row>
    <row r="698" spans="1:19" ht="13.8" customHeight="1" x14ac:dyDescent="0.3">
      <c r="A698" s="73" t="s">
        <v>321</v>
      </c>
      <c r="B698" s="74">
        <f>IFERROR(INDEX('Boulder Sample Log'!A$5:A$204,MATCH(A698,'Boulder Sample Log'!E$5:E$204,0)),"")</f>
        <v>46128</v>
      </c>
      <c r="C698" s="73">
        <v>826</v>
      </c>
      <c r="D698" s="73" t="s">
        <v>256</v>
      </c>
      <c r="E698" s="73">
        <v>1</v>
      </c>
      <c r="F698" s="73" t="s">
        <v>257</v>
      </c>
      <c r="G698" s="75">
        <v>5.63</v>
      </c>
      <c r="H698" s="75">
        <v>5.58</v>
      </c>
      <c r="I698" s="75">
        <v>29326.79</v>
      </c>
      <c r="J698" s="75">
        <v>368.19</v>
      </c>
      <c r="K698" s="75">
        <v>1925.37</v>
      </c>
      <c r="L698" s="75">
        <v>91</v>
      </c>
      <c r="M698" s="75">
        <v>6.15</v>
      </c>
      <c r="N698" s="76">
        <v>120.3</v>
      </c>
      <c r="O698" s="73">
        <v>4</v>
      </c>
      <c r="P698" s="73"/>
      <c r="Q698" s="66" t="s">
        <v>258</v>
      </c>
      <c r="R698" s="61"/>
      <c r="S698" s="61"/>
    </row>
    <row r="699" spans="1:19" ht="13.8" customHeight="1" x14ac:dyDescent="0.3">
      <c r="A699" s="70" t="s">
        <v>321</v>
      </c>
      <c r="B699" s="71">
        <f>IFERROR(INDEX('Boulder Sample Log'!A$5:A$204,MATCH(A699,'Boulder Sample Log'!E$5:E$204,0)),"")</f>
        <v>46128</v>
      </c>
      <c r="C699" s="70">
        <v>827</v>
      </c>
      <c r="D699" s="70" t="s">
        <v>256</v>
      </c>
      <c r="E699" s="70">
        <v>1</v>
      </c>
      <c r="F699" s="70" t="s">
        <v>257</v>
      </c>
      <c r="G699" s="72">
        <v>3.17</v>
      </c>
      <c r="H699" s="72">
        <v>6.4</v>
      </c>
      <c r="I699" s="72">
        <v>30245.46</v>
      </c>
      <c r="J699" s="72">
        <v>363.43</v>
      </c>
      <c r="K699" s="72">
        <v>1799.64</v>
      </c>
      <c r="L699" s="72">
        <v>83.69</v>
      </c>
      <c r="M699" s="72">
        <v>7.37</v>
      </c>
      <c r="N699" s="77">
        <v>122.8</v>
      </c>
      <c r="O699" s="70">
        <v>4</v>
      </c>
      <c r="P699" s="70"/>
      <c r="Q699" s="62" t="s">
        <v>258</v>
      </c>
      <c r="R699" s="61"/>
      <c r="S699" s="61"/>
    </row>
    <row r="700" spans="1:19" ht="13.8" customHeight="1" x14ac:dyDescent="0.3">
      <c r="A700" s="73" t="s">
        <v>321</v>
      </c>
      <c r="B700" s="74">
        <f>IFERROR(INDEX('Boulder Sample Log'!A$5:A$204,MATCH(A700,'Boulder Sample Log'!E$5:E$204,0)),"")</f>
        <v>46128</v>
      </c>
      <c r="C700" s="73">
        <v>828</v>
      </c>
      <c r="D700" s="73" t="s">
        <v>256</v>
      </c>
      <c r="E700" s="73">
        <v>2</v>
      </c>
      <c r="F700" s="73" t="s">
        <v>257</v>
      </c>
      <c r="G700" s="75">
        <v>12.62</v>
      </c>
      <c r="H700" s="75">
        <v>7.92</v>
      </c>
      <c r="I700" s="75">
        <v>30174.86</v>
      </c>
      <c r="J700" s="75">
        <v>289.83</v>
      </c>
      <c r="K700" s="75">
        <v>5524.44</v>
      </c>
      <c r="L700" s="75">
        <v>102.35</v>
      </c>
      <c r="M700" s="75">
        <v>9.0399999999999991</v>
      </c>
      <c r="N700" s="76">
        <v>123.4</v>
      </c>
      <c r="O700" s="73">
        <v>4</v>
      </c>
      <c r="P700" s="73"/>
      <c r="Q700" s="66" t="s">
        <v>258</v>
      </c>
    </row>
    <row r="701" spans="1:19" ht="13.8" customHeight="1" x14ac:dyDescent="0.3">
      <c r="A701" s="70" t="s">
        <v>321</v>
      </c>
      <c r="B701" s="71">
        <f>IFERROR(INDEX('Boulder Sample Log'!A$5:A$204,MATCH(A701,'Boulder Sample Log'!E$5:E$204,0)),"")</f>
        <v>46128</v>
      </c>
      <c r="C701" s="70">
        <v>829</v>
      </c>
      <c r="D701" s="70" t="s">
        <v>256</v>
      </c>
      <c r="E701" s="70">
        <v>2</v>
      </c>
      <c r="F701" s="72">
        <v>5.01</v>
      </c>
      <c r="G701" s="72">
        <v>17.440000000000001</v>
      </c>
      <c r="H701" s="72">
        <v>7.55</v>
      </c>
      <c r="I701" s="72">
        <v>34913.64</v>
      </c>
      <c r="J701" s="72">
        <v>315.79000000000002</v>
      </c>
      <c r="K701" s="70" t="s">
        <v>257</v>
      </c>
      <c r="L701" s="72">
        <v>118.42</v>
      </c>
      <c r="M701" s="72">
        <v>12.07</v>
      </c>
      <c r="N701" s="77">
        <v>87.9</v>
      </c>
      <c r="O701" s="70">
        <v>4</v>
      </c>
      <c r="P701" s="70" t="s">
        <v>322</v>
      </c>
      <c r="Q701" s="62" t="s">
        <v>258</v>
      </c>
    </row>
    <row r="702" spans="1:19" ht="13.8" customHeight="1" x14ac:dyDescent="0.3">
      <c r="A702" s="73" t="s">
        <v>321</v>
      </c>
      <c r="B702" s="74">
        <f>IFERROR(INDEX('Boulder Sample Log'!A$5:A$204,MATCH(A702,'Boulder Sample Log'!E$5:E$204,0)),"")</f>
        <v>46128</v>
      </c>
      <c r="C702" s="73">
        <v>830</v>
      </c>
      <c r="D702" s="73" t="s">
        <v>256</v>
      </c>
      <c r="E702" s="73">
        <v>2</v>
      </c>
      <c r="F702" s="75">
        <v>2.41</v>
      </c>
      <c r="G702" s="75">
        <v>8.74</v>
      </c>
      <c r="H702" s="75">
        <v>5.57</v>
      </c>
      <c r="I702" s="75">
        <v>30762.94</v>
      </c>
      <c r="J702" s="75">
        <v>309.66000000000003</v>
      </c>
      <c r="K702" s="75">
        <v>4839.6099999999997</v>
      </c>
      <c r="L702" s="75">
        <v>80.08</v>
      </c>
      <c r="M702" s="75">
        <v>8.44</v>
      </c>
      <c r="N702" s="76">
        <v>120.3</v>
      </c>
      <c r="O702" s="73">
        <v>4</v>
      </c>
      <c r="P702" s="73"/>
      <c r="Q702" s="66" t="s">
        <v>258</v>
      </c>
    </row>
    <row r="703" spans="1:19" ht="13.8" customHeight="1" x14ac:dyDescent="0.3">
      <c r="A703" s="70" t="s">
        <v>321</v>
      </c>
      <c r="B703" s="71">
        <f>IFERROR(INDEX('Boulder Sample Log'!A$5:A$204,MATCH(A703,'Boulder Sample Log'!E$5:E$204,0)),"")</f>
        <v>46128</v>
      </c>
      <c r="C703" s="70">
        <v>831</v>
      </c>
      <c r="D703" s="70" t="s">
        <v>256</v>
      </c>
      <c r="E703" s="70">
        <v>3</v>
      </c>
      <c r="F703" s="70" t="s">
        <v>257</v>
      </c>
      <c r="G703" s="72">
        <v>10.58</v>
      </c>
      <c r="H703" s="72">
        <v>6.84</v>
      </c>
      <c r="I703" s="72">
        <v>30807.83</v>
      </c>
      <c r="J703" s="72">
        <v>314.79000000000002</v>
      </c>
      <c r="K703" s="72">
        <v>4017.27</v>
      </c>
      <c r="L703" s="72">
        <v>119.83</v>
      </c>
      <c r="M703" s="72">
        <v>16.989999999999998</v>
      </c>
      <c r="N703" s="77">
        <v>123.2</v>
      </c>
      <c r="O703" s="70">
        <v>4</v>
      </c>
      <c r="P703" s="70"/>
      <c r="Q703" s="62" t="s">
        <v>258</v>
      </c>
    </row>
    <row r="704" spans="1:19" ht="13.8" customHeight="1" x14ac:dyDescent="0.3">
      <c r="A704" s="73" t="s">
        <v>321</v>
      </c>
      <c r="B704" s="74">
        <f>IFERROR(INDEX('Boulder Sample Log'!A$5:A$204,MATCH(A704,'Boulder Sample Log'!E$5:E$204,0)),"")</f>
        <v>46128</v>
      </c>
      <c r="C704" s="73">
        <v>832</v>
      </c>
      <c r="D704" s="73" t="s">
        <v>256</v>
      </c>
      <c r="E704" s="73">
        <v>3</v>
      </c>
      <c r="F704" s="73" t="s">
        <v>257</v>
      </c>
      <c r="G704" s="75">
        <v>2.83</v>
      </c>
      <c r="H704" s="75">
        <v>7.24</v>
      </c>
      <c r="I704" s="75">
        <v>29905.02</v>
      </c>
      <c r="J704" s="75">
        <v>348.91</v>
      </c>
      <c r="K704" s="75">
        <v>2388.23</v>
      </c>
      <c r="L704" s="75">
        <v>93.98</v>
      </c>
      <c r="M704" s="75">
        <v>8.93</v>
      </c>
      <c r="N704" s="76">
        <v>120.4</v>
      </c>
      <c r="O704" s="73">
        <v>4</v>
      </c>
      <c r="P704" s="73"/>
      <c r="Q704" s="66" t="s">
        <v>258</v>
      </c>
    </row>
    <row r="705" spans="1:17" ht="13.8" customHeight="1" x14ac:dyDescent="0.3">
      <c r="A705" s="70" t="s">
        <v>321</v>
      </c>
      <c r="B705" s="71">
        <f>IFERROR(INDEX('Boulder Sample Log'!A$5:A$204,MATCH(A705,'Boulder Sample Log'!E$5:E$204,0)),"")</f>
        <v>46128</v>
      </c>
      <c r="C705" s="70">
        <v>833</v>
      </c>
      <c r="D705" s="70" t="s">
        <v>256</v>
      </c>
      <c r="E705" s="70">
        <v>4</v>
      </c>
      <c r="F705" s="72">
        <v>4.8600000000000003</v>
      </c>
      <c r="G705" s="72">
        <v>25.34</v>
      </c>
      <c r="H705" s="72">
        <v>7.92</v>
      </c>
      <c r="I705" s="72">
        <v>41866.51</v>
      </c>
      <c r="J705" s="72">
        <v>428.04</v>
      </c>
      <c r="K705" s="72">
        <v>11790.7</v>
      </c>
      <c r="L705" s="72">
        <v>96.45</v>
      </c>
      <c r="M705" s="72">
        <v>26.41</v>
      </c>
      <c r="N705" s="77">
        <v>123.1</v>
      </c>
      <c r="O705" s="70">
        <v>4</v>
      </c>
      <c r="P705" s="70"/>
      <c r="Q705" s="62" t="s">
        <v>258</v>
      </c>
    </row>
    <row r="706" spans="1:17" ht="13.8" customHeight="1" x14ac:dyDescent="0.3">
      <c r="A706" s="73" t="s">
        <v>321</v>
      </c>
      <c r="B706" s="74">
        <f>IFERROR(INDEX('Boulder Sample Log'!A$5:A$204,MATCH(A706,'Boulder Sample Log'!E$5:E$204,0)),"")</f>
        <v>46128</v>
      </c>
      <c r="C706" s="73">
        <v>835</v>
      </c>
      <c r="D706" s="73" t="s">
        <v>256</v>
      </c>
      <c r="E706" s="73">
        <v>4</v>
      </c>
      <c r="F706" s="75">
        <v>33.39</v>
      </c>
      <c r="G706" s="75">
        <v>5.42</v>
      </c>
      <c r="H706" s="75">
        <v>8.15</v>
      </c>
      <c r="I706" s="75">
        <v>43642.51</v>
      </c>
      <c r="J706" s="75">
        <v>685.04</v>
      </c>
      <c r="K706" s="75">
        <v>2075.27</v>
      </c>
      <c r="L706" s="75">
        <v>95.93</v>
      </c>
      <c r="M706" s="75">
        <v>11.07</v>
      </c>
      <c r="N706" s="76">
        <v>122.8</v>
      </c>
      <c r="O706" s="73">
        <v>4</v>
      </c>
      <c r="P706" s="73"/>
      <c r="Q706" s="66" t="s">
        <v>258</v>
      </c>
    </row>
    <row r="707" spans="1:17" ht="13.8" customHeight="1" x14ac:dyDescent="0.3">
      <c r="A707" s="70" t="s">
        <v>321</v>
      </c>
      <c r="B707" s="71">
        <f>IFERROR(INDEX('Boulder Sample Log'!A$5:A$204,MATCH(A707,'Boulder Sample Log'!E$5:E$204,0)),"")</f>
        <v>46128</v>
      </c>
      <c r="C707" s="70">
        <v>836</v>
      </c>
      <c r="D707" s="70" t="s">
        <v>256</v>
      </c>
      <c r="E707" s="70">
        <v>4</v>
      </c>
      <c r="F707" s="72">
        <v>25.84</v>
      </c>
      <c r="G707" s="72">
        <v>5.27</v>
      </c>
      <c r="H707" s="72">
        <v>7.85</v>
      </c>
      <c r="I707" s="72">
        <v>49656.84</v>
      </c>
      <c r="J707" s="72">
        <v>803.53</v>
      </c>
      <c r="K707" s="72">
        <v>3973.97</v>
      </c>
      <c r="L707" s="72">
        <v>95.57</v>
      </c>
      <c r="M707" s="72">
        <v>9.1300000000000008</v>
      </c>
      <c r="N707" s="77">
        <v>120.5</v>
      </c>
      <c r="O707" s="70">
        <v>4</v>
      </c>
      <c r="P707" s="70"/>
      <c r="Q707" s="62" t="s">
        <v>258</v>
      </c>
    </row>
    <row r="708" spans="1:17" ht="13.8" customHeight="1" x14ac:dyDescent="0.3">
      <c r="A708" s="73" t="s">
        <v>321</v>
      </c>
      <c r="B708" s="74">
        <f>IFERROR(INDEX('Boulder Sample Log'!A$5:A$204,MATCH(A708,'Boulder Sample Log'!E$5:E$204,0)),"")</f>
        <v>46128</v>
      </c>
      <c r="C708" s="73">
        <v>837</v>
      </c>
      <c r="D708" s="73" t="s">
        <v>256</v>
      </c>
      <c r="E708" s="73">
        <v>5</v>
      </c>
      <c r="F708" s="73" t="s">
        <v>257</v>
      </c>
      <c r="G708" s="73" t="s">
        <v>257</v>
      </c>
      <c r="H708" s="75">
        <v>7.82</v>
      </c>
      <c r="I708" s="75">
        <v>39884.79</v>
      </c>
      <c r="J708" s="75">
        <v>399.6</v>
      </c>
      <c r="K708" s="75">
        <v>5675.67</v>
      </c>
      <c r="L708" s="75">
        <v>142.77000000000001</v>
      </c>
      <c r="M708" s="75">
        <v>31.41</v>
      </c>
      <c r="N708" s="76">
        <v>123.4</v>
      </c>
      <c r="O708" s="73">
        <v>4</v>
      </c>
      <c r="P708" s="73"/>
      <c r="Q708" s="66" t="s">
        <v>258</v>
      </c>
    </row>
    <row r="709" spans="1:17" ht="13.8" customHeight="1" x14ac:dyDescent="0.3">
      <c r="A709" s="70" t="s">
        <v>321</v>
      </c>
      <c r="B709" s="71">
        <f>IFERROR(INDEX('Boulder Sample Log'!A$5:A$204,MATCH(A709,'Boulder Sample Log'!E$5:E$204,0)),"")</f>
        <v>46128</v>
      </c>
      <c r="C709" s="70">
        <v>838</v>
      </c>
      <c r="D709" s="70" t="s">
        <v>256</v>
      </c>
      <c r="E709" s="70">
        <v>5</v>
      </c>
      <c r="F709" s="70" t="s">
        <v>257</v>
      </c>
      <c r="G709" s="70" t="s">
        <v>257</v>
      </c>
      <c r="H709" s="72">
        <v>6.37</v>
      </c>
      <c r="I709" s="72">
        <v>39231.43</v>
      </c>
      <c r="J709" s="72">
        <v>431.7</v>
      </c>
      <c r="K709" s="72">
        <v>5570.06</v>
      </c>
      <c r="L709" s="72">
        <v>139.53</v>
      </c>
      <c r="M709" s="72">
        <v>29.54</v>
      </c>
      <c r="N709" s="77">
        <v>120.8</v>
      </c>
      <c r="O709" s="70">
        <v>4</v>
      </c>
      <c r="P709" s="70"/>
      <c r="Q709" s="62" t="s">
        <v>258</v>
      </c>
    </row>
    <row r="710" spans="1:17" ht="13.8" customHeight="1" x14ac:dyDescent="0.3">
      <c r="A710" s="73" t="s">
        <v>323</v>
      </c>
      <c r="B710" s="74">
        <f>IFERROR(INDEX('Boulder Sample Log'!A$5:A$204,MATCH(A710,'Boulder Sample Log'!E$5:E$204,0)),"")</f>
        <v>46128</v>
      </c>
      <c r="C710" s="73">
        <v>839</v>
      </c>
      <c r="D710" s="73" t="s">
        <v>256</v>
      </c>
      <c r="E710" s="73">
        <v>1</v>
      </c>
      <c r="F710" s="75">
        <v>18.13</v>
      </c>
      <c r="G710" s="73" t="s">
        <v>257</v>
      </c>
      <c r="H710" s="75">
        <v>7.8</v>
      </c>
      <c r="I710" s="75">
        <v>43731.91</v>
      </c>
      <c r="J710" s="75">
        <v>5179.6899999999996</v>
      </c>
      <c r="K710" s="75">
        <v>1591.97</v>
      </c>
      <c r="L710" s="75">
        <v>171.01</v>
      </c>
      <c r="M710" s="75">
        <v>35.840000000000003</v>
      </c>
      <c r="N710" s="76">
        <v>120.2</v>
      </c>
      <c r="O710" s="73">
        <v>4</v>
      </c>
      <c r="P710" s="73"/>
      <c r="Q710" s="66" t="s">
        <v>258</v>
      </c>
    </row>
    <row r="711" spans="1:17" ht="13.8" customHeight="1" x14ac:dyDescent="0.3">
      <c r="A711" s="70" t="s">
        <v>323</v>
      </c>
      <c r="B711" s="71">
        <f>IFERROR(INDEX('Boulder Sample Log'!A$5:A$204,MATCH(A711,'Boulder Sample Log'!E$5:E$204,0)),"")</f>
        <v>46128</v>
      </c>
      <c r="C711" s="70">
        <v>840</v>
      </c>
      <c r="D711" s="70" t="s">
        <v>256</v>
      </c>
      <c r="E711" s="70">
        <v>1</v>
      </c>
      <c r="F711" s="72">
        <v>109.67</v>
      </c>
      <c r="G711" s="70" t="s">
        <v>257</v>
      </c>
      <c r="H711" s="72">
        <v>10.59</v>
      </c>
      <c r="I711" s="72">
        <v>60138.62</v>
      </c>
      <c r="J711" s="72">
        <v>970.19</v>
      </c>
      <c r="K711" s="70" t="s">
        <v>257</v>
      </c>
      <c r="L711" s="72">
        <v>117.29</v>
      </c>
      <c r="M711" s="72">
        <v>8.1199999999999992</v>
      </c>
      <c r="N711" s="77">
        <v>80.8</v>
      </c>
      <c r="O711" s="70">
        <v>4</v>
      </c>
      <c r="P711" s="70" t="s">
        <v>324</v>
      </c>
      <c r="Q711" s="62" t="s">
        <v>258</v>
      </c>
    </row>
    <row r="712" spans="1:17" ht="13.8" customHeight="1" x14ac:dyDescent="0.3">
      <c r="A712" s="73" t="s">
        <v>323</v>
      </c>
      <c r="B712" s="74">
        <f>IFERROR(INDEX('Boulder Sample Log'!A$5:A$204,MATCH(A712,'Boulder Sample Log'!E$5:E$204,0)),"")</f>
        <v>46128</v>
      </c>
      <c r="C712" s="73">
        <v>841</v>
      </c>
      <c r="D712" s="73" t="s">
        <v>256</v>
      </c>
      <c r="E712" s="73">
        <v>1</v>
      </c>
      <c r="F712" s="75">
        <v>84.59</v>
      </c>
      <c r="G712" s="73" t="s">
        <v>257</v>
      </c>
      <c r="H712" s="75">
        <v>8.07</v>
      </c>
      <c r="I712" s="75">
        <v>47595.38</v>
      </c>
      <c r="J712" s="75">
        <v>746.24</v>
      </c>
      <c r="K712" s="75">
        <v>1036.97</v>
      </c>
      <c r="L712" s="75">
        <v>91.28</v>
      </c>
      <c r="M712" s="75">
        <v>6.69</v>
      </c>
      <c r="N712" s="76">
        <v>120.5</v>
      </c>
      <c r="O712" s="73">
        <v>4</v>
      </c>
      <c r="P712" s="73"/>
      <c r="Q712" s="66" t="s">
        <v>258</v>
      </c>
    </row>
    <row r="713" spans="1:17" ht="13.8" customHeight="1" x14ac:dyDescent="0.3">
      <c r="A713" s="70" t="s">
        <v>323</v>
      </c>
      <c r="B713" s="71">
        <f>IFERROR(INDEX('Boulder Sample Log'!A$5:A$204,MATCH(A713,'Boulder Sample Log'!E$5:E$204,0)),"")</f>
        <v>46128</v>
      </c>
      <c r="C713" s="70">
        <v>842</v>
      </c>
      <c r="D713" s="70" t="s">
        <v>256</v>
      </c>
      <c r="E713" s="70">
        <v>1</v>
      </c>
      <c r="F713" s="72">
        <v>32.04</v>
      </c>
      <c r="G713" s="70" t="s">
        <v>257</v>
      </c>
      <c r="H713" s="72">
        <v>9.5399999999999991</v>
      </c>
      <c r="I713" s="72">
        <v>39880.11</v>
      </c>
      <c r="J713" s="72">
        <v>614.09</v>
      </c>
      <c r="K713" s="72">
        <v>1293.46</v>
      </c>
      <c r="L713" s="72">
        <v>122.89</v>
      </c>
      <c r="M713" s="72">
        <v>23.72</v>
      </c>
      <c r="N713" s="77">
        <v>120.6</v>
      </c>
      <c r="O713" s="70">
        <v>4</v>
      </c>
      <c r="P713" s="70"/>
      <c r="Q713" s="62" t="s">
        <v>258</v>
      </c>
    </row>
    <row r="714" spans="1:17" ht="13.8" customHeight="1" x14ac:dyDescent="0.3">
      <c r="A714" s="73" t="s">
        <v>323</v>
      </c>
      <c r="B714" s="74">
        <f>IFERROR(INDEX('Boulder Sample Log'!A$5:A$204,MATCH(A714,'Boulder Sample Log'!E$5:E$204,0)),"")</f>
        <v>46128</v>
      </c>
      <c r="C714" s="73">
        <v>843</v>
      </c>
      <c r="D714" s="73" t="s">
        <v>256</v>
      </c>
      <c r="E714" s="73">
        <v>2</v>
      </c>
      <c r="F714" s="75">
        <v>4.07</v>
      </c>
      <c r="G714" s="73" t="s">
        <v>257</v>
      </c>
      <c r="H714" s="75">
        <v>7.53</v>
      </c>
      <c r="I714" s="75">
        <v>37127.230000000003</v>
      </c>
      <c r="J714" s="75">
        <v>474.3</v>
      </c>
      <c r="K714" s="75">
        <v>739.89</v>
      </c>
      <c r="L714" s="75">
        <v>81.58</v>
      </c>
      <c r="M714" s="75">
        <v>9.0299999999999994</v>
      </c>
      <c r="N714" s="76">
        <v>120.5</v>
      </c>
      <c r="O714" s="73">
        <v>4</v>
      </c>
      <c r="P714" s="73"/>
      <c r="Q714" s="66" t="s">
        <v>258</v>
      </c>
    </row>
    <row r="715" spans="1:17" ht="13.8" customHeight="1" x14ac:dyDescent="0.3">
      <c r="A715" s="70" t="s">
        <v>323</v>
      </c>
      <c r="B715" s="71">
        <f>IFERROR(INDEX('Boulder Sample Log'!A$5:A$204,MATCH(A715,'Boulder Sample Log'!E$5:E$204,0)),"")</f>
        <v>46128</v>
      </c>
      <c r="C715" s="70">
        <v>844</v>
      </c>
      <c r="D715" s="70" t="s">
        <v>256</v>
      </c>
      <c r="E715" s="70">
        <v>2</v>
      </c>
      <c r="F715" s="72">
        <v>3.49</v>
      </c>
      <c r="G715" s="70" t="s">
        <v>257</v>
      </c>
      <c r="H715" s="72">
        <v>8.8000000000000007</v>
      </c>
      <c r="I715" s="72">
        <v>35211.980000000003</v>
      </c>
      <c r="J715" s="72">
        <v>489.9</v>
      </c>
      <c r="K715" s="72">
        <v>613.25</v>
      </c>
      <c r="L715" s="72">
        <v>84.25</v>
      </c>
      <c r="M715" s="72">
        <v>7.54</v>
      </c>
      <c r="N715" s="77">
        <v>120.6</v>
      </c>
      <c r="O715" s="70">
        <v>4</v>
      </c>
      <c r="P715" s="70"/>
      <c r="Q715" s="62" t="s">
        <v>258</v>
      </c>
    </row>
    <row r="716" spans="1:17" ht="13.8" customHeight="1" x14ac:dyDescent="0.3">
      <c r="A716" s="73" t="s">
        <v>323</v>
      </c>
      <c r="B716" s="74">
        <f>IFERROR(INDEX('Boulder Sample Log'!A$5:A$204,MATCH(A716,'Boulder Sample Log'!E$5:E$204,0)),"")</f>
        <v>46128</v>
      </c>
      <c r="C716" s="73">
        <v>845</v>
      </c>
      <c r="D716" s="73" t="s">
        <v>256</v>
      </c>
      <c r="E716" s="73">
        <v>3</v>
      </c>
      <c r="F716" s="75">
        <v>11.71</v>
      </c>
      <c r="G716" s="75">
        <v>2.91</v>
      </c>
      <c r="H716" s="75">
        <v>7.72</v>
      </c>
      <c r="I716" s="75">
        <v>38056.480000000003</v>
      </c>
      <c r="J716" s="75">
        <v>456.04</v>
      </c>
      <c r="K716" s="75">
        <v>1409.63</v>
      </c>
      <c r="L716" s="75">
        <v>103.73</v>
      </c>
      <c r="M716" s="75">
        <v>7.68</v>
      </c>
      <c r="N716" s="76">
        <v>120.3</v>
      </c>
      <c r="O716" s="73">
        <v>4</v>
      </c>
      <c r="P716" s="73"/>
      <c r="Q716" s="66" t="s">
        <v>258</v>
      </c>
    </row>
    <row r="717" spans="1:17" ht="13.8" customHeight="1" x14ac:dyDescent="0.3">
      <c r="A717" s="70" t="s">
        <v>323</v>
      </c>
      <c r="B717" s="71">
        <f>IFERROR(INDEX('Boulder Sample Log'!A$5:A$204,MATCH(A717,'Boulder Sample Log'!E$5:E$204,0)),"")</f>
        <v>46128</v>
      </c>
      <c r="C717" s="70">
        <v>846</v>
      </c>
      <c r="D717" s="70" t="s">
        <v>256</v>
      </c>
      <c r="E717" s="70">
        <v>3</v>
      </c>
      <c r="F717" s="72">
        <v>24.59</v>
      </c>
      <c r="G717" s="72">
        <v>17.989999999999998</v>
      </c>
      <c r="H717" s="72">
        <v>6.64</v>
      </c>
      <c r="I717" s="72">
        <v>40883.160000000003</v>
      </c>
      <c r="J717" s="72">
        <v>447.73</v>
      </c>
      <c r="K717" s="72">
        <v>1159.45</v>
      </c>
      <c r="L717" s="72">
        <v>119.15</v>
      </c>
      <c r="M717" s="72">
        <v>10.62</v>
      </c>
      <c r="N717" s="77">
        <v>123.3</v>
      </c>
      <c r="O717" s="70">
        <v>4</v>
      </c>
      <c r="P717" s="70"/>
      <c r="Q717" s="62" t="s">
        <v>258</v>
      </c>
    </row>
    <row r="718" spans="1:17" ht="13.8" customHeight="1" x14ac:dyDescent="0.3">
      <c r="A718" s="73" t="s">
        <v>323</v>
      </c>
      <c r="B718" s="74">
        <f>IFERROR(INDEX('Boulder Sample Log'!A$5:A$204,MATCH(A718,'Boulder Sample Log'!E$5:E$204,0)),"")</f>
        <v>46128</v>
      </c>
      <c r="C718" s="73">
        <v>847</v>
      </c>
      <c r="D718" s="73" t="s">
        <v>256</v>
      </c>
      <c r="E718" s="73">
        <v>4</v>
      </c>
      <c r="F718" s="75">
        <v>239.09</v>
      </c>
      <c r="G718" s="75">
        <v>38.68</v>
      </c>
      <c r="H718" s="73" t="s">
        <v>257</v>
      </c>
      <c r="I718" s="75">
        <v>12634.18</v>
      </c>
      <c r="J718" s="73" t="s">
        <v>257</v>
      </c>
      <c r="K718" s="75">
        <v>8680.58</v>
      </c>
      <c r="L718" s="73" t="s">
        <v>257</v>
      </c>
      <c r="M718" s="73" t="s">
        <v>257</v>
      </c>
      <c r="N718" s="76">
        <v>123</v>
      </c>
      <c r="O718" s="73">
        <v>4</v>
      </c>
      <c r="P718" s="73"/>
      <c r="Q718" s="66" t="s">
        <v>258</v>
      </c>
    </row>
    <row r="719" spans="1:17" ht="13.8" customHeight="1" x14ac:dyDescent="0.3">
      <c r="A719" s="70" t="s">
        <v>323</v>
      </c>
      <c r="B719" s="71">
        <f>IFERROR(INDEX('Boulder Sample Log'!A$5:A$204,MATCH(A719,'Boulder Sample Log'!E$5:E$204,0)),"")</f>
        <v>46128</v>
      </c>
      <c r="C719" s="70">
        <v>848</v>
      </c>
      <c r="D719" s="70" t="s">
        <v>256</v>
      </c>
      <c r="E719" s="70">
        <v>4</v>
      </c>
      <c r="F719" s="72">
        <v>212.04</v>
      </c>
      <c r="G719" s="72">
        <v>41.82</v>
      </c>
      <c r="H719" s="70" t="s">
        <v>257</v>
      </c>
      <c r="I719" s="72">
        <v>13221.66</v>
      </c>
      <c r="J719" s="70" t="s">
        <v>257</v>
      </c>
      <c r="K719" s="72">
        <v>9720.85</v>
      </c>
      <c r="L719" s="70" t="s">
        <v>257</v>
      </c>
      <c r="M719" s="70" t="s">
        <v>257</v>
      </c>
      <c r="N719" s="77">
        <v>122.8</v>
      </c>
      <c r="O719" s="70">
        <v>4</v>
      </c>
      <c r="P719" s="70"/>
      <c r="Q719" s="62" t="s">
        <v>258</v>
      </c>
    </row>
    <row r="720" spans="1:17" ht="13.8" customHeight="1" x14ac:dyDescent="0.3">
      <c r="A720" s="73" t="s">
        <v>323</v>
      </c>
      <c r="B720" s="74">
        <f>IFERROR(INDEX('Boulder Sample Log'!A$5:A$204,MATCH(A720,'Boulder Sample Log'!E$5:E$204,0)),"")</f>
        <v>46128</v>
      </c>
      <c r="C720" s="73">
        <v>849</v>
      </c>
      <c r="D720" s="73" t="s">
        <v>256</v>
      </c>
      <c r="E720" s="73">
        <v>5</v>
      </c>
      <c r="F720" s="75">
        <v>181.73</v>
      </c>
      <c r="G720" s="75">
        <v>45.18</v>
      </c>
      <c r="H720" s="75">
        <v>9.3699999999999992</v>
      </c>
      <c r="I720" s="75">
        <v>18054.3</v>
      </c>
      <c r="J720" s="73" t="s">
        <v>257</v>
      </c>
      <c r="K720" s="75">
        <v>11382.78</v>
      </c>
      <c r="L720" s="75">
        <v>34.1</v>
      </c>
      <c r="M720" s="73" t="s">
        <v>257</v>
      </c>
      <c r="N720" s="76">
        <v>120.6</v>
      </c>
      <c r="O720" s="73">
        <v>4</v>
      </c>
      <c r="P720" s="73"/>
      <c r="Q720" s="66" t="s">
        <v>258</v>
      </c>
    </row>
    <row r="721" spans="1:17" ht="13.8" customHeight="1" x14ac:dyDescent="0.3">
      <c r="A721" s="70" t="s">
        <v>323</v>
      </c>
      <c r="B721" s="71">
        <f>IFERROR(INDEX('Boulder Sample Log'!A$5:A$204,MATCH(A721,'Boulder Sample Log'!E$5:E$204,0)),"")</f>
        <v>46128</v>
      </c>
      <c r="C721" s="70">
        <v>850</v>
      </c>
      <c r="D721" s="70" t="s">
        <v>256</v>
      </c>
      <c r="E721" s="70">
        <v>5</v>
      </c>
      <c r="F721" s="72">
        <v>162.56</v>
      </c>
      <c r="G721" s="72">
        <v>39.31</v>
      </c>
      <c r="H721" s="72">
        <v>7.89</v>
      </c>
      <c r="I721" s="72">
        <v>17571.34</v>
      </c>
      <c r="J721" s="70" t="s">
        <v>257</v>
      </c>
      <c r="K721" s="72">
        <v>13175.78</v>
      </c>
      <c r="L721" s="72">
        <v>32.21</v>
      </c>
      <c r="M721" s="70" t="s">
        <v>257</v>
      </c>
      <c r="N721" s="77">
        <v>120.5</v>
      </c>
      <c r="O721" s="70">
        <v>4</v>
      </c>
      <c r="P721" s="70"/>
      <c r="Q721" s="62" t="s">
        <v>258</v>
      </c>
    </row>
    <row r="722" spans="1:17" ht="13.8" customHeight="1" x14ac:dyDescent="0.3">
      <c r="A722" s="73" t="s">
        <v>325</v>
      </c>
      <c r="B722" s="74">
        <f>IFERROR(INDEX('Boulder Sample Log'!A$5:A$204,MATCH(A722,'Boulder Sample Log'!E$5:E$204,0)),"")</f>
        <v>46129</v>
      </c>
      <c r="C722" s="73">
        <v>857</v>
      </c>
      <c r="D722" s="73" t="s">
        <v>256</v>
      </c>
      <c r="E722" s="73">
        <v>1</v>
      </c>
      <c r="F722" s="75" t="s">
        <v>257</v>
      </c>
      <c r="G722" s="75">
        <v>2.6778</v>
      </c>
      <c r="H722" s="75">
        <v>6.0983999999999998</v>
      </c>
      <c r="I722" s="75">
        <v>32018.5762</v>
      </c>
      <c r="J722" s="73">
        <v>386.59089999999998</v>
      </c>
      <c r="K722" s="75">
        <v>3411.5632000000001</v>
      </c>
      <c r="L722" s="75">
        <v>74.352999999999994</v>
      </c>
      <c r="M722" s="73">
        <v>13.640700000000001</v>
      </c>
      <c r="N722" s="76">
        <v>120.45</v>
      </c>
      <c r="O722" s="73">
        <v>4</v>
      </c>
      <c r="P722" s="73"/>
      <c r="Q722" s="66" t="s">
        <v>258</v>
      </c>
    </row>
    <row r="723" spans="1:17" ht="13.8" customHeight="1" x14ac:dyDescent="0.3">
      <c r="A723" s="70" t="s">
        <v>325</v>
      </c>
      <c r="B723" s="71">
        <f>IFERROR(INDEX('Boulder Sample Log'!A$5:A$204,MATCH(A723,'Boulder Sample Log'!E$5:E$204,0)),"")</f>
        <v>46129</v>
      </c>
      <c r="C723" s="70">
        <v>858</v>
      </c>
      <c r="D723" s="70" t="s">
        <v>256</v>
      </c>
      <c r="E723" s="70">
        <v>1</v>
      </c>
      <c r="F723" s="72" t="s">
        <v>257</v>
      </c>
      <c r="G723" s="72" t="s">
        <v>257</v>
      </c>
      <c r="H723" s="72">
        <v>6.9743000000000004</v>
      </c>
      <c r="I723" s="72">
        <v>31250.0527</v>
      </c>
      <c r="J723" s="70">
        <v>380.23039999999997</v>
      </c>
      <c r="K723" s="72">
        <v>2530.0324999999998</v>
      </c>
      <c r="L723" s="72">
        <v>72.176699999999997</v>
      </c>
      <c r="M723" s="70">
        <v>13.1182</v>
      </c>
      <c r="N723" s="77">
        <v>123.04</v>
      </c>
      <c r="O723" s="70">
        <v>4</v>
      </c>
      <c r="P723" s="70"/>
      <c r="Q723" s="62" t="s">
        <v>258</v>
      </c>
    </row>
    <row r="724" spans="1:17" ht="13.8" customHeight="1" x14ac:dyDescent="0.3">
      <c r="A724" s="73" t="s">
        <v>325</v>
      </c>
      <c r="B724" s="74">
        <f>IFERROR(INDEX('Boulder Sample Log'!A$5:A$204,MATCH(A724,'Boulder Sample Log'!E$5:E$204,0)),"")</f>
        <v>46129</v>
      </c>
      <c r="C724" s="73">
        <v>859</v>
      </c>
      <c r="D724" s="73" t="s">
        <v>256</v>
      </c>
      <c r="E724" s="73">
        <v>2</v>
      </c>
      <c r="F724" s="75" t="s">
        <v>257</v>
      </c>
      <c r="G724" s="75">
        <v>2.4178000000000002</v>
      </c>
      <c r="H724" s="75">
        <v>8.5165000000000006</v>
      </c>
      <c r="I724" s="75">
        <v>27619.765599999999</v>
      </c>
      <c r="J724" s="73">
        <v>388.79309999999998</v>
      </c>
      <c r="K724" s="75">
        <v>1820.2755</v>
      </c>
      <c r="L724" s="75">
        <v>56.229599999999998</v>
      </c>
      <c r="M724" s="73">
        <v>14.4329</v>
      </c>
      <c r="N724" s="76">
        <v>120.22</v>
      </c>
      <c r="O724" s="73">
        <v>4</v>
      </c>
      <c r="P724" s="73"/>
      <c r="Q724" s="66" t="s">
        <v>258</v>
      </c>
    </row>
    <row r="725" spans="1:17" ht="13.8" customHeight="1" x14ac:dyDescent="0.3">
      <c r="A725" s="70" t="s">
        <v>325</v>
      </c>
      <c r="B725" s="71">
        <f>IFERROR(INDEX('Boulder Sample Log'!A$5:A$204,MATCH(A725,'Boulder Sample Log'!E$5:E$204,0)),"")</f>
        <v>46129</v>
      </c>
      <c r="C725" s="70">
        <v>860</v>
      </c>
      <c r="D725" s="70" t="s">
        <v>256</v>
      </c>
      <c r="E725" s="70">
        <v>2</v>
      </c>
      <c r="F725" s="72" t="s">
        <v>257</v>
      </c>
      <c r="G725" s="72">
        <v>3.7833999999999999</v>
      </c>
      <c r="H725" s="72">
        <v>7.4210000000000003</v>
      </c>
      <c r="I725" s="72">
        <v>27440.043000000001</v>
      </c>
      <c r="J725" s="70">
        <v>390.43650000000002</v>
      </c>
      <c r="K725" s="72">
        <v>1976.2899</v>
      </c>
      <c r="L725" s="72">
        <v>52.566400000000002</v>
      </c>
      <c r="M725" s="70">
        <v>16.603999999999999</v>
      </c>
      <c r="N725" s="77">
        <v>122.7</v>
      </c>
      <c r="O725" s="70">
        <v>4</v>
      </c>
      <c r="P725" s="70"/>
      <c r="Q725" s="62" t="s">
        <v>258</v>
      </c>
    </row>
    <row r="726" spans="1:17" ht="13.8" customHeight="1" x14ac:dyDescent="0.3">
      <c r="A726" s="73" t="s">
        <v>325</v>
      </c>
      <c r="B726" s="74">
        <f>IFERROR(INDEX('Boulder Sample Log'!A$5:A$204,MATCH(A726,'Boulder Sample Log'!E$5:E$204,0)),"")</f>
        <v>46129</v>
      </c>
      <c r="C726" s="73">
        <v>861</v>
      </c>
      <c r="D726" s="73" t="s">
        <v>256</v>
      </c>
      <c r="E726" s="73">
        <v>3</v>
      </c>
      <c r="F726" s="75" t="s">
        <v>257</v>
      </c>
      <c r="G726" s="75" t="s">
        <v>257</v>
      </c>
      <c r="H726" s="75">
        <v>5.5838999999999999</v>
      </c>
      <c r="I726" s="75">
        <v>29070.831999999999</v>
      </c>
      <c r="J726" s="73">
        <v>490.48410000000001</v>
      </c>
      <c r="K726" s="75">
        <v>1926.0590999999999</v>
      </c>
      <c r="L726" s="75">
        <v>54.771900000000002</v>
      </c>
      <c r="M726" s="73">
        <v>5.2545000000000002</v>
      </c>
      <c r="N726" s="76">
        <v>122.92</v>
      </c>
      <c r="O726" s="73">
        <v>4</v>
      </c>
      <c r="P726" s="73"/>
      <c r="Q726" s="66" t="s">
        <v>258</v>
      </c>
    </row>
    <row r="727" spans="1:17" ht="13.8" customHeight="1" x14ac:dyDescent="0.3">
      <c r="A727" s="70" t="s">
        <v>325</v>
      </c>
      <c r="B727" s="71">
        <f>IFERROR(INDEX('Boulder Sample Log'!A$5:A$204,MATCH(A727,'Boulder Sample Log'!E$5:E$204,0)),"")</f>
        <v>46129</v>
      </c>
      <c r="C727" s="70">
        <v>862</v>
      </c>
      <c r="D727" s="70" t="s">
        <v>256</v>
      </c>
      <c r="E727" s="70">
        <v>3</v>
      </c>
      <c r="F727" s="72">
        <v>1.4633</v>
      </c>
      <c r="G727" s="72">
        <v>8.0592000000000006</v>
      </c>
      <c r="H727" s="72">
        <v>5.5186999999999999</v>
      </c>
      <c r="I727" s="72">
        <v>31581.925800000001</v>
      </c>
      <c r="J727" s="70">
        <v>398.86349999999999</v>
      </c>
      <c r="K727" s="72">
        <v>1468.1016</v>
      </c>
      <c r="L727" s="72">
        <v>65.071799999999996</v>
      </c>
      <c r="M727" s="70">
        <v>11.871499999999999</v>
      </c>
      <c r="N727" s="77">
        <v>122.82</v>
      </c>
      <c r="O727" s="70">
        <v>4</v>
      </c>
      <c r="P727" s="70"/>
      <c r="Q727" s="62" t="s">
        <v>258</v>
      </c>
    </row>
    <row r="728" spans="1:17" ht="13.8" customHeight="1" x14ac:dyDescent="0.3">
      <c r="A728" s="73" t="s">
        <v>325</v>
      </c>
      <c r="B728" s="74">
        <f>IFERROR(INDEX('Boulder Sample Log'!A$5:A$204,MATCH(A728,'Boulder Sample Log'!E$5:E$204,0)),"")</f>
        <v>46129</v>
      </c>
      <c r="C728" s="73">
        <v>863</v>
      </c>
      <c r="D728" s="73" t="s">
        <v>256</v>
      </c>
      <c r="E728" s="73">
        <v>4</v>
      </c>
      <c r="F728" s="75" t="s">
        <v>257</v>
      </c>
      <c r="G728" s="75" t="s">
        <v>257</v>
      </c>
      <c r="H728" s="75">
        <v>6.8768000000000002</v>
      </c>
      <c r="I728" s="75">
        <v>35025.574200000003</v>
      </c>
      <c r="J728" s="73">
        <v>322.95699999999999</v>
      </c>
      <c r="K728" s="75">
        <v>1952.4999</v>
      </c>
      <c r="L728" s="75">
        <v>73.216499999999996</v>
      </c>
      <c r="M728" s="73">
        <v>10.5014</v>
      </c>
      <c r="N728" s="76">
        <v>120.08</v>
      </c>
      <c r="O728" s="73">
        <v>4</v>
      </c>
      <c r="P728" s="73"/>
      <c r="Q728" s="66" t="s">
        <v>258</v>
      </c>
    </row>
    <row r="729" spans="1:17" ht="13.8" customHeight="1" x14ac:dyDescent="0.3">
      <c r="A729" s="70" t="s">
        <v>325</v>
      </c>
      <c r="B729" s="71">
        <f>IFERROR(INDEX('Boulder Sample Log'!A$5:A$204,MATCH(A729,'Boulder Sample Log'!E$5:E$204,0)),"")</f>
        <v>46129</v>
      </c>
      <c r="C729" s="70">
        <v>864</v>
      </c>
      <c r="D729" s="70" t="s">
        <v>256</v>
      </c>
      <c r="E729" s="70">
        <v>4</v>
      </c>
      <c r="F729" s="72" t="s">
        <v>257</v>
      </c>
      <c r="G729" s="72" t="s">
        <v>257</v>
      </c>
      <c r="H729" s="72">
        <v>5.0521000000000003</v>
      </c>
      <c r="I729" s="72">
        <v>34669.363299999997</v>
      </c>
      <c r="J729" s="70">
        <v>286.92270000000002</v>
      </c>
      <c r="K729" s="72">
        <v>1840.2935</v>
      </c>
      <c r="L729" s="72">
        <v>70.992400000000004</v>
      </c>
      <c r="M729" s="70">
        <v>14.1782</v>
      </c>
      <c r="N729" s="77">
        <v>123.24</v>
      </c>
      <c r="O729" s="70">
        <v>4</v>
      </c>
      <c r="P729" s="70"/>
      <c r="Q729" s="62" t="s">
        <v>258</v>
      </c>
    </row>
    <row r="730" spans="1:17" ht="13.8" customHeight="1" x14ac:dyDescent="0.3">
      <c r="A730" s="73" t="s">
        <v>325</v>
      </c>
      <c r="B730" s="74">
        <f>IFERROR(INDEX('Boulder Sample Log'!A$5:A$204,MATCH(A730,'Boulder Sample Log'!E$5:E$204,0)),"")</f>
        <v>46129</v>
      </c>
      <c r="C730" s="73">
        <v>865</v>
      </c>
      <c r="D730" s="73" t="s">
        <v>256</v>
      </c>
      <c r="E730" s="73">
        <v>5</v>
      </c>
      <c r="F730" s="75" t="s">
        <v>257</v>
      </c>
      <c r="G730" s="75" t="s">
        <v>257</v>
      </c>
      <c r="H730" s="75">
        <v>5.5853999999999999</v>
      </c>
      <c r="I730" s="75">
        <v>37818.363299999997</v>
      </c>
      <c r="J730" s="73">
        <v>361.07900000000001</v>
      </c>
      <c r="K730" s="75">
        <v>974.37760000000003</v>
      </c>
      <c r="L730" s="75">
        <v>77.956599999999995</v>
      </c>
      <c r="M730" s="73">
        <v>6.8411</v>
      </c>
      <c r="N730" s="76">
        <v>122.68</v>
      </c>
      <c r="O730" s="73">
        <v>4</v>
      </c>
      <c r="P730" s="73"/>
      <c r="Q730" s="66" t="s">
        <v>258</v>
      </c>
    </row>
    <row r="731" spans="1:17" ht="13.8" customHeight="1" x14ac:dyDescent="0.3">
      <c r="A731" s="70" t="s">
        <v>325</v>
      </c>
      <c r="B731" s="71">
        <f>IFERROR(INDEX('Boulder Sample Log'!A$5:A$204,MATCH(A731,'Boulder Sample Log'!E$5:E$204,0)),"")</f>
        <v>46129</v>
      </c>
      <c r="C731" s="70">
        <v>866</v>
      </c>
      <c r="D731" s="70" t="s">
        <v>256</v>
      </c>
      <c r="E731" s="70">
        <v>5</v>
      </c>
      <c r="F731" s="72" t="s">
        <v>257</v>
      </c>
      <c r="G731" s="72" t="s">
        <v>257</v>
      </c>
      <c r="H731" s="72">
        <v>5.2575000000000003</v>
      </c>
      <c r="I731" s="72">
        <v>37925.261700000003</v>
      </c>
      <c r="J731" s="70">
        <v>360.71390000000002</v>
      </c>
      <c r="K731" s="72">
        <v>905.46879999999999</v>
      </c>
      <c r="L731" s="72">
        <v>82.795599999999993</v>
      </c>
      <c r="M731" s="70">
        <v>11.098100000000001</v>
      </c>
      <c r="N731" s="77">
        <v>123.17</v>
      </c>
      <c r="O731" s="70">
        <v>4</v>
      </c>
      <c r="P731" s="70"/>
      <c r="Q731" s="62" t="s">
        <v>258</v>
      </c>
    </row>
    <row r="732" spans="1:17" ht="13.8" customHeight="1" x14ac:dyDescent="0.3">
      <c r="A732" s="73" t="s">
        <v>326</v>
      </c>
      <c r="B732" s="74">
        <f>IFERROR(INDEX('Boulder Sample Log'!A$5:A$204,MATCH(A732,'Boulder Sample Log'!E$5:E$204,0)),"")</f>
        <v>46129</v>
      </c>
      <c r="C732" s="73">
        <v>867</v>
      </c>
      <c r="D732" s="73" t="s">
        <v>256</v>
      </c>
      <c r="E732" s="73">
        <v>1</v>
      </c>
      <c r="F732" s="75">
        <v>40.615200000000002</v>
      </c>
      <c r="G732" s="75">
        <v>33.826700000000002</v>
      </c>
      <c r="H732" s="75" t="s">
        <v>257</v>
      </c>
      <c r="I732" s="75">
        <v>5008.4521000000004</v>
      </c>
      <c r="J732" s="73" t="s">
        <v>257</v>
      </c>
      <c r="K732" s="75">
        <v>1329.1497999999999</v>
      </c>
      <c r="L732" s="75" t="s">
        <v>257</v>
      </c>
      <c r="M732" s="73" t="s">
        <v>257</v>
      </c>
      <c r="N732" s="76">
        <v>120.31</v>
      </c>
      <c r="O732" s="73">
        <v>4</v>
      </c>
      <c r="P732" s="73"/>
      <c r="Q732" s="66" t="s">
        <v>258</v>
      </c>
    </row>
    <row r="733" spans="1:17" ht="13.8" customHeight="1" x14ac:dyDescent="0.3">
      <c r="A733" s="70" t="s">
        <v>326</v>
      </c>
      <c r="B733" s="71">
        <f>IFERROR(INDEX('Boulder Sample Log'!A$5:A$204,MATCH(A733,'Boulder Sample Log'!E$5:E$204,0)),"")</f>
        <v>46129</v>
      </c>
      <c r="C733" s="70">
        <v>868</v>
      </c>
      <c r="D733" s="70" t="s">
        <v>256</v>
      </c>
      <c r="E733" s="70">
        <v>1</v>
      </c>
      <c r="F733" s="72">
        <v>42.7727</v>
      </c>
      <c r="G733" s="72">
        <v>26.417200000000001</v>
      </c>
      <c r="H733" s="72" t="s">
        <v>257</v>
      </c>
      <c r="I733" s="72">
        <v>4971.1763000000001</v>
      </c>
      <c r="J733" s="70" t="s">
        <v>257</v>
      </c>
      <c r="K733" s="72">
        <v>1310.4490000000001</v>
      </c>
      <c r="L733" s="72" t="s">
        <v>257</v>
      </c>
      <c r="M733" s="70" t="s">
        <v>257</v>
      </c>
      <c r="N733" s="77">
        <v>120.22</v>
      </c>
      <c r="O733" s="70">
        <v>4</v>
      </c>
      <c r="P733" s="70"/>
      <c r="Q733" s="62" t="s">
        <v>258</v>
      </c>
    </row>
    <row r="734" spans="1:17" ht="13.8" customHeight="1" x14ac:dyDescent="0.3">
      <c r="A734" s="73" t="s">
        <v>326</v>
      </c>
      <c r="B734" s="74">
        <f>IFERROR(INDEX('Boulder Sample Log'!A$5:A$204,MATCH(A734,'Boulder Sample Log'!E$5:E$204,0)),"")</f>
        <v>46129</v>
      </c>
      <c r="C734" s="73">
        <v>869</v>
      </c>
      <c r="D734" s="73" t="s">
        <v>256</v>
      </c>
      <c r="E734" s="73">
        <v>2</v>
      </c>
      <c r="F734" s="75">
        <v>51.357700000000001</v>
      </c>
      <c r="G734" s="75">
        <v>7.1166999999999998</v>
      </c>
      <c r="H734" s="75">
        <v>8.4129000000000005</v>
      </c>
      <c r="I734" s="75">
        <v>15853.71</v>
      </c>
      <c r="J734" s="73">
        <v>141.1028</v>
      </c>
      <c r="K734" s="75">
        <v>3616.2968999999998</v>
      </c>
      <c r="L734" s="75">
        <v>35.1935</v>
      </c>
      <c r="M734" s="73">
        <v>16.7423</v>
      </c>
      <c r="N734" s="76">
        <v>120.48</v>
      </c>
      <c r="O734" s="73">
        <v>4</v>
      </c>
      <c r="P734" s="73"/>
      <c r="Q734" s="66" t="s">
        <v>258</v>
      </c>
    </row>
    <row r="735" spans="1:17" ht="13.8" customHeight="1" x14ac:dyDescent="0.3">
      <c r="A735" s="70" t="s">
        <v>326</v>
      </c>
      <c r="B735" s="71">
        <f>IFERROR(INDEX('Boulder Sample Log'!A$5:A$204,MATCH(A735,'Boulder Sample Log'!E$5:E$204,0)),"")</f>
        <v>46129</v>
      </c>
      <c r="C735" s="70">
        <v>870</v>
      </c>
      <c r="D735" s="70" t="s">
        <v>256</v>
      </c>
      <c r="E735" s="70">
        <v>2</v>
      </c>
      <c r="F735" s="72">
        <v>38.124000000000002</v>
      </c>
      <c r="G735" s="72">
        <v>5.4593999999999996</v>
      </c>
      <c r="H735" s="72">
        <v>8.4172999999999991</v>
      </c>
      <c r="I735" s="72">
        <v>17003.925800000001</v>
      </c>
      <c r="J735" s="70">
        <v>176.69200000000001</v>
      </c>
      <c r="K735" s="72">
        <v>3043.9704999999999</v>
      </c>
      <c r="L735" s="72">
        <v>35.5227</v>
      </c>
      <c r="M735" s="70">
        <v>12.935600000000001</v>
      </c>
      <c r="N735" s="77">
        <v>120.52</v>
      </c>
      <c r="O735" s="70">
        <v>4</v>
      </c>
      <c r="P735" s="70"/>
      <c r="Q735" s="62" t="s">
        <v>258</v>
      </c>
    </row>
    <row r="736" spans="1:17" ht="13.8" customHeight="1" x14ac:dyDescent="0.3">
      <c r="A736" s="73" t="s">
        <v>326</v>
      </c>
      <c r="B736" s="74">
        <f>IFERROR(INDEX('Boulder Sample Log'!A$5:A$204,MATCH(A736,'Boulder Sample Log'!E$5:E$204,0)),"")</f>
        <v>46129</v>
      </c>
      <c r="C736" s="73">
        <v>871</v>
      </c>
      <c r="D736" s="73" t="s">
        <v>256</v>
      </c>
      <c r="E736" s="73">
        <v>3</v>
      </c>
      <c r="F736" s="75">
        <v>143.446</v>
      </c>
      <c r="G736" s="75">
        <v>85.004300000000001</v>
      </c>
      <c r="H736" s="75">
        <v>8.0010999999999992</v>
      </c>
      <c r="I736" s="75">
        <v>13973.199199999999</v>
      </c>
      <c r="J736" s="73" t="s">
        <v>257</v>
      </c>
      <c r="K736" s="75">
        <v>7862.6938</v>
      </c>
      <c r="L736" s="75">
        <v>6.2533000000000003</v>
      </c>
      <c r="M736" s="73" t="s">
        <v>257</v>
      </c>
      <c r="N736" s="76">
        <v>120.32</v>
      </c>
      <c r="O736" s="73">
        <v>4</v>
      </c>
      <c r="P736" s="73"/>
      <c r="Q736" s="66" t="s">
        <v>258</v>
      </c>
    </row>
    <row r="737" spans="1:17" ht="13.8" customHeight="1" x14ac:dyDescent="0.3">
      <c r="A737" s="70" t="s">
        <v>326</v>
      </c>
      <c r="B737" s="71">
        <f>IFERROR(INDEX('Boulder Sample Log'!A$5:A$204,MATCH(A737,'Boulder Sample Log'!E$5:E$204,0)),"")</f>
        <v>46129</v>
      </c>
      <c r="C737" s="70">
        <v>872</v>
      </c>
      <c r="D737" s="70" t="s">
        <v>256</v>
      </c>
      <c r="E737" s="70">
        <v>3</v>
      </c>
      <c r="F737" s="72">
        <v>143.2946</v>
      </c>
      <c r="G737" s="72">
        <v>134.20060000000001</v>
      </c>
      <c r="H737" s="72">
        <v>9.7590000000000003</v>
      </c>
      <c r="I737" s="72">
        <v>20188.400399999999</v>
      </c>
      <c r="J737" s="70" t="s">
        <v>257</v>
      </c>
      <c r="K737" s="72">
        <v>13381.1309</v>
      </c>
      <c r="L737" s="72">
        <v>8.1463999999999999</v>
      </c>
      <c r="M737" s="70" t="s">
        <v>257</v>
      </c>
      <c r="N737" s="77">
        <v>120.17</v>
      </c>
      <c r="O737" s="70">
        <v>4</v>
      </c>
      <c r="P737" s="70"/>
      <c r="Q737" s="62" t="s">
        <v>258</v>
      </c>
    </row>
    <row r="738" spans="1:17" ht="13.8" customHeight="1" x14ac:dyDescent="0.3">
      <c r="A738" s="73" t="s">
        <v>326</v>
      </c>
      <c r="B738" s="74">
        <f>IFERROR(INDEX('Boulder Sample Log'!A$5:A$204,MATCH(A738,'Boulder Sample Log'!E$5:E$204,0)),"")</f>
        <v>46129</v>
      </c>
      <c r="C738" s="73">
        <v>873</v>
      </c>
      <c r="D738" s="73" t="s">
        <v>256</v>
      </c>
      <c r="E738" s="73">
        <v>3</v>
      </c>
      <c r="F738" s="75">
        <v>150.05459999999999</v>
      </c>
      <c r="G738" s="75">
        <v>73.715100000000007</v>
      </c>
      <c r="H738" s="75">
        <v>5.8186999999999998</v>
      </c>
      <c r="I738" s="75">
        <v>19620.728500000001</v>
      </c>
      <c r="J738" s="73" t="s">
        <v>257</v>
      </c>
      <c r="K738" s="75">
        <v>11477.0059</v>
      </c>
      <c r="L738" s="75">
        <v>24.138300000000001</v>
      </c>
      <c r="M738" s="73" t="s">
        <v>257</v>
      </c>
      <c r="N738" s="76">
        <v>120.58</v>
      </c>
      <c r="O738" s="73">
        <v>4</v>
      </c>
      <c r="P738" s="73"/>
      <c r="Q738" s="66" t="s">
        <v>258</v>
      </c>
    </row>
    <row r="739" spans="1:17" ht="13.8" customHeight="1" x14ac:dyDescent="0.3">
      <c r="A739" s="70" t="s">
        <v>326</v>
      </c>
      <c r="B739" s="71">
        <f>IFERROR(INDEX('Boulder Sample Log'!A$5:A$204,MATCH(A739,'Boulder Sample Log'!E$5:E$204,0)),"")</f>
        <v>46129</v>
      </c>
      <c r="C739" s="70">
        <v>874</v>
      </c>
      <c r="D739" s="70" t="s">
        <v>256</v>
      </c>
      <c r="E739" s="70">
        <v>4</v>
      </c>
      <c r="F739" s="72">
        <v>133.095</v>
      </c>
      <c r="G739" s="72">
        <v>105.3758</v>
      </c>
      <c r="H739" s="72">
        <v>8.1892999999999994</v>
      </c>
      <c r="I739" s="72">
        <v>12599.2207</v>
      </c>
      <c r="J739" s="70">
        <v>44.947299999999998</v>
      </c>
      <c r="K739" s="72">
        <v>8497.6093999999994</v>
      </c>
      <c r="L739" s="72">
        <v>12.9862</v>
      </c>
      <c r="M739" s="70" t="s">
        <v>257</v>
      </c>
      <c r="N739" s="77">
        <v>122.95</v>
      </c>
      <c r="O739" s="70">
        <v>4</v>
      </c>
      <c r="P739" s="70"/>
      <c r="Q739" s="62" t="s">
        <v>258</v>
      </c>
    </row>
    <row r="740" spans="1:17" ht="13.8" customHeight="1" x14ac:dyDescent="0.3">
      <c r="A740" s="73" t="s">
        <v>326</v>
      </c>
      <c r="B740" s="74">
        <f>IFERROR(INDEX('Boulder Sample Log'!A$5:A$204,MATCH(A740,'Boulder Sample Log'!E$5:E$204,0)),"")</f>
        <v>46129</v>
      </c>
      <c r="C740" s="73">
        <v>875</v>
      </c>
      <c r="D740" s="73" t="s">
        <v>256</v>
      </c>
      <c r="E740" s="73">
        <v>4</v>
      </c>
      <c r="F740" s="75">
        <v>123.19280000000001</v>
      </c>
      <c r="G740" s="75">
        <v>103.3665</v>
      </c>
      <c r="H740" s="75">
        <v>8.2403999999999993</v>
      </c>
      <c r="I740" s="75">
        <v>11167.96</v>
      </c>
      <c r="J740" s="73">
        <v>20.585999999999999</v>
      </c>
      <c r="K740" s="75">
        <v>7644.6576999999997</v>
      </c>
      <c r="L740" s="75">
        <v>18.9695</v>
      </c>
      <c r="M740" s="73" t="s">
        <v>257</v>
      </c>
      <c r="N740" s="76">
        <v>122.98</v>
      </c>
      <c r="O740" s="73">
        <v>4</v>
      </c>
      <c r="P740" s="73"/>
      <c r="Q740" s="66" t="s">
        <v>258</v>
      </c>
    </row>
    <row r="741" spans="1:17" ht="13.8" customHeight="1" x14ac:dyDescent="0.3">
      <c r="A741" s="70" t="s">
        <v>326</v>
      </c>
      <c r="B741" s="71">
        <f>IFERROR(INDEX('Boulder Sample Log'!A$5:A$204,MATCH(A741,'Boulder Sample Log'!E$5:E$204,0)),"")</f>
        <v>46129</v>
      </c>
      <c r="C741" s="70">
        <v>876</v>
      </c>
      <c r="D741" s="70" t="s">
        <v>256</v>
      </c>
      <c r="E741" s="70">
        <v>5</v>
      </c>
      <c r="F741" s="72">
        <v>206.7276</v>
      </c>
      <c r="G741" s="72">
        <v>165.5239</v>
      </c>
      <c r="H741" s="72" t="s">
        <v>257</v>
      </c>
      <c r="I741" s="72">
        <v>48554.738299999997</v>
      </c>
      <c r="J741" s="70" t="s">
        <v>257</v>
      </c>
      <c r="K741" s="72">
        <v>25788.841799999998</v>
      </c>
      <c r="L741" s="72" t="s">
        <v>257</v>
      </c>
      <c r="M741" s="70">
        <v>4.3624000000000001</v>
      </c>
      <c r="N741" s="77">
        <v>120.44</v>
      </c>
      <c r="O741" s="70">
        <v>4</v>
      </c>
      <c r="P741" s="70"/>
      <c r="Q741" s="62" t="s">
        <v>258</v>
      </c>
    </row>
    <row r="742" spans="1:17" ht="13.8" customHeight="1" x14ac:dyDescent="0.3">
      <c r="A742" s="73" t="s">
        <v>326</v>
      </c>
      <c r="B742" s="74">
        <f>IFERROR(INDEX('Boulder Sample Log'!A$5:A$204,MATCH(A742,'Boulder Sample Log'!E$5:E$204,0)),"")</f>
        <v>46129</v>
      </c>
      <c r="C742" s="73">
        <v>877</v>
      </c>
      <c r="D742" s="73" t="s">
        <v>256</v>
      </c>
      <c r="E742" s="73">
        <v>5</v>
      </c>
      <c r="F742" s="75">
        <v>182.94800000000001</v>
      </c>
      <c r="G742" s="75">
        <v>100.0712</v>
      </c>
      <c r="H742" s="75" t="s">
        <v>257</v>
      </c>
      <c r="I742" s="75">
        <v>44581.542999999998</v>
      </c>
      <c r="J742" s="73" t="s">
        <v>257</v>
      </c>
      <c r="K742" s="75">
        <v>25355.896499999999</v>
      </c>
      <c r="L742" s="75" t="s">
        <v>257</v>
      </c>
      <c r="M742" s="73" t="s">
        <v>257</v>
      </c>
      <c r="N742" s="76">
        <v>120.28</v>
      </c>
      <c r="O742" s="73">
        <v>4</v>
      </c>
      <c r="P742" s="73"/>
      <c r="Q742" s="66" t="s">
        <v>258</v>
      </c>
    </row>
    <row r="743" spans="1:17" ht="13.8" customHeight="1" x14ac:dyDescent="0.3">
      <c r="A743" s="70" t="s">
        <v>327</v>
      </c>
      <c r="B743" s="71">
        <f>IFERROR(INDEX('Boulder Sample Log'!A$5:A$204,MATCH(A743,'Boulder Sample Log'!E$5:E$204,0)),"")</f>
        <v>46129</v>
      </c>
      <c r="C743" s="70">
        <v>878</v>
      </c>
      <c r="D743" s="70" t="s">
        <v>256</v>
      </c>
      <c r="E743" s="70">
        <v>1</v>
      </c>
      <c r="F743" s="72">
        <v>34.596600000000002</v>
      </c>
      <c r="G743" s="72">
        <v>10.616</v>
      </c>
      <c r="H743" s="72">
        <v>8.5142000000000007</v>
      </c>
      <c r="I743" s="72">
        <v>39221.808599999997</v>
      </c>
      <c r="J743" s="70">
        <v>472.601</v>
      </c>
      <c r="K743" s="72">
        <v>16458.6816</v>
      </c>
      <c r="L743" s="72">
        <v>57.750500000000002</v>
      </c>
      <c r="M743" s="70">
        <v>13.270799999999999</v>
      </c>
      <c r="N743" s="77">
        <v>120.67</v>
      </c>
      <c r="O743" s="70">
        <v>4</v>
      </c>
      <c r="P743" s="70"/>
      <c r="Q743" s="62" t="s">
        <v>258</v>
      </c>
    </row>
    <row r="744" spans="1:17" ht="13.8" customHeight="1" x14ac:dyDescent="0.3">
      <c r="A744" s="73" t="s">
        <v>327</v>
      </c>
      <c r="B744" s="74">
        <f>IFERROR(INDEX('Boulder Sample Log'!A$5:A$204,MATCH(A744,'Boulder Sample Log'!E$5:E$204,0)),"")</f>
        <v>46129</v>
      </c>
      <c r="C744" s="73">
        <v>879</v>
      </c>
      <c r="D744" s="73" t="s">
        <v>256</v>
      </c>
      <c r="E744" s="73">
        <v>1</v>
      </c>
      <c r="F744" s="75">
        <v>36.483199999999997</v>
      </c>
      <c r="G744" s="75">
        <v>18.086600000000001</v>
      </c>
      <c r="H744" s="75">
        <v>10.3424</v>
      </c>
      <c r="I744" s="75">
        <v>40785.996099999997</v>
      </c>
      <c r="J744" s="73">
        <v>487.32209999999998</v>
      </c>
      <c r="K744" s="75">
        <v>12663.3848</v>
      </c>
      <c r="L744" s="75">
        <v>70.404899999999998</v>
      </c>
      <c r="M744" s="73">
        <v>18.567799999999998</v>
      </c>
      <c r="N744" s="76">
        <v>123.07</v>
      </c>
      <c r="O744" s="73">
        <v>4</v>
      </c>
      <c r="P744" s="73"/>
      <c r="Q744" s="66" t="s">
        <v>258</v>
      </c>
    </row>
    <row r="745" spans="1:17" ht="13.8" customHeight="1" x14ac:dyDescent="0.3">
      <c r="A745" s="70" t="s">
        <v>327</v>
      </c>
      <c r="B745" s="71">
        <f>IFERROR(INDEX('Boulder Sample Log'!A$5:A$204,MATCH(A745,'Boulder Sample Log'!E$5:E$204,0)),"")</f>
        <v>46129</v>
      </c>
      <c r="C745" s="70">
        <v>880</v>
      </c>
      <c r="D745" s="70" t="s">
        <v>256</v>
      </c>
      <c r="E745" s="70">
        <v>2</v>
      </c>
      <c r="F745" s="72">
        <v>10.9429</v>
      </c>
      <c r="G745" s="72">
        <v>10.1174</v>
      </c>
      <c r="H745" s="72">
        <v>7.7009999999999996</v>
      </c>
      <c r="I745" s="72">
        <v>30695.7539</v>
      </c>
      <c r="J745" s="70">
        <v>430.71600000000001</v>
      </c>
      <c r="K745" s="72">
        <v>2812.4529000000002</v>
      </c>
      <c r="L745" s="72">
        <v>163.1867</v>
      </c>
      <c r="M745" s="70">
        <v>12.7263</v>
      </c>
      <c r="N745" s="77">
        <v>120.09</v>
      </c>
      <c r="O745" s="70">
        <v>4</v>
      </c>
      <c r="P745" s="70"/>
      <c r="Q745" s="62" t="s">
        <v>258</v>
      </c>
    </row>
    <row r="746" spans="1:17" ht="13.8" customHeight="1" x14ac:dyDescent="0.3">
      <c r="A746" s="73" t="s">
        <v>327</v>
      </c>
      <c r="B746" s="74">
        <f>IFERROR(INDEX('Boulder Sample Log'!A$5:A$204,MATCH(A746,'Boulder Sample Log'!E$5:E$204,0)),"")</f>
        <v>46129</v>
      </c>
      <c r="C746" s="73">
        <v>881</v>
      </c>
      <c r="D746" s="73" t="s">
        <v>256</v>
      </c>
      <c r="E746" s="73">
        <v>2</v>
      </c>
      <c r="F746" s="75">
        <v>10.947900000000001</v>
      </c>
      <c r="G746" s="75">
        <v>7.3239999999999998</v>
      </c>
      <c r="H746" s="75">
        <v>6.6805000000000003</v>
      </c>
      <c r="I746" s="75">
        <v>31097.468799999999</v>
      </c>
      <c r="J746" s="73">
        <v>451.06189999999998</v>
      </c>
      <c r="K746" s="75">
        <v>2961.7197000000001</v>
      </c>
      <c r="L746" s="75">
        <v>139.6678</v>
      </c>
      <c r="M746" s="73">
        <v>8.9407999999999994</v>
      </c>
      <c r="N746" s="76">
        <v>120.09</v>
      </c>
      <c r="O746" s="73">
        <v>4</v>
      </c>
      <c r="P746" s="73"/>
      <c r="Q746" s="66" t="s">
        <v>258</v>
      </c>
    </row>
    <row r="747" spans="1:17" ht="13.8" customHeight="1" x14ac:dyDescent="0.3">
      <c r="A747" s="70" t="s">
        <v>327</v>
      </c>
      <c r="B747" s="71">
        <f>IFERROR(INDEX('Boulder Sample Log'!A$5:A$204,MATCH(A747,'Boulder Sample Log'!E$5:E$204,0)),"")</f>
        <v>46129</v>
      </c>
      <c r="C747" s="70">
        <v>882</v>
      </c>
      <c r="D747" s="70" t="s">
        <v>256</v>
      </c>
      <c r="E747" s="70">
        <v>3</v>
      </c>
      <c r="F747" s="72" t="s">
        <v>257</v>
      </c>
      <c r="G747" s="72" t="s">
        <v>257</v>
      </c>
      <c r="H747" s="72">
        <v>7.0426000000000002</v>
      </c>
      <c r="I747" s="72">
        <v>40100.175799999997</v>
      </c>
      <c r="J747" s="70">
        <v>527.5299</v>
      </c>
      <c r="K747" s="72">
        <v>8223.9491999999991</v>
      </c>
      <c r="L747" s="72">
        <v>74.841700000000003</v>
      </c>
      <c r="M747" s="70">
        <v>10.318300000000001</v>
      </c>
      <c r="N747" s="77">
        <v>123.01</v>
      </c>
      <c r="O747" s="70">
        <v>4</v>
      </c>
      <c r="P747" s="70"/>
      <c r="Q747" s="62" t="s">
        <v>258</v>
      </c>
    </row>
    <row r="748" spans="1:17" ht="13.8" customHeight="1" x14ac:dyDescent="0.3">
      <c r="A748" s="73" t="s">
        <v>327</v>
      </c>
      <c r="B748" s="74">
        <f>IFERROR(INDEX('Boulder Sample Log'!A$5:A$204,MATCH(A748,'Boulder Sample Log'!E$5:E$204,0)),"")</f>
        <v>46129</v>
      </c>
      <c r="C748" s="73">
        <v>883</v>
      </c>
      <c r="D748" s="73" t="s">
        <v>256</v>
      </c>
      <c r="E748" s="73">
        <v>3</v>
      </c>
      <c r="F748" s="75" t="s">
        <v>257</v>
      </c>
      <c r="G748" s="75" t="s">
        <v>257</v>
      </c>
      <c r="H748" s="75">
        <v>8.6126000000000005</v>
      </c>
      <c r="I748" s="75">
        <v>42346.753900000003</v>
      </c>
      <c r="J748" s="73">
        <v>586.07529999999997</v>
      </c>
      <c r="K748" s="75" t="s">
        <v>257</v>
      </c>
      <c r="L748" s="75">
        <v>86.427400000000006</v>
      </c>
      <c r="M748" s="73" t="s">
        <v>257</v>
      </c>
      <c r="N748" s="76">
        <v>87.43</v>
      </c>
      <c r="O748" s="73">
        <v>3</v>
      </c>
      <c r="P748" s="73"/>
      <c r="Q748" s="66" t="s">
        <v>258</v>
      </c>
    </row>
    <row r="749" spans="1:17" ht="13.8" customHeight="1" x14ac:dyDescent="0.3">
      <c r="A749" s="70" t="s">
        <v>327</v>
      </c>
      <c r="B749" s="71">
        <f>IFERROR(INDEX('Boulder Sample Log'!A$5:A$204,MATCH(A749,'Boulder Sample Log'!E$5:E$204,0)),"")</f>
        <v>46129</v>
      </c>
      <c r="C749" s="70">
        <v>884</v>
      </c>
      <c r="D749" s="70" t="s">
        <v>256</v>
      </c>
      <c r="E749" s="70">
        <v>3</v>
      </c>
      <c r="F749" s="72" t="s">
        <v>257</v>
      </c>
      <c r="G749" s="72" t="s">
        <v>257</v>
      </c>
      <c r="H749" s="72">
        <v>6.2971000000000004</v>
      </c>
      <c r="I749" s="72">
        <v>35929.5</v>
      </c>
      <c r="J749" s="70">
        <v>648.26220000000001</v>
      </c>
      <c r="K749" s="72">
        <v>647.59010000000001</v>
      </c>
      <c r="L749" s="72">
        <v>78.827200000000005</v>
      </c>
      <c r="M749" s="70">
        <v>8.2291000000000007</v>
      </c>
      <c r="N749" s="77">
        <v>122.81</v>
      </c>
      <c r="O749" s="70">
        <v>4</v>
      </c>
      <c r="P749" s="70"/>
      <c r="Q749" s="62" t="s">
        <v>258</v>
      </c>
    </row>
    <row r="750" spans="1:17" ht="13.8" customHeight="1" x14ac:dyDescent="0.3">
      <c r="A750" s="73" t="s">
        <v>327</v>
      </c>
      <c r="B750" s="74">
        <f>IFERROR(INDEX('Boulder Sample Log'!A$5:A$204,MATCH(A750,'Boulder Sample Log'!E$5:E$204,0)),"")</f>
        <v>46129</v>
      </c>
      <c r="C750" s="73">
        <v>885</v>
      </c>
      <c r="D750" s="73" t="s">
        <v>256</v>
      </c>
      <c r="E750" s="73">
        <v>4</v>
      </c>
      <c r="F750" s="75" t="s">
        <v>257</v>
      </c>
      <c r="G750" s="75" t="s">
        <v>257</v>
      </c>
      <c r="H750" s="75">
        <v>10.000400000000001</v>
      </c>
      <c r="I750" s="75">
        <v>38056.535199999998</v>
      </c>
      <c r="J750" s="73">
        <v>551.63670000000002</v>
      </c>
      <c r="K750" s="75">
        <v>722.48710000000005</v>
      </c>
      <c r="L750" s="75">
        <v>143.19159999999999</v>
      </c>
      <c r="M750" s="73">
        <v>13.2967</v>
      </c>
      <c r="N750" s="76">
        <v>120.49</v>
      </c>
      <c r="O750" s="73">
        <v>4</v>
      </c>
      <c r="P750" s="73"/>
      <c r="Q750" s="66" t="s">
        <v>258</v>
      </c>
    </row>
    <row r="751" spans="1:17" ht="13.8" customHeight="1" x14ac:dyDescent="0.3">
      <c r="A751" s="70" t="s">
        <v>327</v>
      </c>
      <c r="B751" s="71">
        <f>IFERROR(INDEX('Boulder Sample Log'!A$5:A$204,MATCH(A751,'Boulder Sample Log'!E$5:E$204,0)),"")</f>
        <v>46129</v>
      </c>
      <c r="C751" s="70">
        <v>886</v>
      </c>
      <c r="D751" s="70" t="s">
        <v>256</v>
      </c>
      <c r="E751" s="70">
        <v>4</v>
      </c>
      <c r="F751" s="72" t="s">
        <v>257</v>
      </c>
      <c r="G751" s="72" t="s">
        <v>257</v>
      </c>
      <c r="H751" s="72">
        <v>9.0798000000000005</v>
      </c>
      <c r="I751" s="72">
        <v>37971.714800000002</v>
      </c>
      <c r="J751" s="70">
        <v>569.72490000000005</v>
      </c>
      <c r="K751" s="72">
        <v>820.28549999999996</v>
      </c>
      <c r="L751" s="72">
        <v>100.07510000000001</v>
      </c>
      <c r="M751" s="70">
        <v>21.024799999999999</v>
      </c>
      <c r="N751" s="77">
        <v>122.87</v>
      </c>
      <c r="O751" s="70">
        <v>4</v>
      </c>
      <c r="P751" s="70"/>
      <c r="Q751" s="62" t="s">
        <v>258</v>
      </c>
    </row>
    <row r="752" spans="1:17" ht="13.8" customHeight="1" x14ac:dyDescent="0.3">
      <c r="A752" s="73" t="s">
        <v>327</v>
      </c>
      <c r="B752" s="74">
        <f>IFERROR(INDEX('Boulder Sample Log'!A$5:A$204,MATCH(A752,'Boulder Sample Log'!E$5:E$204,0)),"")</f>
        <v>46129</v>
      </c>
      <c r="C752" s="73">
        <v>887</v>
      </c>
      <c r="D752" s="73" t="s">
        <v>256</v>
      </c>
      <c r="E752" s="73">
        <v>5</v>
      </c>
      <c r="F752" s="75" t="s">
        <v>257</v>
      </c>
      <c r="G752" s="75">
        <v>4.7805999999999997</v>
      </c>
      <c r="H752" s="75">
        <v>6.7933000000000003</v>
      </c>
      <c r="I752" s="75">
        <v>28501.267599999999</v>
      </c>
      <c r="J752" s="73">
        <v>422.90719999999999</v>
      </c>
      <c r="K752" s="75">
        <v>372.28140000000002</v>
      </c>
      <c r="L752" s="75">
        <v>84.332700000000003</v>
      </c>
      <c r="M752" s="73">
        <v>9.2942999999999998</v>
      </c>
      <c r="N752" s="76">
        <v>123.05</v>
      </c>
      <c r="O752" s="73">
        <v>4</v>
      </c>
      <c r="P752" s="73"/>
      <c r="Q752" s="66" t="s">
        <v>258</v>
      </c>
    </row>
    <row r="753" spans="1:17" ht="13.8" customHeight="1" x14ac:dyDescent="0.3">
      <c r="A753" s="70" t="s">
        <v>327</v>
      </c>
      <c r="B753" s="71">
        <f>IFERROR(INDEX('Boulder Sample Log'!A$5:A$204,MATCH(A753,'Boulder Sample Log'!E$5:E$204,0)),"")</f>
        <v>46129</v>
      </c>
      <c r="C753" s="70">
        <v>888</v>
      </c>
      <c r="D753" s="70" t="s">
        <v>256</v>
      </c>
      <c r="E753" s="70">
        <v>5</v>
      </c>
      <c r="F753" s="72" t="s">
        <v>257</v>
      </c>
      <c r="G753" s="72" t="s">
        <v>257</v>
      </c>
      <c r="H753" s="72">
        <v>6.3426</v>
      </c>
      <c r="I753" s="72">
        <v>32246.3027</v>
      </c>
      <c r="J753" s="70">
        <v>479.61130000000003</v>
      </c>
      <c r="K753" s="72">
        <v>525.84950000000003</v>
      </c>
      <c r="L753" s="72">
        <v>84.304199999999994</v>
      </c>
      <c r="M753" s="70">
        <v>23.889700000000001</v>
      </c>
      <c r="N753" s="77">
        <v>120.2</v>
      </c>
      <c r="O753" s="70">
        <v>4</v>
      </c>
      <c r="P753" s="70"/>
      <c r="Q753" s="62" t="s">
        <v>258</v>
      </c>
    </row>
    <row r="754" spans="1:17" ht="13.8" customHeight="1" x14ac:dyDescent="0.3">
      <c r="A754" s="73" t="s">
        <v>328</v>
      </c>
      <c r="B754" s="74">
        <f>IFERROR(INDEX('Boulder Sample Log'!A$5:A$204,MATCH(A754,'Boulder Sample Log'!E$5:E$204,0)),"")</f>
        <v>46129</v>
      </c>
      <c r="C754" s="73">
        <v>889</v>
      </c>
      <c r="D754" s="73" t="s">
        <v>256</v>
      </c>
      <c r="E754" s="73">
        <v>1</v>
      </c>
      <c r="F754" s="75" t="s">
        <v>257</v>
      </c>
      <c r="G754" s="75">
        <v>5.7706999999999997</v>
      </c>
      <c r="H754" s="75">
        <v>8.2990999999999993</v>
      </c>
      <c r="I754" s="75">
        <v>37263.640599999999</v>
      </c>
      <c r="J754" s="73">
        <v>499.01459999999997</v>
      </c>
      <c r="K754" s="75">
        <v>18634.123</v>
      </c>
      <c r="L754" s="75">
        <v>75.938100000000006</v>
      </c>
      <c r="M754" s="73">
        <v>13.6168</v>
      </c>
      <c r="N754" s="76">
        <v>120.48</v>
      </c>
      <c r="O754" s="73">
        <v>4</v>
      </c>
      <c r="P754" s="73"/>
      <c r="Q754" s="66" t="s">
        <v>258</v>
      </c>
    </row>
    <row r="755" spans="1:17" ht="13.8" customHeight="1" x14ac:dyDescent="0.3">
      <c r="A755" s="70" t="s">
        <v>328</v>
      </c>
      <c r="B755" s="71">
        <f>IFERROR(INDEX('Boulder Sample Log'!A$5:A$204,MATCH(A755,'Boulder Sample Log'!E$5:E$204,0)),"")</f>
        <v>46129</v>
      </c>
      <c r="C755" s="70">
        <v>890</v>
      </c>
      <c r="D755" s="70" t="s">
        <v>256</v>
      </c>
      <c r="E755" s="70">
        <v>1</v>
      </c>
      <c r="F755" s="72" t="s">
        <v>257</v>
      </c>
      <c r="G755" s="72">
        <v>3.4735</v>
      </c>
      <c r="H755" s="72">
        <v>9.4560999999999993</v>
      </c>
      <c r="I755" s="72">
        <v>34035.1875</v>
      </c>
      <c r="J755" s="70">
        <v>582.50990000000002</v>
      </c>
      <c r="K755" s="72">
        <v>6205.6513999999997</v>
      </c>
      <c r="L755" s="72">
        <v>84.749499999999998</v>
      </c>
      <c r="M755" s="70">
        <v>16.6358</v>
      </c>
      <c r="N755" s="77">
        <v>122.93</v>
      </c>
      <c r="O755" s="70">
        <v>4</v>
      </c>
      <c r="P755" s="70"/>
      <c r="Q755" s="62" t="s">
        <v>258</v>
      </c>
    </row>
    <row r="756" spans="1:17" ht="13.8" customHeight="1" x14ac:dyDescent="0.3">
      <c r="A756" s="73" t="s">
        <v>328</v>
      </c>
      <c r="B756" s="74">
        <f>IFERROR(INDEX('Boulder Sample Log'!A$5:A$204,MATCH(A756,'Boulder Sample Log'!E$5:E$204,0)),"")</f>
        <v>46129</v>
      </c>
      <c r="C756" s="73">
        <v>891</v>
      </c>
      <c r="D756" s="73" t="s">
        <v>256</v>
      </c>
      <c r="E756" s="73">
        <v>2</v>
      </c>
      <c r="F756" s="75" t="s">
        <v>257</v>
      </c>
      <c r="G756" s="75">
        <v>8.4850999999999992</v>
      </c>
      <c r="H756" s="75">
        <v>6.9048999999999996</v>
      </c>
      <c r="I756" s="75">
        <v>42894.855499999998</v>
      </c>
      <c r="J756" s="73">
        <v>568.8107</v>
      </c>
      <c r="K756" s="75">
        <v>15737.040999999999</v>
      </c>
      <c r="L756" s="75">
        <v>120.94799999999999</v>
      </c>
      <c r="M756" s="73">
        <v>16.443300000000001</v>
      </c>
      <c r="N756" s="76">
        <v>122.82</v>
      </c>
      <c r="O756" s="73">
        <v>4</v>
      </c>
      <c r="P756" s="73"/>
      <c r="Q756" s="66" t="s">
        <v>258</v>
      </c>
    </row>
    <row r="757" spans="1:17" ht="13.8" customHeight="1" x14ac:dyDescent="0.3">
      <c r="A757" s="70" t="s">
        <v>328</v>
      </c>
      <c r="B757" s="71">
        <f>IFERROR(INDEX('Boulder Sample Log'!A$5:A$204,MATCH(A757,'Boulder Sample Log'!E$5:E$204,0)),"")</f>
        <v>46129</v>
      </c>
      <c r="C757" s="70">
        <v>892</v>
      </c>
      <c r="D757" s="70" t="s">
        <v>256</v>
      </c>
      <c r="E757" s="70">
        <v>2</v>
      </c>
      <c r="F757" s="72" t="s">
        <v>257</v>
      </c>
      <c r="G757" s="72" t="s">
        <v>257</v>
      </c>
      <c r="H757" s="72" t="s">
        <v>257</v>
      </c>
      <c r="I757" s="72" t="s">
        <v>257</v>
      </c>
      <c r="J757" s="70">
        <v>610.17510000000004</v>
      </c>
      <c r="K757" s="72">
        <v>55381.9375</v>
      </c>
      <c r="L757" s="72" t="s">
        <v>257</v>
      </c>
      <c r="M757" s="70" t="s">
        <v>257</v>
      </c>
      <c r="N757" s="77">
        <v>124.68</v>
      </c>
      <c r="O757" s="70">
        <v>4</v>
      </c>
      <c r="P757" s="70"/>
      <c r="Q757" s="62" t="s">
        <v>258</v>
      </c>
    </row>
    <row r="758" spans="1:17" ht="13.8" customHeight="1" x14ac:dyDescent="0.3">
      <c r="A758" s="73" t="s">
        <v>328</v>
      </c>
      <c r="B758" s="74">
        <f>IFERROR(INDEX('Boulder Sample Log'!A$5:A$204,MATCH(A758,'Boulder Sample Log'!E$5:E$204,0)),"")</f>
        <v>46129</v>
      </c>
      <c r="C758" s="73">
        <v>893</v>
      </c>
      <c r="D758" s="73" t="s">
        <v>256</v>
      </c>
      <c r="E758" s="73">
        <v>3</v>
      </c>
      <c r="F758" s="75" t="s">
        <v>257</v>
      </c>
      <c r="G758" s="75">
        <v>6.7289000000000003</v>
      </c>
      <c r="H758" s="75">
        <v>9.2469999999999999</v>
      </c>
      <c r="I758" s="75">
        <v>32731.8691</v>
      </c>
      <c r="J758" s="73">
        <v>489.16910000000001</v>
      </c>
      <c r="K758" s="75">
        <v>23111.3848</v>
      </c>
      <c r="L758" s="75">
        <v>73.249399999999994</v>
      </c>
      <c r="M758" s="73">
        <v>20.4407</v>
      </c>
      <c r="N758" s="76">
        <v>120.42</v>
      </c>
      <c r="O758" s="73">
        <v>4</v>
      </c>
      <c r="P758" s="73"/>
      <c r="Q758" s="66" t="s">
        <v>258</v>
      </c>
    </row>
    <row r="759" spans="1:17" ht="13.8" customHeight="1" x14ac:dyDescent="0.3">
      <c r="A759" s="70" t="s">
        <v>328</v>
      </c>
      <c r="B759" s="71">
        <f>IFERROR(INDEX('Boulder Sample Log'!A$5:A$204,MATCH(A759,'Boulder Sample Log'!E$5:E$204,0)),"")</f>
        <v>46129</v>
      </c>
      <c r="C759" s="70">
        <v>894</v>
      </c>
      <c r="D759" s="70" t="s">
        <v>256</v>
      </c>
      <c r="E759" s="70">
        <v>3</v>
      </c>
      <c r="F759" s="72" t="s">
        <v>257</v>
      </c>
      <c r="G759" s="72">
        <v>10.805400000000001</v>
      </c>
      <c r="H759" s="72">
        <v>7.3144</v>
      </c>
      <c r="I759" s="72">
        <v>35291.957000000002</v>
      </c>
      <c r="J759" s="70">
        <v>498.52199999999999</v>
      </c>
      <c r="K759" s="72">
        <v>19692.0664</v>
      </c>
      <c r="L759" s="72">
        <v>71.743200000000002</v>
      </c>
      <c r="M759" s="70">
        <v>19.6739</v>
      </c>
      <c r="N759" s="77">
        <v>120.11</v>
      </c>
      <c r="O759" s="70">
        <v>4</v>
      </c>
      <c r="P759" s="70"/>
      <c r="Q759" s="62" t="s">
        <v>258</v>
      </c>
    </row>
    <row r="760" spans="1:17" ht="13.8" customHeight="1" x14ac:dyDescent="0.3">
      <c r="A760" s="73" t="s">
        <v>328</v>
      </c>
      <c r="B760" s="74">
        <f>IFERROR(INDEX('Boulder Sample Log'!A$5:A$204,MATCH(A760,'Boulder Sample Log'!E$5:E$204,0)),"")</f>
        <v>46129</v>
      </c>
      <c r="C760" s="73">
        <v>895</v>
      </c>
      <c r="D760" s="73" t="s">
        <v>256</v>
      </c>
      <c r="E760" s="73">
        <v>4</v>
      </c>
      <c r="F760" s="75" t="s">
        <v>257</v>
      </c>
      <c r="G760" s="75">
        <v>20.407900000000001</v>
      </c>
      <c r="H760" s="75">
        <v>8.2556999999999992</v>
      </c>
      <c r="I760" s="75">
        <v>32756.6309</v>
      </c>
      <c r="J760" s="73">
        <v>437.11239999999998</v>
      </c>
      <c r="K760" s="75">
        <v>10701.9238</v>
      </c>
      <c r="L760" s="75">
        <v>84.945099999999996</v>
      </c>
      <c r="M760" s="73">
        <v>23.290600000000001</v>
      </c>
      <c r="N760" s="76">
        <v>120.22</v>
      </c>
      <c r="O760" s="73">
        <v>4</v>
      </c>
      <c r="P760" s="73"/>
      <c r="Q760" s="66" t="s">
        <v>258</v>
      </c>
    </row>
    <row r="761" spans="1:17" ht="13.8" customHeight="1" x14ac:dyDescent="0.3">
      <c r="A761" s="70" t="s">
        <v>328</v>
      </c>
      <c r="B761" s="71">
        <f>IFERROR(INDEX('Boulder Sample Log'!A$5:A$204,MATCH(A761,'Boulder Sample Log'!E$5:E$204,0)),"")</f>
        <v>46129</v>
      </c>
      <c r="C761" s="70">
        <v>896</v>
      </c>
      <c r="D761" s="70" t="s">
        <v>256</v>
      </c>
      <c r="E761" s="70">
        <v>4</v>
      </c>
      <c r="F761" s="72" t="s">
        <v>257</v>
      </c>
      <c r="G761" s="72">
        <v>18.1251</v>
      </c>
      <c r="H761" s="72">
        <v>8.9452999999999996</v>
      </c>
      <c r="I761" s="72">
        <v>47437.945299999999</v>
      </c>
      <c r="J761" s="70">
        <v>411.613</v>
      </c>
      <c r="K761" s="72">
        <v>11417.804700000001</v>
      </c>
      <c r="L761" s="72">
        <v>102.8108</v>
      </c>
      <c r="M761" s="70">
        <v>28.927499999999998</v>
      </c>
      <c r="N761" s="77">
        <v>122.9</v>
      </c>
      <c r="O761" s="70">
        <v>4</v>
      </c>
      <c r="P761" s="70"/>
      <c r="Q761" s="62" t="s">
        <v>258</v>
      </c>
    </row>
    <row r="762" spans="1:17" ht="13.8" customHeight="1" x14ac:dyDescent="0.3">
      <c r="A762" s="73" t="s">
        <v>328</v>
      </c>
      <c r="B762" s="74">
        <f>IFERROR(INDEX('Boulder Sample Log'!A$5:A$204,MATCH(A762,'Boulder Sample Log'!E$5:E$204,0)),"")</f>
        <v>46129</v>
      </c>
      <c r="C762" s="73">
        <v>897</v>
      </c>
      <c r="D762" s="73" t="s">
        <v>256</v>
      </c>
      <c r="E762" s="73">
        <v>5</v>
      </c>
      <c r="F762" s="75" t="s">
        <v>257</v>
      </c>
      <c r="G762" s="75" t="s">
        <v>257</v>
      </c>
      <c r="H762" s="75">
        <v>6.9764999999999997</v>
      </c>
      <c r="I762" s="75">
        <v>34001.261700000003</v>
      </c>
      <c r="J762" s="73">
        <v>524.63149999999996</v>
      </c>
      <c r="K762" s="75">
        <v>5133.0888999999997</v>
      </c>
      <c r="L762" s="75">
        <v>135.91579999999999</v>
      </c>
      <c r="M762" s="73">
        <v>12.176</v>
      </c>
      <c r="N762" s="76">
        <v>122.86</v>
      </c>
      <c r="O762" s="73">
        <v>4</v>
      </c>
      <c r="P762" s="73"/>
      <c r="Q762" s="66" t="s">
        <v>258</v>
      </c>
    </row>
    <row r="763" spans="1:17" ht="13.8" customHeight="1" x14ac:dyDescent="0.3">
      <c r="A763" s="70" t="s">
        <v>328</v>
      </c>
      <c r="B763" s="71">
        <f>IFERROR(INDEX('Boulder Sample Log'!A$5:A$204,MATCH(A763,'Boulder Sample Log'!E$5:E$204,0)),"")</f>
        <v>46129</v>
      </c>
      <c r="C763" s="70">
        <v>898</v>
      </c>
      <c r="D763" s="70" t="s">
        <v>256</v>
      </c>
      <c r="E763" s="70">
        <v>5</v>
      </c>
      <c r="F763" s="72" t="s">
        <v>257</v>
      </c>
      <c r="G763" s="72">
        <v>13.4975</v>
      </c>
      <c r="H763" s="72">
        <v>8.5626999999999995</v>
      </c>
      <c r="I763" s="72">
        <v>38167.816400000003</v>
      </c>
      <c r="J763" s="70">
        <v>533.83040000000005</v>
      </c>
      <c r="K763" s="72">
        <v>5014.0415000000003</v>
      </c>
      <c r="L763" s="72">
        <v>120.822</v>
      </c>
      <c r="M763" s="70">
        <v>9.1546000000000003</v>
      </c>
      <c r="N763" s="77">
        <v>120.01</v>
      </c>
      <c r="O763" s="70">
        <v>4</v>
      </c>
      <c r="P763" s="70"/>
      <c r="Q763" s="62" t="s">
        <v>258</v>
      </c>
    </row>
    <row r="764" spans="1:17" ht="13.8" customHeight="1" x14ac:dyDescent="0.3">
      <c r="A764" s="73" t="s">
        <v>328</v>
      </c>
      <c r="B764" s="74">
        <f>IFERROR(INDEX('Boulder Sample Log'!A$5:A$204,MATCH(A764,'Boulder Sample Log'!E$5:E$204,0)),"")</f>
        <v>46129</v>
      </c>
      <c r="C764" s="73">
        <v>899</v>
      </c>
      <c r="D764" s="73" t="s">
        <v>256</v>
      </c>
      <c r="E764" s="73">
        <v>5</v>
      </c>
      <c r="F764" s="75" t="s">
        <v>257</v>
      </c>
      <c r="G764" s="75" t="s">
        <v>257</v>
      </c>
      <c r="H764" s="75">
        <v>9.5630000000000006</v>
      </c>
      <c r="I764" s="75">
        <v>33595.269500000002</v>
      </c>
      <c r="J764" s="73">
        <v>542.45950000000005</v>
      </c>
      <c r="K764" s="75">
        <v>4875.8647000000001</v>
      </c>
      <c r="L764" s="75">
        <v>154.09739999999999</v>
      </c>
      <c r="M764" s="73">
        <v>10.1402</v>
      </c>
      <c r="N764" s="76">
        <v>120.47</v>
      </c>
      <c r="O764" s="73">
        <v>4</v>
      </c>
      <c r="P764" s="73"/>
      <c r="Q764" s="66" t="s">
        <v>258</v>
      </c>
    </row>
    <row r="765" spans="1:17" ht="13.8" customHeight="1" x14ac:dyDescent="0.3">
      <c r="A765" s="70" t="s">
        <v>329</v>
      </c>
      <c r="B765" s="71">
        <f>IFERROR(INDEX('Boulder Sample Log'!A$5:A$204,MATCH(A765,'Boulder Sample Log'!E$5:E$204,0)),"")</f>
        <v>46129</v>
      </c>
      <c r="C765" s="70">
        <v>900</v>
      </c>
      <c r="D765" s="70" t="s">
        <v>256</v>
      </c>
      <c r="E765" s="70">
        <v>1</v>
      </c>
      <c r="F765" s="72">
        <v>4.4260999999999999</v>
      </c>
      <c r="G765" s="72" t="s">
        <v>257</v>
      </c>
      <c r="H765" s="72">
        <v>17.071100000000001</v>
      </c>
      <c r="I765" s="72">
        <v>27315.421900000001</v>
      </c>
      <c r="J765" s="70">
        <v>281.0926</v>
      </c>
      <c r="K765" s="72">
        <v>2691.7944000000002</v>
      </c>
      <c r="L765" s="72">
        <v>96.126999999999995</v>
      </c>
      <c r="M765" s="70">
        <v>10.9054</v>
      </c>
      <c r="N765" s="77">
        <v>122.82</v>
      </c>
      <c r="O765" s="70">
        <v>4</v>
      </c>
      <c r="P765" s="70"/>
      <c r="Q765" s="62" t="s">
        <v>258</v>
      </c>
    </row>
    <row r="766" spans="1:17" ht="13.8" customHeight="1" x14ac:dyDescent="0.3">
      <c r="A766" s="73" t="s">
        <v>329</v>
      </c>
      <c r="B766" s="74">
        <f>IFERROR(INDEX('Boulder Sample Log'!A$5:A$204,MATCH(A766,'Boulder Sample Log'!E$5:E$204,0)),"")</f>
        <v>46129</v>
      </c>
      <c r="C766" s="73">
        <v>901</v>
      </c>
      <c r="D766" s="73" t="s">
        <v>256</v>
      </c>
      <c r="E766" s="73">
        <v>1</v>
      </c>
      <c r="F766" s="75">
        <v>6.0282</v>
      </c>
      <c r="G766" s="75" t="s">
        <v>257</v>
      </c>
      <c r="H766" s="75">
        <v>18.944299999999998</v>
      </c>
      <c r="I766" s="75">
        <v>27671.103500000001</v>
      </c>
      <c r="J766" s="73">
        <v>291.53140000000002</v>
      </c>
      <c r="K766" s="75">
        <v>3829.2494999999999</v>
      </c>
      <c r="L766" s="75">
        <v>100.3214</v>
      </c>
      <c r="M766" s="73">
        <v>16.410499999999999</v>
      </c>
      <c r="N766" s="76">
        <v>122.7</v>
      </c>
      <c r="O766" s="73">
        <v>4</v>
      </c>
      <c r="P766" s="73"/>
      <c r="Q766" s="66" t="s">
        <v>258</v>
      </c>
    </row>
    <row r="767" spans="1:17" ht="13.8" customHeight="1" x14ac:dyDescent="0.3">
      <c r="A767" s="70" t="s">
        <v>329</v>
      </c>
      <c r="B767" s="71">
        <f>IFERROR(INDEX('Boulder Sample Log'!A$5:A$204,MATCH(A767,'Boulder Sample Log'!E$5:E$204,0)),"")</f>
        <v>46129</v>
      </c>
      <c r="C767" s="70">
        <v>902</v>
      </c>
      <c r="D767" s="70" t="s">
        <v>256</v>
      </c>
      <c r="E767" s="70">
        <v>2</v>
      </c>
      <c r="F767" s="72">
        <v>3.7317999999999998</v>
      </c>
      <c r="G767" s="72" t="s">
        <v>257</v>
      </c>
      <c r="H767" s="72">
        <v>9.2075999999999993</v>
      </c>
      <c r="I767" s="72">
        <v>31935.091799999998</v>
      </c>
      <c r="J767" s="70">
        <v>144.0008</v>
      </c>
      <c r="K767" s="72">
        <v>4994.9258</v>
      </c>
      <c r="L767" s="72">
        <v>70.535200000000003</v>
      </c>
      <c r="M767" s="70">
        <v>9.468</v>
      </c>
      <c r="N767" s="77">
        <v>120.27</v>
      </c>
      <c r="O767" s="70">
        <v>4</v>
      </c>
      <c r="P767" s="70"/>
      <c r="Q767" s="62" t="s">
        <v>258</v>
      </c>
    </row>
    <row r="768" spans="1:17" ht="13.8" customHeight="1" x14ac:dyDescent="0.3">
      <c r="A768" s="73" t="s">
        <v>329</v>
      </c>
      <c r="B768" s="74">
        <f>IFERROR(INDEX('Boulder Sample Log'!A$5:A$204,MATCH(A768,'Boulder Sample Log'!E$5:E$204,0)),"")</f>
        <v>46129</v>
      </c>
      <c r="C768" s="73">
        <v>903</v>
      </c>
      <c r="D768" s="73" t="s">
        <v>256</v>
      </c>
      <c r="E768" s="73">
        <v>2</v>
      </c>
      <c r="F768" s="75">
        <v>7.4196</v>
      </c>
      <c r="G768" s="75" t="s">
        <v>257</v>
      </c>
      <c r="H768" s="75">
        <v>6.1867000000000001</v>
      </c>
      <c r="I768" s="75">
        <v>32693.9863</v>
      </c>
      <c r="J768" s="73">
        <v>135.77889999999999</v>
      </c>
      <c r="K768" s="75">
        <v>5174.7578000000003</v>
      </c>
      <c r="L768" s="75">
        <v>61.318899999999999</v>
      </c>
      <c r="M768" s="73">
        <v>6.9604999999999997</v>
      </c>
      <c r="N768" s="76">
        <v>120.19</v>
      </c>
      <c r="O768" s="73">
        <v>4</v>
      </c>
      <c r="P768" s="73"/>
      <c r="Q768" s="66" t="s">
        <v>258</v>
      </c>
    </row>
    <row r="769" spans="1:17" ht="13.8" customHeight="1" x14ac:dyDescent="0.3">
      <c r="A769" s="70" t="s">
        <v>329</v>
      </c>
      <c r="B769" s="71">
        <f>IFERROR(INDEX('Boulder Sample Log'!A$5:A$204,MATCH(A769,'Boulder Sample Log'!E$5:E$204,0)),"")</f>
        <v>46129</v>
      </c>
      <c r="C769" s="70">
        <v>904</v>
      </c>
      <c r="D769" s="70" t="s">
        <v>256</v>
      </c>
      <c r="E769" s="70">
        <v>3</v>
      </c>
      <c r="F769" s="72">
        <v>3.7881</v>
      </c>
      <c r="G769" s="72" t="s">
        <v>257</v>
      </c>
      <c r="H769" s="72">
        <v>8.7409999999999997</v>
      </c>
      <c r="I769" s="72">
        <v>32831.570299999999</v>
      </c>
      <c r="J769" s="70">
        <v>295.19659999999999</v>
      </c>
      <c r="K769" s="72">
        <v>8477.5185999999994</v>
      </c>
      <c r="L769" s="72">
        <v>126.21469999999999</v>
      </c>
      <c r="M769" s="70">
        <v>31.6435</v>
      </c>
      <c r="N769" s="77">
        <v>120.08</v>
      </c>
      <c r="O769" s="70">
        <v>4</v>
      </c>
      <c r="P769" s="70"/>
      <c r="Q769" s="62" t="s">
        <v>258</v>
      </c>
    </row>
    <row r="770" spans="1:17" ht="13.8" customHeight="1" x14ac:dyDescent="0.3">
      <c r="A770" s="73" t="s">
        <v>329</v>
      </c>
      <c r="B770" s="74">
        <f>IFERROR(INDEX('Boulder Sample Log'!A$5:A$204,MATCH(A770,'Boulder Sample Log'!E$5:E$204,0)),"")</f>
        <v>46129</v>
      </c>
      <c r="C770" s="73">
        <v>905</v>
      </c>
      <c r="D770" s="73" t="s">
        <v>256</v>
      </c>
      <c r="E770" s="73">
        <v>3</v>
      </c>
      <c r="F770" s="75">
        <v>6.1306000000000003</v>
      </c>
      <c r="G770" s="75" t="s">
        <v>257</v>
      </c>
      <c r="H770" s="75">
        <v>11.0352</v>
      </c>
      <c r="I770" s="75">
        <v>33240.308599999997</v>
      </c>
      <c r="J770" s="73">
        <v>309.97160000000002</v>
      </c>
      <c r="K770" s="75">
        <v>7453.6157000000003</v>
      </c>
      <c r="L770" s="75">
        <v>139.00749999999999</v>
      </c>
      <c r="M770" s="73">
        <v>23.799800000000001</v>
      </c>
      <c r="N770" s="76">
        <v>120.33</v>
      </c>
      <c r="O770" s="73">
        <v>4</v>
      </c>
      <c r="P770" s="73"/>
      <c r="Q770" s="66" t="s">
        <v>258</v>
      </c>
    </row>
    <row r="771" spans="1:17" ht="13.8" customHeight="1" x14ac:dyDescent="0.3">
      <c r="A771" s="70" t="s">
        <v>329</v>
      </c>
      <c r="B771" s="71">
        <f>IFERROR(INDEX('Boulder Sample Log'!A$5:A$204,MATCH(A771,'Boulder Sample Log'!E$5:E$204,0)),"")</f>
        <v>46129</v>
      </c>
      <c r="C771" s="70">
        <v>906</v>
      </c>
      <c r="D771" s="70" t="s">
        <v>256</v>
      </c>
      <c r="E771" s="70">
        <v>4</v>
      </c>
      <c r="F771" s="72" t="s">
        <v>257</v>
      </c>
      <c r="G771" s="72" t="s">
        <v>257</v>
      </c>
      <c r="H771" s="72">
        <v>3.4037000000000002</v>
      </c>
      <c r="I771" s="72">
        <v>28551.341799999998</v>
      </c>
      <c r="J771" s="70" t="s">
        <v>257</v>
      </c>
      <c r="K771" s="72">
        <v>5532.2295000000004</v>
      </c>
      <c r="L771" s="72">
        <v>121.13290000000001</v>
      </c>
      <c r="M771" s="70">
        <v>10.8033</v>
      </c>
      <c r="N771" s="77">
        <v>122.84</v>
      </c>
      <c r="O771" s="70">
        <v>4</v>
      </c>
      <c r="P771" s="70"/>
      <c r="Q771" s="62" t="s">
        <v>258</v>
      </c>
    </row>
    <row r="772" spans="1:17" ht="13.8" customHeight="1" x14ac:dyDescent="0.3">
      <c r="A772" s="73" t="s">
        <v>329</v>
      </c>
      <c r="B772" s="74">
        <f>IFERROR(INDEX('Boulder Sample Log'!A$5:A$204,MATCH(A772,'Boulder Sample Log'!E$5:E$204,0)),"")</f>
        <v>46129</v>
      </c>
      <c r="C772" s="73">
        <v>907</v>
      </c>
      <c r="D772" s="73" t="s">
        <v>256</v>
      </c>
      <c r="E772" s="73">
        <v>4</v>
      </c>
      <c r="F772" s="75">
        <v>8.2895000000000003</v>
      </c>
      <c r="G772" s="75" t="s">
        <v>257</v>
      </c>
      <c r="H772" s="75">
        <v>6.5913000000000004</v>
      </c>
      <c r="I772" s="75">
        <v>44897.75</v>
      </c>
      <c r="J772" s="73">
        <v>29.252400000000002</v>
      </c>
      <c r="K772" s="75">
        <v>5462.6112999999996</v>
      </c>
      <c r="L772" s="75">
        <v>133.2841</v>
      </c>
      <c r="M772" s="73">
        <v>16.4773</v>
      </c>
      <c r="N772" s="76">
        <v>120.29</v>
      </c>
      <c r="O772" s="73">
        <v>4</v>
      </c>
      <c r="P772" s="73"/>
      <c r="Q772" s="66" t="s">
        <v>258</v>
      </c>
    </row>
    <row r="773" spans="1:17" ht="13.8" customHeight="1" x14ac:dyDescent="0.3">
      <c r="A773" s="70" t="s">
        <v>329</v>
      </c>
      <c r="B773" s="71">
        <f>IFERROR(INDEX('Boulder Sample Log'!A$5:A$204,MATCH(A773,'Boulder Sample Log'!E$5:E$204,0)),"")</f>
        <v>46129</v>
      </c>
      <c r="C773" s="70">
        <v>908</v>
      </c>
      <c r="D773" s="70" t="s">
        <v>256</v>
      </c>
      <c r="E773" s="70">
        <v>4</v>
      </c>
      <c r="F773" s="72" t="s">
        <v>257</v>
      </c>
      <c r="G773" s="72" t="s">
        <v>257</v>
      </c>
      <c r="H773" s="72">
        <v>19.399999999999999</v>
      </c>
      <c r="I773" s="72">
        <v>39142</v>
      </c>
      <c r="J773" s="70">
        <v>147.93690000000001</v>
      </c>
      <c r="K773" s="72" t="s">
        <v>257</v>
      </c>
      <c r="L773" s="72">
        <v>160.5829</v>
      </c>
      <c r="M773" s="70">
        <v>108.9624</v>
      </c>
      <c r="N773" s="77">
        <v>53.57</v>
      </c>
      <c r="O773" s="70">
        <v>2</v>
      </c>
      <c r="P773" s="70"/>
      <c r="Q773" s="62" t="s">
        <v>258</v>
      </c>
    </row>
    <row r="774" spans="1:17" ht="13.8" customHeight="1" x14ac:dyDescent="0.3">
      <c r="A774" s="73" t="s">
        <v>329</v>
      </c>
      <c r="B774" s="74">
        <f>IFERROR(INDEX('Boulder Sample Log'!A$5:A$204,MATCH(A774,'Boulder Sample Log'!E$5:E$204,0)),"")</f>
        <v>46129</v>
      </c>
      <c r="C774" s="73">
        <v>909</v>
      </c>
      <c r="D774" s="73" t="s">
        <v>256</v>
      </c>
      <c r="E774" s="73">
        <v>4</v>
      </c>
      <c r="F774" s="75" t="s">
        <v>257</v>
      </c>
      <c r="G774" s="75" t="s">
        <v>257</v>
      </c>
      <c r="H774" s="75" t="s">
        <v>257</v>
      </c>
      <c r="I774" s="75">
        <v>43666.371099999997</v>
      </c>
      <c r="J774" s="73" t="s">
        <v>257</v>
      </c>
      <c r="K774" s="75" t="s">
        <v>257</v>
      </c>
      <c r="L774" s="75" t="s">
        <v>257</v>
      </c>
      <c r="M774" s="73" t="s">
        <v>257</v>
      </c>
      <c r="N774" s="76">
        <v>2.11</v>
      </c>
      <c r="O774" s="73">
        <v>1</v>
      </c>
      <c r="P774" s="73"/>
      <c r="Q774" s="66" t="s">
        <v>258</v>
      </c>
    </row>
    <row r="775" spans="1:17" ht="13.8" customHeight="1" x14ac:dyDescent="0.3">
      <c r="A775" s="70" t="s">
        <v>329</v>
      </c>
      <c r="B775" s="71">
        <f>IFERROR(INDEX('Boulder Sample Log'!A$5:A$204,MATCH(A775,'Boulder Sample Log'!E$5:E$204,0)),"")</f>
        <v>46129</v>
      </c>
      <c r="C775" s="70">
        <v>910</v>
      </c>
      <c r="D775" s="70" t="s">
        <v>256</v>
      </c>
      <c r="E775" s="70">
        <v>5</v>
      </c>
      <c r="F775" s="72">
        <v>4.8979999999999997</v>
      </c>
      <c r="G775" s="72" t="s">
        <v>257</v>
      </c>
      <c r="H775" s="72">
        <v>14.2484</v>
      </c>
      <c r="I775" s="72">
        <v>31704.109400000001</v>
      </c>
      <c r="J775" s="70">
        <v>118.7255</v>
      </c>
      <c r="K775" s="72">
        <v>5317.5752000000002</v>
      </c>
      <c r="L775" s="72">
        <v>76.746399999999994</v>
      </c>
      <c r="M775" s="70">
        <v>23.982800000000001</v>
      </c>
      <c r="N775" s="77">
        <v>122.93</v>
      </c>
      <c r="O775" s="70">
        <v>4</v>
      </c>
      <c r="P775" s="70"/>
      <c r="Q775" s="62" t="s">
        <v>258</v>
      </c>
    </row>
    <row r="776" spans="1:17" ht="13.8" customHeight="1" x14ac:dyDescent="0.3">
      <c r="A776" s="73" t="s">
        <v>329</v>
      </c>
      <c r="B776" s="74">
        <f>IFERROR(INDEX('Boulder Sample Log'!A$5:A$204,MATCH(A776,'Boulder Sample Log'!E$5:E$204,0)),"")</f>
        <v>46129</v>
      </c>
      <c r="C776" s="73">
        <v>911</v>
      </c>
      <c r="D776" s="73" t="s">
        <v>256</v>
      </c>
      <c r="E776" s="73">
        <v>5</v>
      </c>
      <c r="F776" s="75">
        <v>6.7881999999999998</v>
      </c>
      <c r="G776" s="75" t="s">
        <v>257</v>
      </c>
      <c r="H776" s="75">
        <v>7.8470000000000004</v>
      </c>
      <c r="I776" s="75">
        <v>37321.867200000001</v>
      </c>
      <c r="J776" s="73">
        <v>139.24100000000001</v>
      </c>
      <c r="K776" s="75">
        <v>4224.3706000000002</v>
      </c>
      <c r="L776" s="75">
        <v>88.6417</v>
      </c>
      <c r="M776" s="73">
        <v>22.5124</v>
      </c>
      <c r="N776" s="76">
        <v>122.85</v>
      </c>
      <c r="O776" s="73">
        <v>4</v>
      </c>
      <c r="P776" s="73"/>
      <c r="Q776" s="66" t="s">
        <v>258</v>
      </c>
    </row>
    <row r="777" spans="1:17" ht="13.8" customHeight="1" x14ac:dyDescent="0.3">
      <c r="A777" s="70" t="s">
        <v>330</v>
      </c>
      <c r="B777" s="71">
        <f>IFERROR(INDEX('Boulder Sample Log'!A$5:A$204,MATCH(A777,'Boulder Sample Log'!E$5:E$204,0)),"")</f>
        <v>46129</v>
      </c>
      <c r="C777" s="70">
        <v>912</v>
      </c>
      <c r="D777" s="70" t="s">
        <v>256</v>
      </c>
      <c r="E777" s="70">
        <v>1</v>
      </c>
      <c r="F777" s="72" t="s">
        <v>257</v>
      </c>
      <c r="G777" s="72">
        <v>6.0449000000000002</v>
      </c>
      <c r="H777" s="72">
        <v>5.4070999999999998</v>
      </c>
      <c r="I777" s="72">
        <v>47473.613299999997</v>
      </c>
      <c r="J777" s="70">
        <v>433.87270000000001</v>
      </c>
      <c r="K777" s="72">
        <v>8732.1767999999993</v>
      </c>
      <c r="L777" s="72">
        <v>92.830500000000001</v>
      </c>
      <c r="M777" s="70">
        <v>18.587299999999999</v>
      </c>
      <c r="N777" s="77">
        <v>120.37</v>
      </c>
      <c r="O777" s="70">
        <v>4</v>
      </c>
      <c r="P777" s="70"/>
      <c r="Q777" s="62" t="s">
        <v>258</v>
      </c>
    </row>
    <row r="778" spans="1:17" ht="13.8" customHeight="1" x14ac:dyDescent="0.3">
      <c r="A778" s="73" t="s">
        <v>330</v>
      </c>
      <c r="B778" s="74">
        <f>IFERROR(INDEX('Boulder Sample Log'!A$5:A$204,MATCH(A778,'Boulder Sample Log'!E$5:E$204,0)),"")</f>
        <v>46129</v>
      </c>
      <c r="C778" s="73">
        <v>913</v>
      </c>
      <c r="D778" s="73" t="s">
        <v>256</v>
      </c>
      <c r="E778" s="73">
        <v>1</v>
      </c>
      <c r="F778" s="75" t="s">
        <v>257</v>
      </c>
      <c r="G778" s="75">
        <v>5.4200999999999997</v>
      </c>
      <c r="H778" s="75">
        <v>8.2233000000000001</v>
      </c>
      <c r="I778" s="75">
        <v>44767.574200000003</v>
      </c>
      <c r="J778" s="73">
        <v>514.87710000000004</v>
      </c>
      <c r="K778" s="75">
        <v>8363.0156000000006</v>
      </c>
      <c r="L778" s="75">
        <v>85.729100000000003</v>
      </c>
      <c r="M778" s="73">
        <v>13.4779</v>
      </c>
      <c r="N778" s="76">
        <v>120.46</v>
      </c>
      <c r="O778" s="73">
        <v>4</v>
      </c>
      <c r="P778" s="73"/>
      <c r="Q778" s="66" t="s">
        <v>258</v>
      </c>
    </row>
    <row r="779" spans="1:17" ht="13.8" customHeight="1" x14ac:dyDescent="0.3">
      <c r="A779" s="70" t="s">
        <v>330</v>
      </c>
      <c r="B779" s="71">
        <f>IFERROR(INDEX('Boulder Sample Log'!A$5:A$204,MATCH(A779,'Boulder Sample Log'!E$5:E$204,0)),"")</f>
        <v>46129</v>
      </c>
      <c r="C779" s="70">
        <v>914</v>
      </c>
      <c r="D779" s="70" t="s">
        <v>256</v>
      </c>
      <c r="E779" s="70">
        <v>2</v>
      </c>
      <c r="F779" s="72" t="s">
        <v>257</v>
      </c>
      <c r="G779" s="72" t="s">
        <v>257</v>
      </c>
      <c r="H779" s="72">
        <v>6.9829999999999997</v>
      </c>
      <c r="I779" s="72">
        <v>35646.871099999997</v>
      </c>
      <c r="J779" s="70">
        <v>529.774</v>
      </c>
      <c r="K779" s="72">
        <v>8410.7119000000002</v>
      </c>
      <c r="L779" s="72">
        <v>70.380099999999999</v>
      </c>
      <c r="M779" s="70">
        <v>8.3305000000000007</v>
      </c>
      <c r="N779" s="77">
        <v>120.1</v>
      </c>
      <c r="O779" s="70">
        <v>4</v>
      </c>
      <c r="P779" s="70"/>
      <c r="Q779" s="62" t="s">
        <v>258</v>
      </c>
    </row>
    <row r="780" spans="1:17" ht="13.8" customHeight="1" x14ac:dyDescent="0.3">
      <c r="A780" s="73" t="s">
        <v>330</v>
      </c>
      <c r="B780" s="74">
        <f>IFERROR(INDEX('Boulder Sample Log'!A$5:A$204,MATCH(A780,'Boulder Sample Log'!E$5:E$204,0)),"")</f>
        <v>46129</v>
      </c>
      <c r="C780" s="73">
        <v>915</v>
      </c>
      <c r="D780" s="73" t="s">
        <v>256</v>
      </c>
      <c r="E780" s="73">
        <v>2</v>
      </c>
      <c r="F780" s="75" t="s">
        <v>257</v>
      </c>
      <c r="G780" s="75">
        <v>4.1403999999999996</v>
      </c>
      <c r="H780" s="75">
        <v>7.0919999999999996</v>
      </c>
      <c r="I780" s="75">
        <v>41146.101600000002</v>
      </c>
      <c r="J780" s="73">
        <v>477.93310000000002</v>
      </c>
      <c r="K780" s="75">
        <v>8872.4228999999996</v>
      </c>
      <c r="L780" s="75">
        <v>78.414000000000001</v>
      </c>
      <c r="M780" s="73">
        <v>12.5749</v>
      </c>
      <c r="N780" s="76">
        <v>120.53</v>
      </c>
      <c r="O780" s="73">
        <v>4</v>
      </c>
      <c r="P780" s="73"/>
      <c r="Q780" s="66" t="s">
        <v>258</v>
      </c>
    </row>
    <row r="781" spans="1:17" ht="13.8" customHeight="1" x14ac:dyDescent="0.3">
      <c r="A781" s="70" t="s">
        <v>330</v>
      </c>
      <c r="B781" s="71">
        <f>IFERROR(INDEX('Boulder Sample Log'!A$5:A$204,MATCH(A781,'Boulder Sample Log'!E$5:E$204,0)),"")</f>
        <v>46129</v>
      </c>
      <c r="C781" s="70">
        <v>916</v>
      </c>
      <c r="D781" s="70" t="s">
        <v>256</v>
      </c>
      <c r="E781" s="70">
        <v>3</v>
      </c>
      <c r="F781" s="72" t="s">
        <v>257</v>
      </c>
      <c r="G781" s="72" t="s">
        <v>257</v>
      </c>
      <c r="H781" s="72" t="s">
        <v>257</v>
      </c>
      <c r="I781" s="72" t="s">
        <v>257</v>
      </c>
      <c r="J781" s="70">
        <v>442.27879999999999</v>
      </c>
      <c r="K781" s="72">
        <v>10499.502</v>
      </c>
      <c r="L781" s="72" t="s">
        <v>257</v>
      </c>
      <c r="M781" s="70" t="s">
        <v>257</v>
      </c>
      <c r="N781" s="77">
        <v>124.15</v>
      </c>
      <c r="O781" s="70">
        <v>4</v>
      </c>
      <c r="P781" s="70"/>
      <c r="Q781" s="62" t="s">
        <v>258</v>
      </c>
    </row>
    <row r="782" spans="1:17" ht="13.8" customHeight="1" x14ac:dyDescent="0.3">
      <c r="A782" s="73" t="s">
        <v>330</v>
      </c>
      <c r="B782" s="74">
        <f>IFERROR(INDEX('Boulder Sample Log'!A$5:A$204,MATCH(A782,'Boulder Sample Log'!E$5:E$204,0)),"")</f>
        <v>46129</v>
      </c>
      <c r="C782" s="73">
        <v>917</v>
      </c>
      <c r="D782" s="73" t="s">
        <v>256</v>
      </c>
      <c r="E782" s="73">
        <v>3</v>
      </c>
      <c r="F782" s="75" t="s">
        <v>257</v>
      </c>
      <c r="G782" s="75">
        <v>5.9397000000000002</v>
      </c>
      <c r="H782" s="75">
        <v>5.7552000000000003</v>
      </c>
      <c r="I782" s="75">
        <v>60800.746099999997</v>
      </c>
      <c r="J782" s="73">
        <v>440.53539999999998</v>
      </c>
      <c r="K782" s="75">
        <v>8751.8994000000002</v>
      </c>
      <c r="L782" s="75">
        <v>72.401799999999994</v>
      </c>
      <c r="M782" s="73">
        <v>30.742699999999999</v>
      </c>
      <c r="N782" s="76">
        <v>122.97</v>
      </c>
      <c r="O782" s="73">
        <v>4</v>
      </c>
      <c r="P782" s="73"/>
      <c r="Q782" s="66" t="s">
        <v>258</v>
      </c>
    </row>
    <row r="783" spans="1:17" ht="13.8" customHeight="1" x14ac:dyDescent="0.3">
      <c r="A783" s="70" t="s">
        <v>330</v>
      </c>
      <c r="B783" s="71">
        <f>IFERROR(INDEX('Boulder Sample Log'!A$5:A$204,MATCH(A783,'Boulder Sample Log'!E$5:E$204,0)),"")</f>
        <v>46129</v>
      </c>
      <c r="C783" s="70">
        <v>918</v>
      </c>
      <c r="D783" s="70" t="s">
        <v>256</v>
      </c>
      <c r="E783" s="70">
        <v>4</v>
      </c>
      <c r="F783" s="72" t="s">
        <v>257</v>
      </c>
      <c r="G783" s="72">
        <v>3.0623</v>
      </c>
      <c r="H783" s="72">
        <v>5.7750000000000004</v>
      </c>
      <c r="I783" s="72">
        <v>50357.101600000002</v>
      </c>
      <c r="J783" s="70">
        <v>465.86259999999999</v>
      </c>
      <c r="K783" s="72">
        <v>10531.8145</v>
      </c>
      <c r="L783" s="72">
        <v>85.585899999999995</v>
      </c>
      <c r="M783" s="70">
        <v>14.429</v>
      </c>
      <c r="N783" s="77">
        <v>122.81</v>
      </c>
      <c r="O783" s="70">
        <v>4</v>
      </c>
      <c r="P783" s="70"/>
      <c r="Q783" s="62" t="s">
        <v>258</v>
      </c>
    </row>
    <row r="784" spans="1:17" ht="13.8" customHeight="1" x14ac:dyDescent="0.3">
      <c r="A784" s="73" t="s">
        <v>330</v>
      </c>
      <c r="B784" s="74">
        <f>IFERROR(INDEX('Boulder Sample Log'!A$5:A$204,MATCH(A784,'Boulder Sample Log'!E$5:E$204,0)),"")</f>
        <v>46129</v>
      </c>
      <c r="C784" s="73">
        <v>919</v>
      </c>
      <c r="D784" s="73" t="s">
        <v>256</v>
      </c>
      <c r="E784" s="73">
        <v>4</v>
      </c>
      <c r="F784" s="75" t="s">
        <v>257</v>
      </c>
      <c r="G784" s="75" t="s">
        <v>257</v>
      </c>
      <c r="H784" s="75">
        <v>5.8479000000000001</v>
      </c>
      <c r="I784" s="75">
        <v>48704.707000000002</v>
      </c>
      <c r="J784" s="73">
        <v>437.70069999999998</v>
      </c>
      <c r="K784" s="75">
        <v>13777.281199999999</v>
      </c>
      <c r="L784" s="75">
        <v>70.049899999999994</v>
      </c>
      <c r="M784" s="73">
        <v>9.7708999999999993</v>
      </c>
      <c r="N784" s="76">
        <v>120.34</v>
      </c>
      <c r="O784" s="73">
        <v>4</v>
      </c>
      <c r="P784" s="73"/>
      <c r="Q784" s="66" t="s">
        <v>258</v>
      </c>
    </row>
    <row r="785" spans="1:17" ht="13.8" customHeight="1" x14ac:dyDescent="0.3">
      <c r="A785" s="70" t="s">
        <v>330</v>
      </c>
      <c r="B785" s="71">
        <f>IFERROR(INDEX('Boulder Sample Log'!A$5:A$204,MATCH(A785,'Boulder Sample Log'!E$5:E$204,0)),"")</f>
        <v>46129</v>
      </c>
      <c r="C785" s="70">
        <v>920</v>
      </c>
      <c r="D785" s="70" t="s">
        <v>256</v>
      </c>
      <c r="E785" s="70">
        <v>5</v>
      </c>
      <c r="F785" s="72" t="s">
        <v>257</v>
      </c>
      <c r="G785" s="72">
        <v>6.6696999999999997</v>
      </c>
      <c r="H785" s="72">
        <v>7.7191000000000001</v>
      </c>
      <c r="I785" s="72">
        <v>47985.929700000001</v>
      </c>
      <c r="J785" s="70">
        <v>442.39609999999999</v>
      </c>
      <c r="K785" s="72">
        <v>13061.2549</v>
      </c>
      <c r="L785" s="72">
        <v>57.361800000000002</v>
      </c>
      <c r="M785" s="70">
        <v>11.133599999999999</v>
      </c>
      <c r="N785" s="77">
        <v>123.01</v>
      </c>
      <c r="O785" s="70">
        <v>4</v>
      </c>
      <c r="P785" s="70"/>
      <c r="Q785" s="62" t="s">
        <v>258</v>
      </c>
    </row>
    <row r="786" spans="1:17" ht="13.8" customHeight="1" x14ac:dyDescent="0.3">
      <c r="A786" s="73" t="s">
        <v>330</v>
      </c>
      <c r="B786" s="74">
        <f>IFERROR(INDEX('Boulder Sample Log'!A$5:A$204,MATCH(A786,'Boulder Sample Log'!E$5:E$204,0)),"")</f>
        <v>46129</v>
      </c>
      <c r="C786" s="73">
        <v>921</v>
      </c>
      <c r="D786" s="73" t="s">
        <v>256</v>
      </c>
      <c r="E786" s="73">
        <v>5</v>
      </c>
      <c r="F786" s="75" t="s">
        <v>257</v>
      </c>
      <c r="G786" s="75">
        <v>5.2752999999999997</v>
      </c>
      <c r="H786" s="75">
        <v>6.5148000000000001</v>
      </c>
      <c r="I786" s="75">
        <v>40401.878900000003</v>
      </c>
      <c r="J786" s="73">
        <v>454.2835</v>
      </c>
      <c r="K786" s="75">
        <v>6962.4443000000001</v>
      </c>
      <c r="L786" s="75">
        <v>58.714300000000001</v>
      </c>
      <c r="M786" s="73">
        <v>5.7671999999999999</v>
      </c>
      <c r="N786" s="76">
        <v>120.28</v>
      </c>
      <c r="O786" s="73">
        <v>4</v>
      </c>
      <c r="P786" s="73"/>
      <c r="Q786" s="66" t="s">
        <v>258</v>
      </c>
    </row>
    <row r="787" spans="1:17" ht="13.8" customHeight="1" x14ac:dyDescent="0.3">
      <c r="A787" s="70" t="s">
        <v>330</v>
      </c>
      <c r="B787" s="71">
        <f>IFERROR(INDEX('Boulder Sample Log'!A$5:A$204,MATCH(A787,'Boulder Sample Log'!E$5:E$204,0)),"")</f>
        <v>46129</v>
      </c>
      <c r="C787" s="70">
        <v>922</v>
      </c>
      <c r="D787" s="70" t="s">
        <v>256</v>
      </c>
      <c r="E787" s="70">
        <v>5</v>
      </c>
      <c r="F787" s="72" t="s">
        <v>257</v>
      </c>
      <c r="G787" s="72" t="s">
        <v>257</v>
      </c>
      <c r="H787" s="72">
        <v>7.2809999999999997</v>
      </c>
      <c r="I787" s="72">
        <v>50190.121099999997</v>
      </c>
      <c r="J787" s="70">
        <v>463.73480000000001</v>
      </c>
      <c r="K787" s="72">
        <v>11667.555700000001</v>
      </c>
      <c r="L787" s="72">
        <v>73.985100000000003</v>
      </c>
      <c r="M787" s="70">
        <v>12.0436</v>
      </c>
      <c r="N787" s="77">
        <v>120.35</v>
      </c>
      <c r="O787" s="70">
        <v>4</v>
      </c>
      <c r="P787" s="70"/>
      <c r="Q787" s="62" t="s">
        <v>258</v>
      </c>
    </row>
    <row r="788" spans="1:17" ht="13.8" customHeight="1" x14ac:dyDescent="0.3">
      <c r="A788" s="73" t="s">
        <v>331</v>
      </c>
      <c r="B788" s="74">
        <f>IFERROR(INDEX('Boulder Sample Log'!A$5:A$204,MATCH(A788,'Boulder Sample Log'!E$5:E$204,0)),"")</f>
        <v>46129</v>
      </c>
      <c r="C788" s="73">
        <v>923</v>
      </c>
      <c r="D788" s="73" t="s">
        <v>256</v>
      </c>
      <c r="E788" s="73">
        <v>1</v>
      </c>
      <c r="F788" s="75" t="s">
        <v>257</v>
      </c>
      <c r="G788" s="75">
        <v>10.2561</v>
      </c>
      <c r="H788" s="75">
        <v>6.4888000000000003</v>
      </c>
      <c r="I788" s="75">
        <v>33240.9375</v>
      </c>
      <c r="J788" s="73">
        <v>478.0985</v>
      </c>
      <c r="K788" s="75">
        <v>38458.925799999997</v>
      </c>
      <c r="L788" s="75">
        <v>82.5471</v>
      </c>
      <c r="M788" s="73">
        <v>16.935500000000001</v>
      </c>
      <c r="N788" s="76">
        <v>122.84</v>
      </c>
      <c r="O788" s="73">
        <v>4</v>
      </c>
      <c r="P788" s="73"/>
      <c r="Q788" s="66" t="s">
        <v>258</v>
      </c>
    </row>
    <row r="789" spans="1:17" ht="13.8" customHeight="1" x14ac:dyDescent="0.3">
      <c r="A789" s="70" t="s">
        <v>331</v>
      </c>
      <c r="B789" s="71">
        <f>IFERROR(INDEX('Boulder Sample Log'!A$5:A$204,MATCH(A789,'Boulder Sample Log'!E$5:E$204,0)),"")</f>
        <v>46129</v>
      </c>
      <c r="C789" s="70">
        <v>924</v>
      </c>
      <c r="D789" s="70" t="s">
        <v>256</v>
      </c>
      <c r="E789" s="70">
        <v>1</v>
      </c>
      <c r="F789" s="72" t="s">
        <v>257</v>
      </c>
      <c r="G789" s="72">
        <v>13.4801</v>
      </c>
      <c r="H789" s="72">
        <v>7.7114000000000003</v>
      </c>
      <c r="I789" s="72">
        <v>35004.652300000002</v>
      </c>
      <c r="J789" s="70">
        <v>479.49349999999998</v>
      </c>
      <c r="K789" s="72">
        <v>34591.468800000002</v>
      </c>
      <c r="L789" s="72">
        <v>93.767499999999998</v>
      </c>
      <c r="M789" s="70">
        <v>19.690899999999999</v>
      </c>
      <c r="N789" s="77">
        <v>123.09</v>
      </c>
      <c r="O789" s="70">
        <v>4</v>
      </c>
      <c r="P789" s="70"/>
      <c r="Q789" s="62" t="s">
        <v>258</v>
      </c>
    </row>
    <row r="790" spans="1:17" ht="13.8" customHeight="1" x14ac:dyDescent="0.3">
      <c r="A790" s="73" t="s">
        <v>331</v>
      </c>
      <c r="B790" s="74">
        <f>IFERROR(INDEX('Boulder Sample Log'!A$5:A$204,MATCH(A790,'Boulder Sample Log'!E$5:E$204,0)),"")</f>
        <v>46129</v>
      </c>
      <c r="C790" s="73">
        <v>925</v>
      </c>
      <c r="D790" s="73" t="s">
        <v>256</v>
      </c>
      <c r="E790" s="73">
        <v>2</v>
      </c>
      <c r="F790" s="75" t="s">
        <v>257</v>
      </c>
      <c r="G790" s="75">
        <v>23.656400000000001</v>
      </c>
      <c r="H790" s="75">
        <v>7.6764000000000001</v>
      </c>
      <c r="I790" s="75">
        <v>59784.378900000003</v>
      </c>
      <c r="J790" s="73">
        <v>208.79390000000001</v>
      </c>
      <c r="K790" s="75">
        <v>49871.808599999997</v>
      </c>
      <c r="L790" s="75">
        <v>43.8354</v>
      </c>
      <c r="M790" s="73">
        <v>27.672899999999998</v>
      </c>
      <c r="N790" s="76">
        <v>120.38</v>
      </c>
      <c r="O790" s="73">
        <v>4</v>
      </c>
      <c r="P790" s="73"/>
      <c r="Q790" s="66" t="s">
        <v>258</v>
      </c>
    </row>
    <row r="791" spans="1:17" ht="13.8" customHeight="1" x14ac:dyDescent="0.3">
      <c r="A791" s="70" t="s">
        <v>331</v>
      </c>
      <c r="B791" s="71">
        <f>IFERROR(INDEX('Boulder Sample Log'!A$5:A$204,MATCH(A791,'Boulder Sample Log'!E$5:E$204,0)),"")</f>
        <v>46129</v>
      </c>
      <c r="C791" s="70">
        <v>926</v>
      </c>
      <c r="D791" s="70" t="s">
        <v>256</v>
      </c>
      <c r="E791" s="70">
        <v>2</v>
      </c>
      <c r="F791" s="72" t="s">
        <v>257</v>
      </c>
      <c r="G791" s="72">
        <v>19.910699999999999</v>
      </c>
      <c r="H791" s="72">
        <v>6.7662000000000004</v>
      </c>
      <c r="I791" s="72">
        <v>58969.535199999998</v>
      </c>
      <c r="J791" s="70">
        <v>195.7739</v>
      </c>
      <c r="K791" s="72">
        <v>46998.726600000002</v>
      </c>
      <c r="L791" s="72">
        <v>39.943600000000004</v>
      </c>
      <c r="M791" s="70">
        <v>31.343</v>
      </c>
      <c r="N791" s="77">
        <v>123.15</v>
      </c>
      <c r="O791" s="70">
        <v>4</v>
      </c>
      <c r="P791" s="70"/>
      <c r="Q791" s="62" t="s">
        <v>258</v>
      </c>
    </row>
    <row r="792" spans="1:17" ht="13.8" customHeight="1" x14ac:dyDescent="0.3">
      <c r="A792" s="73" t="s">
        <v>331</v>
      </c>
      <c r="B792" s="74">
        <f>IFERROR(INDEX('Boulder Sample Log'!A$5:A$204,MATCH(A792,'Boulder Sample Log'!E$5:E$204,0)),"")</f>
        <v>46129</v>
      </c>
      <c r="C792" s="73">
        <v>927</v>
      </c>
      <c r="D792" s="73" t="s">
        <v>256</v>
      </c>
      <c r="E792" s="73">
        <v>3</v>
      </c>
      <c r="F792" s="75" t="s">
        <v>257</v>
      </c>
      <c r="G792" s="75">
        <v>34.229900000000001</v>
      </c>
      <c r="H792" s="75">
        <v>9.2210000000000001</v>
      </c>
      <c r="I792" s="75">
        <v>38211.339800000002</v>
      </c>
      <c r="J792" s="73">
        <v>468.31990000000002</v>
      </c>
      <c r="K792" s="75">
        <v>28313.906200000001</v>
      </c>
      <c r="L792" s="75">
        <v>75.008200000000002</v>
      </c>
      <c r="M792" s="73">
        <v>22.062799999999999</v>
      </c>
      <c r="N792" s="76">
        <v>122.97</v>
      </c>
      <c r="O792" s="73">
        <v>4</v>
      </c>
      <c r="P792" s="73"/>
      <c r="Q792" s="66" t="s">
        <v>258</v>
      </c>
    </row>
    <row r="793" spans="1:17" ht="13.8" customHeight="1" x14ac:dyDescent="0.3">
      <c r="A793" s="70" t="s">
        <v>331</v>
      </c>
      <c r="B793" s="71">
        <f>IFERROR(INDEX('Boulder Sample Log'!A$5:A$204,MATCH(A793,'Boulder Sample Log'!E$5:E$204,0)),"")</f>
        <v>46129</v>
      </c>
      <c r="C793" s="70">
        <v>928</v>
      </c>
      <c r="D793" s="70" t="s">
        <v>256</v>
      </c>
      <c r="E793" s="70">
        <v>3</v>
      </c>
      <c r="F793" s="72" t="s">
        <v>257</v>
      </c>
      <c r="G793" s="72">
        <v>35.128300000000003</v>
      </c>
      <c r="H793" s="72">
        <v>7.8644999999999996</v>
      </c>
      <c r="I793" s="72">
        <v>39311.503900000003</v>
      </c>
      <c r="J793" s="70">
        <v>455.976</v>
      </c>
      <c r="K793" s="72">
        <v>29135.5723</v>
      </c>
      <c r="L793" s="72">
        <v>72.159800000000004</v>
      </c>
      <c r="M793" s="70">
        <v>17.634399999999999</v>
      </c>
      <c r="N793" s="77">
        <v>120.34</v>
      </c>
      <c r="O793" s="70">
        <v>4</v>
      </c>
      <c r="P793" s="70"/>
      <c r="Q793" s="62" t="s">
        <v>258</v>
      </c>
    </row>
    <row r="794" spans="1:17" ht="13.8" customHeight="1" x14ac:dyDescent="0.3">
      <c r="A794" s="73" t="s">
        <v>331</v>
      </c>
      <c r="B794" s="74">
        <f>IFERROR(INDEX('Boulder Sample Log'!A$5:A$204,MATCH(A794,'Boulder Sample Log'!E$5:E$204,0)),"")</f>
        <v>46129</v>
      </c>
      <c r="C794" s="73">
        <v>929</v>
      </c>
      <c r="D794" s="73" t="s">
        <v>256</v>
      </c>
      <c r="E794" s="73">
        <v>4</v>
      </c>
      <c r="F794" s="75" t="s">
        <v>257</v>
      </c>
      <c r="G794" s="75">
        <v>25.074999999999999</v>
      </c>
      <c r="H794" s="75">
        <v>6.9158999999999997</v>
      </c>
      <c r="I794" s="75">
        <v>38917.621099999997</v>
      </c>
      <c r="J794" s="73">
        <v>429.44970000000001</v>
      </c>
      <c r="K794" s="75">
        <v>15548.2559</v>
      </c>
      <c r="L794" s="75">
        <v>63.6479</v>
      </c>
      <c r="M794" s="73">
        <v>28.749199999999998</v>
      </c>
      <c r="N794" s="76">
        <v>122.86</v>
      </c>
      <c r="O794" s="73">
        <v>4</v>
      </c>
      <c r="P794" s="73"/>
      <c r="Q794" s="66" t="s">
        <v>258</v>
      </c>
    </row>
    <row r="795" spans="1:17" ht="13.8" customHeight="1" x14ac:dyDescent="0.3">
      <c r="A795" s="70" t="s">
        <v>331</v>
      </c>
      <c r="B795" s="71">
        <f>IFERROR(INDEX('Boulder Sample Log'!A$5:A$204,MATCH(A795,'Boulder Sample Log'!E$5:E$204,0)),"")</f>
        <v>46129</v>
      </c>
      <c r="C795" s="70">
        <v>930</v>
      </c>
      <c r="D795" s="70" t="s">
        <v>256</v>
      </c>
      <c r="E795" s="70">
        <v>4</v>
      </c>
      <c r="F795" s="72" t="s">
        <v>257</v>
      </c>
      <c r="G795" s="72">
        <v>21.382300000000001</v>
      </c>
      <c r="H795" s="72">
        <v>7.3182999999999998</v>
      </c>
      <c r="I795" s="72">
        <v>38775.621099999997</v>
      </c>
      <c r="J795" s="70">
        <v>430.08159999999998</v>
      </c>
      <c r="K795" s="72">
        <v>15048.5381</v>
      </c>
      <c r="L795" s="72">
        <v>66.182000000000002</v>
      </c>
      <c r="M795" s="70">
        <v>22.198899999999998</v>
      </c>
      <c r="N795" s="77">
        <v>122.97</v>
      </c>
      <c r="O795" s="70">
        <v>4</v>
      </c>
      <c r="P795" s="70"/>
      <c r="Q795" s="62" t="s">
        <v>258</v>
      </c>
    </row>
    <row r="796" spans="1:17" ht="13.8" customHeight="1" x14ac:dyDescent="0.3">
      <c r="A796" s="73" t="s">
        <v>331</v>
      </c>
      <c r="B796" s="74">
        <f>IFERROR(INDEX('Boulder Sample Log'!A$5:A$204,MATCH(A796,'Boulder Sample Log'!E$5:E$204,0)),"")</f>
        <v>46129</v>
      </c>
      <c r="C796" s="73">
        <v>931</v>
      </c>
      <c r="D796" s="73" t="s">
        <v>256</v>
      </c>
      <c r="E796" s="73">
        <v>5</v>
      </c>
      <c r="F796" s="75" t="s">
        <v>257</v>
      </c>
      <c r="G796" s="75">
        <v>26.0669</v>
      </c>
      <c r="H796" s="75">
        <v>8.4442000000000004</v>
      </c>
      <c r="I796" s="75">
        <v>33371.035199999998</v>
      </c>
      <c r="J796" s="73">
        <v>389.4701</v>
      </c>
      <c r="K796" s="75">
        <v>14511.5967</v>
      </c>
      <c r="L796" s="75">
        <v>82.505499999999998</v>
      </c>
      <c r="M796" s="73">
        <v>10.068300000000001</v>
      </c>
      <c r="N796" s="76">
        <v>120.45</v>
      </c>
      <c r="O796" s="73">
        <v>4</v>
      </c>
      <c r="P796" s="73"/>
      <c r="Q796" s="66" t="s">
        <v>258</v>
      </c>
    </row>
    <row r="797" spans="1:17" ht="13.8" customHeight="1" x14ac:dyDescent="0.3">
      <c r="A797" s="70" t="s">
        <v>331</v>
      </c>
      <c r="B797" s="71">
        <f>IFERROR(INDEX('Boulder Sample Log'!A$5:A$204,MATCH(A797,'Boulder Sample Log'!E$5:E$204,0)),"")</f>
        <v>46129</v>
      </c>
      <c r="C797" s="70">
        <v>932</v>
      </c>
      <c r="D797" s="70" t="s">
        <v>256</v>
      </c>
      <c r="E797" s="70">
        <v>5</v>
      </c>
      <c r="F797" s="72" t="s">
        <v>257</v>
      </c>
      <c r="G797" s="72">
        <v>24.113299999999999</v>
      </c>
      <c r="H797" s="72">
        <v>6.5589000000000004</v>
      </c>
      <c r="I797" s="72">
        <v>32757.0605</v>
      </c>
      <c r="J797" s="70">
        <v>380.1925</v>
      </c>
      <c r="K797" s="72">
        <v>14111.863300000001</v>
      </c>
      <c r="L797" s="72">
        <v>69.149500000000003</v>
      </c>
      <c r="M797" s="70">
        <v>9.5776000000000003</v>
      </c>
      <c r="N797" s="77">
        <v>122.77</v>
      </c>
      <c r="O797" s="70">
        <v>4</v>
      </c>
      <c r="P797" s="70"/>
      <c r="Q797" s="62" t="s">
        <v>258</v>
      </c>
    </row>
    <row r="798" spans="1:17" ht="13.8" customHeight="1" x14ac:dyDescent="0.3">
      <c r="A798" s="73" t="s">
        <v>332</v>
      </c>
      <c r="B798" s="74">
        <f>IFERROR(INDEX('Boulder Sample Log'!A$5:A$204,MATCH(A798,'Boulder Sample Log'!E$5:E$204,0)),"")</f>
        <v>46129</v>
      </c>
      <c r="C798" s="73">
        <v>933</v>
      </c>
      <c r="D798" s="73" t="s">
        <v>256</v>
      </c>
      <c r="E798" s="73">
        <v>1</v>
      </c>
      <c r="F798" s="75" t="s">
        <v>257</v>
      </c>
      <c r="G798" s="75">
        <v>4.2332999999999998</v>
      </c>
      <c r="H798" s="75">
        <v>7.8155999999999999</v>
      </c>
      <c r="I798" s="75">
        <v>40621.968800000002</v>
      </c>
      <c r="J798" s="73">
        <v>625.44150000000002</v>
      </c>
      <c r="K798" s="75">
        <v>3604.0895999999998</v>
      </c>
      <c r="L798" s="75">
        <v>365.7937</v>
      </c>
      <c r="M798" s="73">
        <v>40.305399999999999</v>
      </c>
      <c r="N798" s="76">
        <v>120.09</v>
      </c>
      <c r="O798" s="73">
        <v>4</v>
      </c>
      <c r="P798" s="73"/>
      <c r="Q798" s="66" t="s">
        <v>258</v>
      </c>
    </row>
    <row r="799" spans="1:17" ht="13.8" customHeight="1" x14ac:dyDescent="0.3">
      <c r="A799" s="70" t="s">
        <v>332</v>
      </c>
      <c r="B799" s="71">
        <f>IFERROR(INDEX('Boulder Sample Log'!A$5:A$204,MATCH(A799,'Boulder Sample Log'!E$5:E$204,0)),"")</f>
        <v>46129</v>
      </c>
      <c r="C799" s="70">
        <v>934</v>
      </c>
      <c r="D799" s="70" t="s">
        <v>256</v>
      </c>
      <c r="E799" s="70">
        <v>1</v>
      </c>
      <c r="F799" s="72" t="s">
        <v>257</v>
      </c>
      <c r="G799" s="72" t="s">
        <v>257</v>
      </c>
      <c r="H799" s="72">
        <v>4.3177000000000003</v>
      </c>
      <c r="I799" s="72">
        <v>36844.355499999998</v>
      </c>
      <c r="J799" s="70">
        <v>549.85069999999996</v>
      </c>
      <c r="K799" s="72">
        <v>1804.5817999999999</v>
      </c>
      <c r="L799" s="72">
        <v>280.73829999999998</v>
      </c>
      <c r="M799" s="70">
        <v>111.5168</v>
      </c>
      <c r="N799" s="77">
        <v>120.17</v>
      </c>
      <c r="O799" s="70">
        <v>4</v>
      </c>
      <c r="P799" s="70"/>
      <c r="Q799" s="62" t="s">
        <v>258</v>
      </c>
    </row>
    <row r="800" spans="1:17" ht="13.8" customHeight="1" x14ac:dyDescent="0.3">
      <c r="A800" s="73" t="s">
        <v>332</v>
      </c>
      <c r="B800" s="74">
        <f>IFERROR(INDEX('Boulder Sample Log'!A$5:A$204,MATCH(A800,'Boulder Sample Log'!E$5:E$204,0)),"")</f>
        <v>46129</v>
      </c>
      <c r="C800" s="73">
        <v>935</v>
      </c>
      <c r="D800" s="73" t="s">
        <v>256</v>
      </c>
      <c r="E800" s="73">
        <v>2</v>
      </c>
      <c r="F800" s="75">
        <v>2.7503000000000002</v>
      </c>
      <c r="G800" s="75">
        <v>9.6847999999999992</v>
      </c>
      <c r="H800" s="75">
        <v>6.1576000000000004</v>
      </c>
      <c r="I800" s="75">
        <v>42785.402300000002</v>
      </c>
      <c r="J800" s="73">
        <v>596.32989999999995</v>
      </c>
      <c r="K800" s="75">
        <v>4389.9556000000002</v>
      </c>
      <c r="L800" s="75">
        <v>195.94759999999999</v>
      </c>
      <c r="M800" s="73">
        <v>72.330100000000002</v>
      </c>
      <c r="N800" s="76">
        <v>120.35</v>
      </c>
      <c r="O800" s="73">
        <v>4</v>
      </c>
      <c r="P800" s="73"/>
      <c r="Q800" s="66" t="s">
        <v>258</v>
      </c>
    </row>
    <row r="801" spans="1:17" ht="13.8" customHeight="1" x14ac:dyDescent="0.3">
      <c r="A801" s="70" t="s">
        <v>332</v>
      </c>
      <c r="B801" s="71">
        <f>IFERROR(INDEX('Boulder Sample Log'!A$5:A$204,MATCH(A801,'Boulder Sample Log'!E$5:E$204,0)),"")</f>
        <v>46129</v>
      </c>
      <c r="C801" s="70">
        <v>936</v>
      </c>
      <c r="D801" s="70" t="s">
        <v>256</v>
      </c>
      <c r="E801" s="70">
        <v>2</v>
      </c>
      <c r="F801" s="72" t="s">
        <v>257</v>
      </c>
      <c r="G801" s="72" t="s">
        <v>257</v>
      </c>
      <c r="H801" s="72">
        <v>8.0890000000000004</v>
      </c>
      <c r="I801" s="72">
        <v>41518.980499999998</v>
      </c>
      <c r="J801" s="70">
        <v>635.44140000000004</v>
      </c>
      <c r="K801" s="72">
        <v>4651.7793000000001</v>
      </c>
      <c r="L801" s="72">
        <v>231.41200000000001</v>
      </c>
      <c r="M801" s="70">
        <v>105.6049</v>
      </c>
      <c r="N801" s="77">
        <v>122.95</v>
      </c>
      <c r="O801" s="70">
        <v>4</v>
      </c>
      <c r="P801" s="70"/>
      <c r="Q801" s="62" t="s">
        <v>258</v>
      </c>
    </row>
    <row r="802" spans="1:17" ht="13.8" customHeight="1" x14ac:dyDescent="0.3">
      <c r="A802" s="73" t="s">
        <v>332</v>
      </c>
      <c r="B802" s="74">
        <f>IFERROR(INDEX('Boulder Sample Log'!A$5:A$204,MATCH(A802,'Boulder Sample Log'!E$5:E$204,0)),"")</f>
        <v>46129</v>
      </c>
      <c r="C802" s="73">
        <v>937</v>
      </c>
      <c r="D802" s="73" t="s">
        <v>256</v>
      </c>
      <c r="E802" s="73">
        <v>3</v>
      </c>
      <c r="F802" s="75" t="s">
        <v>257</v>
      </c>
      <c r="G802" s="75" t="s">
        <v>257</v>
      </c>
      <c r="H802" s="75">
        <v>7.1535000000000002</v>
      </c>
      <c r="I802" s="75">
        <v>39728.582000000002</v>
      </c>
      <c r="J802" s="73">
        <v>588.44240000000002</v>
      </c>
      <c r="K802" s="75">
        <v>1092.1261</v>
      </c>
      <c r="L802" s="75">
        <v>490.49650000000003</v>
      </c>
      <c r="M802" s="73">
        <v>39.159799999999997</v>
      </c>
      <c r="N802" s="76">
        <v>120.32</v>
      </c>
      <c r="O802" s="73">
        <v>4</v>
      </c>
      <c r="P802" s="73"/>
      <c r="Q802" s="66" t="s">
        <v>258</v>
      </c>
    </row>
    <row r="803" spans="1:17" ht="13.8" customHeight="1" x14ac:dyDescent="0.3">
      <c r="A803" s="70" t="s">
        <v>332</v>
      </c>
      <c r="B803" s="71">
        <f>IFERROR(INDEX('Boulder Sample Log'!A$5:A$204,MATCH(A803,'Boulder Sample Log'!E$5:E$204,0)),"")</f>
        <v>46129</v>
      </c>
      <c r="C803" s="70">
        <v>938</v>
      </c>
      <c r="D803" s="70" t="s">
        <v>256</v>
      </c>
      <c r="E803" s="70">
        <v>3</v>
      </c>
      <c r="F803" s="72" t="s">
        <v>257</v>
      </c>
      <c r="G803" s="72" t="s">
        <v>257</v>
      </c>
      <c r="H803" s="72">
        <v>7.9596999999999998</v>
      </c>
      <c r="I803" s="72">
        <v>41920.140599999999</v>
      </c>
      <c r="J803" s="70">
        <v>680.17269999999996</v>
      </c>
      <c r="K803" s="72">
        <v>1537.1641999999999</v>
      </c>
      <c r="L803" s="72">
        <v>606.92510000000004</v>
      </c>
      <c r="M803" s="70">
        <v>50.159799999999997</v>
      </c>
      <c r="N803" s="77">
        <v>122.9</v>
      </c>
      <c r="O803" s="70">
        <v>4</v>
      </c>
      <c r="P803" s="70"/>
      <c r="Q803" s="62" t="s">
        <v>258</v>
      </c>
    </row>
    <row r="804" spans="1:17" ht="13.8" customHeight="1" x14ac:dyDescent="0.3">
      <c r="A804" s="73" t="s">
        <v>332</v>
      </c>
      <c r="B804" s="74">
        <f>IFERROR(INDEX('Boulder Sample Log'!A$5:A$204,MATCH(A804,'Boulder Sample Log'!E$5:E$204,0)),"")</f>
        <v>46129</v>
      </c>
      <c r="C804" s="73">
        <v>939</v>
      </c>
      <c r="D804" s="73" t="s">
        <v>256</v>
      </c>
      <c r="E804" s="73">
        <v>4</v>
      </c>
      <c r="F804" s="75">
        <v>5.0442999999999998</v>
      </c>
      <c r="G804" s="75">
        <v>24.675999999999998</v>
      </c>
      <c r="H804" s="75">
        <v>8.2513000000000005</v>
      </c>
      <c r="I804" s="75">
        <v>41800.207000000002</v>
      </c>
      <c r="J804" s="73">
        <v>541.12120000000004</v>
      </c>
      <c r="K804" s="75">
        <v>3216.2055999999998</v>
      </c>
      <c r="L804" s="75">
        <v>236.92830000000001</v>
      </c>
      <c r="M804" s="73">
        <v>101.6174</v>
      </c>
      <c r="N804" s="76">
        <v>122.74</v>
      </c>
      <c r="O804" s="73">
        <v>4</v>
      </c>
      <c r="P804" s="73"/>
      <c r="Q804" s="66" t="s">
        <v>258</v>
      </c>
    </row>
    <row r="805" spans="1:17" ht="13.8" customHeight="1" x14ac:dyDescent="0.3">
      <c r="A805" s="70" t="s">
        <v>332</v>
      </c>
      <c r="B805" s="71">
        <f>IFERROR(INDEX('Boulder Sample Log'!A$5:A$204,MATCH(A805,'Boulder Sample Log'!E$5:E$204,0)),"")</f>
        <v>46129</v>
      </c>
      <c r="C805" s="70">
        <v>940</v>
      </c>
      <c r="D805" s="70" t="s">
        <v>256</v>
      </c>
      <c r="E805" s="70">
        <v>4</v>
      </c>
      <c r="F805" s="72" t="s">
        <v>257</v>
      </c>
      <c r="G805" s="72" t="s">
        <v>257</v>
      </c>
      <c r="H805" s="72">
        <v>8.8904999999999994</v>
      </c>
      <c r="I805" s="72">
        <v>39204.949200000003</v>
      </c>
      <c r="J805" s="70">
        <v>569.52840000000003</v>
      </c>
      <c r="K805" s="72">
        <v>1025.0035</v>
      </c>
      <c r="L805" s="72">
        <v>422.85660000000001</v>
      </c>
      <c r="M805" s="70">
        <v>110.7457</v>
      </c>
      <c r="N805" s="77">
        <v>120.59</v>
      </c>
      <c r="O805" s="70">
        <v>4</v>
      </c>
      <c r="P805" s="70"/>
      <c r="Q805" s="62" t="s">
        <v>258</v>
      </c>
    </row>
    <row r="806" spans="1:17" ht="13.8" customHeight="1" x14ac:dyDescent="0.3">
      <c r="A806" s="73" t="s">
        <v>332</v>
      </c>
      <c r="B806" s="74">
        <f>IFERROR(INDEX('Boulder Sample Log'!A$5:A$204,MATCH(A806,'Boulder Sample Log'!E$5:E$204,0)),"")</f>
        <v>46129</v>
      </c>
      <c r="C806" s="73">
        <v>941</v>
      </c>
      <c r="D806" s="73" t="s">
        <v>256</v>
      </c>
      <c r="E806" s="73">
        <v>4</v>
      </c>
      <c r="F806" s="75" t="s">
        <v>257</v>
      </c>
      <c r="G806" s="75" t="s">
        <v>257</v>
      </c>
      <c r="H806" s="75">
        <v>9.8734999999999999</v>
      </c>
      <c r="I806" s="75">
        <v>40624.886700000003</v>
      </c>
      <c r="J806" s="73">
        <v>612.40440000000001</v>
      </c>
      <c r="K806" s="75">
        <v>1319.0662</v>
      </c>
      <c r="L806" s="75">
        <v>418.13510000000002</v>
      </c>
      <c r="M806" s="73">
        <v>113.94799999999999</v>
      </c>
      <c r="N806" s="76">
        <v>120.26</v>
      </c>
      <c r="O806" s="73">
        <v>4</v>
      </c>
      <c r="P806" s="73"/>
      <c r="Q806" s="66" t="s">
        <v>258</v>
      </c>
    </row>
    <row r="807" spans="1:17" ht="13.8" customHeight="1" x14ac:dyDescent="0.3">
      <c r="A807" s="70" t="s">
        <v>332</v>
      </c>
      <c r="B807" s="71">
        <f>IFERROR(INDEX('Boulder Sample Log'!A$5:A$204,MATCH(A807,'Boulder Sample Log'!E$5:E$204,0)),"")</f>
        <v>46129</v>
      </c>
      <c r="C807" s="70">
        <v>942</v>
      </c>
      <c r="D807" s="70" t="s">
        <v>256</v>
      </c>
      <c r="E807" s="70">
        <v>5</v>
      </c>
      <c r="F807" s="72" t="s">
        <v>257</v>
      </c>
      <c r="G807" s="72" t="s">
        <v>257</v>
      </c>
      <c r="H807" s="72">
        <v>6.8109000000000002</v>
      </c>
      <c r="I807" s="72">
        <v>45451.914100000002</v>
      </c>
      <c r="J807" s="70">
        <v>740.5865</v>
      </c>
      <c r="K807" s="72" t="s">
        <v>257</v>
      </c>
      <c r="L807" s="72">
        <v>343.79489999999998</v>
      </c>
      <c r="M807" s="70">
        <v>54.573099999999997</v>
      </c>
      <c r="N807" s="77">
        <v>84.39</v>
      </c>
      <c r="O807" s="70">
        <v>3</v>
      </c>
      <c r="P807" s="70"/>
      <c r="Q807" s="62" t="s">
        <v>258</v>
      </c>
    </row>
    <row r="808" spans="1:17" ht="13.8" customHeight="1" x14ac:dyDescent="0.3">
      <c r="A808" s="73" t="s">
        <v>332</v>
      </c>
      <c r="B808" s="74">
        <f>IFERROR(INDEX('Boulder Sample Log'!A$5:A$204,MATCH(A808,'Boulder Sample Log'!E$5:E$204,0)),"")</f>
        <v>46129</v>
      </c>
      <c r="C808" s="73">
        <v>943</v>
      </c>
      <c r="D808" s="73" t="s">
        <v>256</v>
      </c>
      <c r="E808" s="73">
        <v>5</v>
      </c>
      <c r="F808" s="75" t="s">
        <v>257</v>
      </c>
      <c r="G808" s="75" t="s">
        <v>257</v>
      </c>
      <c r="H808" s="75">
        <v>8.0952000000000002</v>
      </c>
      <c r="I808" s="75">
        <v>39491.371099999997</v>
      </c>
      <c r="J808" s="73">
        <v>644.75019999999995</v>
      </c>
      <c r="K808" s="75">
        <v>855.7002</v>
      </c>
      <c r="L808" s="75">
        <v>268.93389999999999</v>
      </c>
      <c r="M808" s="73">
        <v>47.563400000000001</v>
      </c>
      <c r="N808" s="76">
        <v>120.53</v>
      </c>
      <c r="O808" s="73">
        <v>4</v>
      </c>
      <c r="P808" s="73"/>
      <c r="Q808" s="66" t="s">
        <v>258</v>
      </c>
    </row>
    <row r="809" spans="1:17" ht="13.8" customHeight="1" x14ac:dyDescent="0.3">
      <c r="A809" s="70" t="s">
        <v>332</v>
      </c>
      <c r="B809" s="71">
        <f>IFERROR(INDEX('Boulder Sample Log'!A$5:A$204,MATCH(A809,'Boulder Sample Log'!E$5:E$204,0)),"")</f>
        <v>46129</v>
      </c>
      <c r="C809" s="70">
        <v>944</v>
      </c>
      <c r="D809" s="70" t="s">
        <v>256</v>
      </c>
      <c r="E809" s="70">
        <v>5</v>
      </c>
      <c r="F809" s="72" t="s">
        <v>257</v>
      </c>
      <c r="G809" s="72">
        <v>3.1116000000000001</v>
      </c>
      <c r="H809" s="72">
        <v>8.2666000000000004</v>
      </c>
      <c r="I809" s="72">
        <v>40141.953099999999</v>
      </c>
      <c r="J809" s="70">
        <v>653.85350000000005</v>
      </c>
      <c r="K809" s="72">
        <v>1093.0138999999999</v>
      </c>
      <c r="L809" s="72">
        <v>286.16329999999999</v>
      </c>
      <c r="M809" s="70">
        <v>48.5199</v>
      </c>
      <c r="N809" s="77">
        <v>120.16</v>
      </c>
      <c r="O809" s="70">
        <v>4</v>
      </c>
      <c r="P809" s="70"/>
      <c r="Q809" s="62" t="s">
        <v>258</v>
      </c>
    </row>
    <row r="810" spans="1:17" ht="13.8" customHeight="1" x14ac:dyDescent="0.3">
      <c r="A810" s="73" t="s">
        <v>333</v>
      </c>
      <c r="B810" s="74">
        <f>IFERROR(INDEX('Boulder Sample Log'!A$5:A$204,MATCH(A810,'Boulder Sample Log'!E$5:E$204,0)),"")</f>
        <v>46129</v>
      </c>
      <c r="C810" s="73">
        <v>945</v>
      </c>
      <c r="D810" s="73" t="s">
        <v>256</v>
      </c>
      <c r="E810" s="73">
        <v>1</v>
      </c>
      <c r="F810" s="75" t="s">
        <v>257</v>
      </c>
      <c r="G810" s="75">
        <v>3.1297999999999999</v>
      </c>
      <c r="H810" s="75">
        <v>11.1867</v>
      </c>
      <c r="I810" s="75">
        <v>40706.425799999997</v>
      </c>
      <c r="J810" s="73">
        <v>652.82669999999996</v>
      </c>
      <c r="K810" s="75">
        <v>918.26990000000001</v>
      </c>
      <c r="L810" s="75">
        <v>611.96619999999996</v>
      </c>
      <c r="M810" s="73">
        <v>35.5732</v>
      </c>
      <c r="N810" s="76">
        <v>122.86</v>
      </c>
      <c r="O810" s="73">
        <v>4</v>
      </c>
      <c r="P810" s="73"/>
      <c r="Q810" s="66" t="s">
        <v>258</v>
      </c>
    </row>
    <row r="811" spans="1:17" ht="13.8" customHeight="1" x14ac:dyDescent="0.3">
      <c r="A811" s="70" t="s">
        <v>333</v>
      </c>
      <c r="B811" s="71">
        <f>IFERROR(INDEX('Boulder Sample Log'!A$5:A$204,MATCH(A811,'Boulder Sample Log'!E$5:E$204,0)),"")</f>
        <v>46129</v>
      </c>
      <c r="C811" s="70">
        <v>946</v>
      </c>
      <c r="D811" s="70" t="s">
        <v>256</v>
      </c>
      <c r="E811" s="70">
        <v>1</v>
      </c>
      <c r="F811" s="72" t="s">
        <v>257</v>
      </c>
      <c r="G811" s="72" t="s">
        <v>257</v>
      </c>
      <c r="H811" s="72">
        <v>7.2417999999999996</v>
      </c>
      <c r="I811" s="72">
        <v>40560.125</v>
      </c>
      <c r="J811" s="70">
        <v>625.81410000000005</v>
      </c>
      <c r="K811" s="72">
        <v>1000.3159000000001</v>
      </c>
      <c r="L811" s="72">
        <v>596.61109999999996</v>
      </c>
      <c r="M811" s="70">
        <v>39.214300000000001</v>
      </c>
      <c r="N811" s="77">
        <v>123.08</v>
      </c>
      <c r="O811" s="70">
        <v>4</v>
      </c>
      <c r="P811" s="70"/>
      <c r="Q811" s="62" t="s">
        <v>258</v>
      </c>
    </row>
    <row r="812" spans="1:17" ht="13.8" customHeight="1" x14ac:dyDescent="0.3">
      <c r="A812" s="73" t="s">
        <v>333</v>
      </c>
      <c r="B812" s="74">
        <f>IFERROR(INDEX('Boulder Sample Log'!A$5:A$204,MATCH(A812,'Boulder Sample Log'!E$5:E$204,0)),"")</f>
        <v>46129</v>
      </c>
      <c r="C812" s="73">
        <v>947</v>
      </c>
      <c r="D812" s="73" t="s">
        <v>256</v>
      </c>
      <c r="E812" s="73">
        <v>2</v>
      </c>
      <c r="F812" s="75" t="s">
        <v>257</v>
      </c>
      <c r="G812" s="75" t="s">
        <v>257</v>
      </c>
      <c r="H812" s="75">
        <v>27.712499999999999</v>
      </c>
      <c r="I812" s="75">
        <v>47082.179700000001</v>
      </c>
      <c r="J812" s="73">
        <v>636.75930000000005</v>
      </c>
      <c r="K812" s="75">
        <v>759.40260000000001</v>
      </c>
      <c r="L812" s="75">
        <v>407.73219999999998</v>
      </c>
      <c r="M812" s="73">
        <v>844.01179999999999</v>
      </c>
      <c r="N812" s="76">
        <v>120.14</v>
      </c>
      <c r="O812" s="73">
        <v>4</v>
      </c>
      <c r="P812" s="73"/>
      <c r="Q812" s="66" t="s">
        <v>258</v>
      </c>
    </row>
    <row r="813" spans="1:17" ht="13.8" customHeight="1" x14ac:dyDescent="0.3">
      <c r="A813" s="70" t="s">
        <v>333</v>
      </c>
      <c r="B813" s="71">
        <f>IFERROR(INDEX('Boulder Sample Log'!A$5:A$204,MATCH(A813,'Boulder Sample Log'!E$5:E$204,0)),"")</f>
        <v>46129</v>
      </c>
      <c r="C813" s="70">
        <v>948</v>
      </c>
      <c r="D813" s="70" t="s">
        <v>256</v>
      </c>
      <c r="E813" s="70">
        <v>2</v>
      </c>
      <c r="F813" s="72" t="s">
        <v>257</v>
      </c>
      <c r="G813" s="72" t="s">
        <v>257</v>
      </c>
      <c r="H813" s="72">
        <v>24.378799999999998</v>
      </c>
      <c r="I813" s="72">
        <v>47587.234400000001</v>
      </c>
      <c r="J813" s="70">
        <v>652.16089999999997</v>
      </c>
      <c r="K813" s="72">
        <v>697.72559999999999</v>
      </c>
      <c r="L813" s="72">
        <v>371.51909999999998</v>
      </c>
      <c r="M813" s="70">
        <v>764.67740000000003</v>
      </c>
      <c r="N813" s="77">
        <v>120.5</v>
      </c>
      <c r="O813" s="70">
        <v>4</v>
      </c>
      <c r="P813" s="70"/>
      <c r="Q813" s="62" t="s">
        <v>258</v>
      </c>
    </row>
    <row r="814" spans="1:17" ht="13.8" customHeight="1" x14ac:dyDescent="0.3">
      <c r="A814" s="73" t="s">
        <v>333</v>
      </c>
      <c r="B814" s="74">
        <f>IFERROR(INDEX('Boulder Sample Log'!A$5:A$204,MATCH(A814,'Boulder Sample Log'!E$5:E$204,0)),"")</f>
        <v>46129</v>
      </c>
      <c r="C814" s="73">
        <v>949</v>
      </c>
      <c r="D814" s="73" t="s">
        <v>256</v>
      </c>
      <c r="E814" s="73">
        <v>3</v>
      </c>
      <c r="F814" s="75" t="s">
        <v>257</v>
      </c>
      <c r="G814" s="75" t="s">
        <v>257</v>
      </c>
      <c r="H814" s="75">
        <v>9.0693000000000001</v>
      </c>
      <c r="I814" s="75">
        <v>41187.519500000002</v>
      </c>
      <c r="J814" s="73">
        <v>660.09960000000001</v>
      </c>
      <c r="K814" s="75">
        <v>887.82820000000004</v>
      </c>
      <c r="L814" s="75">
        <v>498.94159999999999</v>
      </c>
      <c r="M814" s="73">
        <v>43.888300000000001</v>
      </c>
      <c r="N814" s="76">
        <v>120.51</v>
      </c>
      <c r="O814" s="73">
        <v>4</v>
      </c>
      <c r="P814" s="73"/>
      <c r="Q814" s="66" t="s">
        <v>258</v>
      </c>
    </row>
    <row r="815" spans="1:17" ht="13.8" customHeight="1" x14ac:dyDescent="0.3">
      <c r="A815" s="70" t="s">
        <v>333</v>
      </c>
      <c r="B815" s="71">
        <f>IFERROR(INDEX('Boulder Sample Log'!A$5:A$204,MATCH(A815,'Boulder Sample Log'!E$5:E$204,0)),"")</f>
        <v>46129</v>
      </c>
      <c r="C815" s="70">
        <v>950</v>
      </c>
      <c r="D815" s="70" t="s">
        <v>256</v>
      </c>
      <c r="E815" s="70">
        <v>3</v>
      </c>
      <c r="F815" s="72" t="s">
        <v>257</v>
      </c>
      <c r="G815" s="72" t="s">
        <v>257</v>
      </c>
      <c r="H815" s="72">
        <v>8.2649000000000008</v>
      </c>
      <c r="I815" s="72">
        <v>40690.773399999998</v>
      </c>
      <c r="J815" s="70">
        <v>641.61419999999998</v>
      </c>
      <c r="K815" s="72">
        <v>717.14909999999998</v>
      </c>
      <c r="L815" s="72">
        <v>374.37299999999999</v>
      </c>
      <c r="M815" s="70">
        <v>40.223700000000001</v>
      </c>
      <c r="N815" s="77">
        <v>122.95</v>
      </c>
      <c r="O815" s="70">
        <v>4</v>
      </c>
      <c r="P815" s="70"/>
      <c r="Q815" s="62" t="s">
        <v>258</v>
      </c>
    </row>
    <row r="816" spans="1:17" ht="13.8" customHeight="1" x14ac:dyDescent="0.3">
      <c r="A816" s="73" t="s">
        <v>333</v>
      </c>
      <c r="B816" s="74">
        <f>IFERROR(INDEX('Boulder Sample Log'!A$5:A$204,MATCH(A816,'Boulder Sample Log'!E$5:E$204,0)),"")</f>
        <v>46129</v>
      </c>
      <c r="C816" s="73">
        <v>951</v>
      </c>
      <c r="D816" s="73" t="s">
        <v>256</v>
      </c>
      <c r="E816" s="73">
        <v>4</v>
      </c>
      <c r="F816" s="75" t="s">
        <v>257</v>
      </c>
      <c r="G816" s="75" t="s">
        <v>257</v>
      </c>
      <c r="H816" s="75">
        <v>9.7212999999999994</v>
      </c>
      <c r="I816" s="75">
        <v>43191.613299999997</v>
      </c>
      <c r="J816" s="73">
        <v>710.05870000000004</v>
      </c>
      <c r="K816" s="75">
        <v>737.48</v>
      </c>
      <c r="L816" s="75">
        <v>573.73239999999998</v>
      </c>
      <c r="M816" s="73">
        <v>109.3489</v>
      </c>
      <c r="N816" s="76">
        <v>122.78</v>
      </c>
      <c r="O816" s="73">
        <v>4</v>
      </c>
      <c r="P816" s="73"/>
      <c r="Q816" s="66" t="s">
        <v>258</v>
      </c>
    </row>
    <row r="817" spans="1:17" ht="13.8" customHeight="1" x14ac:dyDescent="0.3">
      <c r="A817" s="70" t="s">
        <v>333</v>
      </c>
      <c r="B817" s="71">
        <f>IFERROR(INDEX('Boulder Sample Log'!A$5:A$204,MATCH(A817,'Boulder Sample Log'!E$5:E$204,0)),"")</f>
        <v>46129</v>
      </c>
      <c r="C817" s="70">
        <v>953</v>
      </c>
      <c r="D817" s="70" t="s">
        <v>256</v>
      </c>
      <c r="E817" s="70">
        <v>5</v>
      </c>
      <c r="F817" s="72" t="s">
        <v>257</v>
      </c>
      <c r="G817" s="72" t="s">
        <v>257</v>
      </c>
      <c r="H817" s="72">
        <v>12.7615</v>
      </c>
      <c r="I817" s="72">
        <v>39132.152300000002</v>
      </c>
      <c r="J817" s="70">
        <v>653.6241</v>
      </c>
      <c r="K817" s="72">
        <v>582.9316</v>
      </c>
      <c r="L817" s="72">
        <v>295.69220000000001</v>
      </c>
      <c r="M817" s="70">
        <v>80.264200000000002</v>
      </c>
      <c r="N817" s="77">
        <v>120.52</v>
      </c>
      <c r="O817" s="70">
        <v>4</v>
      </c>
      <c r="P817" s="70"/>
      <c r="Q817" s="62" t="s">
        <v>258</v>
      </c>
    </row>
    <row r="818" spans="1:17" ht="13.8" customHeight="1" x14ac:dyDescent="0.3">
      <c r="A818" s="73" t="s">
        <v>333</v>
      </c>
      <c r="B818" s="74">
        <f>IFERROR(INDEX('Boulder Sample Log'!A$5:A$204,MATCH(A818,'Boulder Sample Log'!E$5:E$204,0)),"")</f>
        <v>46129</v>
      </c>
      <c r="C818" s="73">
        <v>954</v>
      </c>
      <c r="D818" s="73" t="s">
        <v>256</v>
      </c>
      <c r="E818" s="73">
        <v>5</v>
      </c>
      <c r="F818" s="75" t="s">
        <v>257</v>
      </c>
      <c r="G818" s="75" t="s">
        <v>257</v>
      </c>
      <c r="H818" s="75">
        <v>17.9725</v>
      </c>
      <c r="I818" s="75">
        <v>41271.261700000003</v>
      </c>
      <c r="J818" s="73">
        <v>676.21140000000003</v>
      </c>
      <c r="K818" s="75">
        <v>557.20140000000004</v>
      </c>
      <c r="L818" s="75">
        <v>357.73649999999998</v>
      </c>
      <c r="M818" s="73">
        <v>185.92019999999999</v>
      </c>
      <c r="N818" s="76">
        <v>120.53</v>
      </c>
      <c r="O818" s="73">
        <v>4</v>
      </c>
      <c r="P818" s="73"/>
      <c r="Q818" s="66" t="s">
        <v>258</v>
      </c>
    </row>
    <row r="819" spans="1:17" ht="13.8" customHeight="1" x14ac:dyDescent="0.3">
      <c r="A819" s="70" t="s">
        <v>333</v>
      </c>
      <c r="B819" s="71">
        <f>IFERROR(INDEX('Boulder Sample Log'!A$5:A$204,MATCH(A819,'Boulder Sample Log'!E$5:E$204,0)),"")</f>
        <v>46129</v>
      </c>
      <c r="C819" s="70">
        <v>955</v>
      </c>
      <c r="D819" s="70" t="s">
        <v>256</v>
      </c>
      <c r="E819" s="70">
        <v>4</v>
      </c>
      <c r="F819" s="72" t="s">
        <v>257</v>
      </c>
      <c r="G819" s="72">
        <v>4.7859999999999996</v>
      </c>
      <c r="H819" s="72">
        <v>18.975200000000001</v>
      </c>
      <c r="I819" s="72">
        <v>41283.398399999998</v>
      </c>
      <c r="J819" s="70">
        <v>615.20119999999997</v>
      </c>
      <c r="K819" s="72">
        <v>2020.8593000000001</v>
      </c>
      <c r="L819" s="72">
        <v>353.2543</v>
      </c>
      <c r="M819" s="70">
        <v>38.9803</v>
      </c>
      <c r="N819" s="77">
        <v>120.29</v>
      </c>
      <c r="O819" s="70">
        <v>4</v>
      </c>
      <c r="P819" s="70"/>
      <c r="Q819" s="62" t="s">
        <v>258</v>
      </c>
    </row>
    <row r="820" spans="1:17" ht="13.8" customHeight="1" x14ac:dyDescent="0.3">
      <c r="A820" s="73" t="s">
        <v>334</v>
      </c>
      <c r="B820" s="74">
        <f>IFERROR(INDEX('Boulder Sample Log'!A$5:A$204,MATCH(A820,'Boulder Sample Log'!E$5:E$204,0)),"")</f>
        <v>46130</v>
      </c>
      <c r="C820" s="73">
        <v>958</v>
      </c>
      <c r="D820" s="73" t="s">
        <v>256</v>
      </c>
      <c r="E820" s="73">
        <v>1</v>
      </c>
      <c r="F820" s="75">
        <v>14.4879</v>
      </c>
      <c r="G820" s="75" t="s">
        <v>257</v>
      </c>
      <c r="H820" s="75">
        <v>8.1697000000000006</v>
      </c>
      <c r="I820" s="75">
        <v>29631.216799999998</v>
      </c>
      <c r="J820" s="73">
        <v>494.8082</v>
      </c>
      <c r="K820" s="75">
        <v>1793.2535</v>
      </c>
      <c r="L820" s="75">
        <v>55.477600000000002</v>
      </c>
      <c r="M820" s="73">
        <v>24.388300000000001</v>
      </c>
      <c r="N820" s="76">
        <v>120.5</v>
      </c>
      <c r="O820" s="73">
        <v>4</v>
      </c>
      <c r="P820" s="73"/>
      <c r="Q820" s="66" t="s">
        <v>258</v>
      </c>
    </row>
    <row r="821" spans="1:17" ht="13.8" customHeight="1" x14ac:dyDescent="0.3">
      <c r="A821" s="70" t="s">
        <v>334</v>
      </c>
      <c r="B821" s="71">
        <f>IFERROR(INDEX('Boulder Sample Log'!A$5:A$204,MATCH(A821,'Boulder Sample Log'!E$5:E$204,0)),"")</f>
        <v>46130</v>
      </c>
      <c r="C821" s="70">
        <v>959</v>
      </c>
      <c r="D821" s="70" t="s">
        <v>256</v>
      </c>
      <c r="E821" s="70">
        <v>1</v>
      </c>
      <c r="F821" s="72">
        <v>13.9953</v>
      </c>
      <c r="G821" s="72" t="s">
        <v>257</v>
      </c>
      <c r="H821" s="72">
        <v>8.8953000000000007</v>
      </c>
      <c r="I821" s="72">
        <v>31239.0586</v>
      </c>
      <c r="J821" s="70">
        <v>596.548</v>
      </c>
      <c r="K821" s="72">
        <v>1996.4972</v>
      </c>
      <c r="L821" s="72">
        <v>65.783199999999994</v>
      </c>
      <c r="M821" s="70">
        <v>25.867999999999999</v>
      </c>
      <c r="N821" s="77">
        <v>120.48</v>
      </c>
      <c r="O821" s="70">
        <v>4</v>
      </c>
      <c r="P821" s="70"/>
      <c r="Q821" s="62" t="s">
        <v>258</v>
      </c>
    </row>
    <row r="822" spans="1:17" ht="13.8" customHeight="1" x14ac:dyDescent="0.3">
      <c r="A822" s="73" t="s">
        <v>334</v>
      </c>
      <c r="B822" s="74">
        <f>IFERROR(INDEX('Boulder Sample Log'!A$5:A$204,MATCH(A822,'Boulder Sample Log'!E$5:E$204,0)),"")</f>
        <v>46130</v>
      </c>
      <c r="C822" s="73">
        <v>960</v>
      </c>
      <c r="D822" s="73" t="s">
        <v>256</v>
      </c>
      <c r="E822" s="73">
        <v>2</v>
      </c>
      <c r="F822" s="75" t="s">
        <v>257</v>
      </c>
      <c r="G822" s="75" t="s">
        <v>257</v>
      </c>
      <c r="H822" s="75" t="s">
        <v>257</v>
      </c>
      <c r="I822" s="75" t="s">
        <v>257</v>
      </c>
      <c r="J822" s="73">
        <v>801.64649999999995</v>
      </c>
      <c r="K822" s="75">
        <v>12772.0332</v>
      </c>
      <c r="L822" s="75" t="s">
        <v>257</v>
      </c>
      <c r="M822" s="73" t="s">
        <v>257</v>
      </c>
      <c r="N822" s="76">
        <v>124.1</v>
      </c>
      <c r="O822" s="73">
        <v>4</v>
      </c>
      <c r="P822" s="73"/>
      <c r="Q822" s="66" t="s">
        <v>258</v>
      </c>
    </row>
    <row r="823" spans="1:17" ht="13.8" customHeight="1" x14ac:dyDescent="0.3">
      <c r="A823" s="70" t="s">
        <v>334</v>
      </c>
      <c r="B823" s="71">
        <f>IFERROR(INDEX('Boulder Sample Log'!A$5:A$204,MATCH(A823,'Boulder Sample Log'!E$5:E$204,0)),"")</f>
        <v>46130</v>
      </c>
      <c r="C823" s="70">
        <v>961</v>
      </c>
      <c r="D823" s="70" t="s">
        <v>256</v>
      </c>
      <c r="E823" s="70">
        <v>2</v>
      </c>
      <c r="F823" s="72">
        <v>7.1851000000000003</v>
      </c>
      <c r="G823" s="72" t="s">
        <v>257</v>
      </c>
      <c r="H823" s="72">
        <v>8.2729999999999997</v>
      </c>
      <c r="I823" s="72">
        <v>21059.539100000002</v>
      </c>
      <c r="J823" s="70">
        <v>73.283600000000007</v>
      </c>
      <c r="K823" s="72">
        <v>3301.3901000000001</v>
      </c>
      <c r="L823" s="72">
        <v>30.266500000000001</v>
      </c>
      <c r="M823" s="70">
        <v>17.3005</v>
      </c>
      <c r="N823" s="77">
        <v>123.27</v>
      </c>
      <c r="O823" s="70">
        <v>4</v>
      </c>
      <c r="P823" s="70"/>
      <c r="Q823" s="62" t="s">
        <v>258</v>
      </c>
    </row>
    <row r="824" spans="1:17" ht="13.8" customHeight="1" x14ac:dyDescent="0.3">
      <c r="A824" s="73" t="s">
        <v>334</v>
      </c>
      <c r="B824" s="74">
        <f>IFERROR(INDEX('Boulder Sample Log'!A$5:A$204,MATCH(A824,'Boulder Sample Log'!E$5:E$204,0)),"")</f>
        <v>46130</v>
      </c>
      <c r="C824" s="73">
        <v>962</v>
      </c>
      <c r="D824" s="73" t="s">
        <v>256</v>
      </c>
      <c r="E824" s="73">
        <v>3</v>
      </c>
      <c r="F824" s="75">
        <v>17.938500000000001</v>
      </c>
      <c r="G824" s="75" t="s">
        <v>257</v>
      </c>
      <c r="H824" s="75">
        <v>8.7210000000000001</v>
      </c>
      <c r="I824" s="75">
        <v>39154.359400000001</v>
      </c>
      <c r="J824" s="73">
        <v>1123.4346</v>
      </c>
      <c r="K824" s="75">
        <v>1923.4313</v>
      </c>
      <c r="L824" s="75">
        <v>74.340999999999994</v>
      </c>
      <c r="M824" s="73">
        <v>8.7469999999999999</v>
      </c>
      <c r="N824" s="76">
        <v>120.29</v>
      </c>
      <c r="O824" s="73">
        <v>4</v>
      </c>
      <c r="P824" s="73"/>
      <c r="Q824" s="66" t="s">
        <v>258</v>
      </c>
    </row>
    <row r="825" spans="1:17" ht="13.8" customHeight="1" x14ac:dyDescent="0.3">
      <c r="A825" s="70" t="s">
        <v>334</v>
      </c>
      <c r="B825" s="71">
        <f>IFERROR(INDEX('Boulder Sample Log'!A$5:A$204,MATCH(A825,'Boulder Sample Log'!E$5:E$204,0)),"")</f>
        <v>46130</v>
      </c>
      <c r="C825" s="70">
        <v>963</v>
      </c>
      <c r="D825" s="70" t="s">
        <v>256</v>
      </c>
      <c r="E825" s="70">
        <v>3</v>
      </c>
      <c r="F825" s="72">
        <v>18.395900000000001</v>
      </c>
      <c r="G825" s="72" t="s">
        <v>257</v>
      </c>
      <c r="H825" s="72">
        <v>9.3343000000000007</v>
      </c>
      <c r="I825" s="72">
        <v>39843.781199999998</v>
      </c>
      <c r="J825" s="70">
        <v>1023.5017</v>
      </c>
      <c r="K825" s="72">
        <v>1751.1365000000001</v>
      </c>
      <c r="L825" s="72">
        <v>85.939599999999999</v>
      </c>
      <c r="M825" s="70">
        <v>13.754</v>
      </c>
      <c r="N825" s="77">
        <v>120.41</v>
      </c>
      <c r="O825" s="70">
        <v>4</v>
      </c>
      <c r="P825" s="70"/>
      <c r="Q825" s="62" t="s">
        <v>258</v>
      </c>
    </row>
    <row r="826" spans="1:17" ht="13.8" customHeight="1" x14ac:dyDescent="0.3">
      <c r="A826" s="73" t="s">
        <v>334</v>
      </c>
      <c r="B826" s="74">
        <f>IFERROR(INDEX('Boulder Sample Log'!A$5:A$204,MATCH(A826,'Boulder Sample Log'!E$5:E$204,0)),"")</f>
        <v>46130</v>
      </c>
      <c r="C826" s="73">
        <v>964</v>
      </c>
      <c r="D826" s="73" t="s">
        <v>256</v>
      </c>
      <c r="E826" s="73">
        <v>4</v>
      </c>
      <c r="F826" s="75">
        <v>12.094200000000001</v>
      </c>
      <c r="G826" s="75" t="s">
        <v>257</v>
      </c>
      <c r="H826" s="75">
        <v>7.3284000000000002</v>
      </c>
      <c r="I826" s="75">
        <v>27948.833999999999</v>
      </c>
      <c r="J826" s="73">
        <v>456.12299999999999</v>
      </c>
      <c r="K826" s="75">
        <v>2209.6889999999999</v>
      </c>
      <c r="L826" s="75">
        <v>62.178400000000003</v>
      </c>
      <c r="M826" s="73">
        <v>20.556899999999999</v>
      </c>
      <c r="N826" s="76">
        <v>120.36</v>
      </c>
      <c r="O826" s="73">
        <v>4</v>
      </c>
      <c r="P826" s="73"/>
      <c r="Q826" s="66" t="s">
        <v>258</v>
      </c>
    </row>
    <row r="827" spans="1:17" ht="13.8" customHeight="1" x14ac:dyDescent="0.3">
      <c r="A827" s="70" t="s">
        <v>334</v>
      </c>
      <c r="B827" s="71">
        <f>IFERROR(INDEX('Boulder Sample Log'!A$5:A$204,MATCH(A827,'Boulder Sample Log'!E$5:E$204,0)),"")</f>
        <v>46130</v>
      </c>
      <c r="C827" s="70">
        <v>965</v>
      </c>
      <c r="D827" s="70" t="s">
        <v>256</v>
      </c>
      <c r="E827" s="70">
        <v>4</v>
      </c>
      <c r="F827" s="72">
        <v>11.719799999999999</v>
      </c>
      <c r="G827" s="72" t="s">
        <v>257</v>
      </c>
      <c r="H827" s="72">
        <v>7.6440000000000001</v>
      </c>
      <c r="I827" s="72">
        <v>21451.6934</v>
      </c>
      <c r="J827" s="70">
        <v>345.53949999999998</v>
      </c>
      <c r="K827" s="72">
        <v>1836.1702</v>
      </c>
      <c r="L827" s="72">
        <v>54.420699999999997</v>
      </c>
      <c r="M827" s="70">
        <v>15.231</v>
      </c>
      <c r="N827" s="77">
        <v>120.32</v>
      </c>
      <c r="O827" s="70">
        <v>4</v>
      </c>
      <c r="P827" s="70"/>
      <c r="Q827" s="62" t="s">
        <v>258</v>
      </c>
    </row>
    <row r="828" spans="1:17" ht="13.8" customHeight="1" x14ac:dyDescent="0.3">
      <c r="A828" s="73" t="s">
        <v>334</v>
      </c>
      <c r="B828" s="74">
        <f>IFERROR(INDEX('Boulder Sample Log'!A$5:A$204,MATCH(A828,'Boulder Sample Log'!E$5:E$204,0)),"")</f>
        <v>46130</v>
      </c>
      <c r="C828" s="73">
        <v>966</v>
      </c>
      <c r="D828" s="73" t="s">
        <v>256</v>
      </c>
      <c r="E828" s="73">
        <v>5</v>
      </c>
      <c r="F828" s="75">
        <v>23.245999999999999</v>
      </c>
      <c r="G828" s="75" t="s">
        <v>257</v>
      </c>
      <c r="H828" s="75">
        <v>10.405200000000001</v>
      </c>
      <c r="I828" s="75">
        <v>27588.992200000001</v>
      </c>
      <c r="J828" s="73">
        <v>1406.002</v>
      </c>
      <c r="K828" s="75">
        <v>1625.1984</v>
      </c>
      <c r="L828" s="75">
        <v>55.731000000000002</v>
      </c>
      <c r="M828" s="73">
        <v>12.2913</v>
      </c>
      <c r="N828" s="76">
        <v>120.42</v>
      </c>
      <c r="O828" s="73">
        <v>4</v>
      </c>
      <c r="P828" s="73"/>
      <c r="Q828" s="66" t="s">
        <v>258</v>
      </c>
    </row>
    <row r="829" spans="1:17" ht="13.8" customHeight="1" x14ac:dyDescent="0.3">
      <c r="A829" s="70" t="s">
        <v>334</v>
      </c>
      <c r="B829" s="71">
        <f>IFERROR(INDEX('Boulder Sample Log'!A$5:A$204,MATCH(A829,'Boulder Sample Log'!E$5:E$204,0)),"")</f>
        <v>46130</v>
      </c>
      <c r="C829" s="70">
        <v>967</v>
      </c>
      <c r="D829" s="70" t="s">
        <v>256</v>
      </c>
      <c r="E829" s="70">
        <v>5</v>
      </c>
      <c r="F829" s="72">
        <v>18.8992</v>
      </c>
      <c r="G829" s="72" t="s">
        <v>257</v>
      </c>
      <c r="H829" s="72">
        <v>10.0222</v>
      </c>
      <c r="I829" s="72">
        <v>27589.929700000001</v>
      </c>
      <c r="J829" s="70">
        <v>1847.3389999999999</v>
      </c>
      <c r="K829" s="72">
        <v>1724.3108999999999</v>
      </c>
      <c r="L829" s="72">
        <v>49.055399999999999</v>
      </c>
      <c r="M829" s="70">
        <v>14.350199999999999</v>
      </c>
      <c r="N829" s="77">
        <v>120.29</v>
      </c>
      <c r="O829" s="70">
        <v>4</v>
      </c>
      <c r="P829" s="70"/>
      <c r="Q829" s="62" t="s">
        <v>258</v>
      </c>
    </row>
    <row r="830" spans="1:17" ht="13.8" customHeight="1" x14ac:dyDescent="0.3">
      <c r="A830" s="73" t="s">
        <v>335</v>
      </c>
      <c r="B830" s="74">
        <f>IFERROR(INDEX('Boulder Sample Log'!A$5:A$204,MATCH(A830,'Boulder Sample Log'!E$5:E$204,0)),"")</f>
        <v>46130</v>
      </c>
      <c r="C830" s="73">
        <v>968</v>
      </c>
      <c r="D830" s="73" t="s">
        <v>256</v>
      </c>
      <c r="E830" s="73">
        <v>1</v>
      </c>
      <c r="F830" s="75">
        <v>43.470100000000002</v>
      </c>
      <c r="G830" s="75">
        <v>2.6051000000000002</v>
      </c>
      <c r="H830" s="75">
        <v>26.591000000000001</v>
      </c>
      <c r="I830" s="75">
        <v>51766.613299999997</v>
      </c>
      <c r="J830" s="73">
        <v>285.113</v>
      </c>
      <c r="K830" s="75">
        <v>43787.277300000002</v>
      </c>
      <c r="L830" s="75">
        <v>32.936100000000003</v>
      </c>
      <c r="M830" s="73">
        <v>9.4793000000000003</v>
      </c>
      <c r="N830" s="76">
        <v>120.19</v>
      </c>
      <c r="O830" s="73">
        <v>4</v>
      </c>
      <c r="P830" s="73"/>
      <c r="Q830" s="66" t="s">
        <v>258</v>
      </c>
    </row>
    <row r="831" spans="1:17" ht="13.8" customHeight="1" x14ac:dyDescent="0.3">
      <c r="A831" s="70" t="s">
        <v>335</v>
      </c>
      <c r="B831" s="71">
        <f>IFERROR(INDEX('Boulder Sample Log'!A$5:A$204,MATCH(A831,'Boulder Sample Log'!E$5:E$204,0)),"")</f>
        <v>46130</v>
      </c>
      <c r="C831" s="70">
        <v>969</v>
      </c>
      <c r="D831" s="70" t="s">
        <v>256</v>
      </c>
      <c r="E831" s="70">
        <v>1</v>
      </c>
      <c r="F831" s="72">
        <v>15.3026</v>
      </c>
      <c r="G831" s="72" t="s">
        <v>257</v>
      </c>
      <c r="H831" s="72">
        <v>10.1678</v>
      </c>
      <c r="I831" s="72">
        <v>26883.027300000002</v>
      </c>
      <c r="J831" s="70">
        <v>399.57080000000002</v>
      </c>
      <c r="K831" s="72">
        <v>7156.9184999999998</v>
      </c>
      <c r="L831" s="72">
        <v>45.534300000000002</v>
      </c>
      <c r="M831" s="70">
        <v>18.728200000000001</v>
      </c>
      <c r="N831" s="77">
        <v>120.52</v>
      </c>
      <c r="O831" s="70">
        <v>4</v>
      </c>
      <c r="P831" s="70"/>
      <c r="Q831" s="62" t="s">
        <v>258</v>
      </c>
    </row>
    <row r="832" spans="1:17" ht="13.8" customHeight="1" x14ac:dyDescent="0.3">
      <c r="A832" s="73" t="s">
        <v>335</v>
      </c>
      <c r="B832" s="74">
        <f>IFERROR(INDEX('Boulder Sample Log'!A$5:A$204,MATCH(A832,'Boulder Sample Log'!E$5:E$204,0)),"")</f>
        <v>46130</v>
      </c>
      <c r="C832" s="73">
        <v>970</v>
      </c>
      <c r="D832" s="73" t="s">
        <v>256</v>
      </c>
      <c r="E832" s="73">
        <v>2</v>
      </c>
      <c r="F832" s="75">
        <v>16.875699999999998</v>
      </c>
      <c r="G832" s="75" t="s">
        <v>257</v>
      </c>
      <c r="H832" s="75">
        <v>8.5393000000000008</v>
      </c>
      <c r="I832" s="75">
        <v>24718.460899999998</v>
      </c>
      <c r="J832" s="73">
        <v>361.1902</v>
      </c>
      <c r="K832" s="75">
        <v>4845.2782999999999</v>
      </c>
      <c r="L832" s="75">
        <v>43.188699999999997</v>
      </c>
      <c r="M832" s="73">
        <v>6.4131</v>
      </c>
      <c r="N832" s="76">
        <v>120.1</v>
      </c>
      <c r="O832" s="73">
        <v>4</v>
      </c>
      <c r="P832" s="73"/>
      <c r="Q832" s="66" t="s">
        <v>258</v>
      </c>
    </row>
    <row r="833" spans="1:17" ht="13.8" customHeight="1" x14ac:dyDescent="0.3">
      <c r="A833" s="70" t="s">
        <v>335</v>
      </c>
      <c r="B833" s="71">
        <f>IFERROR(INDEX('Boulder Sample Log'!A$5:A$204,MATCH(A833,'Boulder Sample Log'!E$5:E$204,0)),"")</f>
        <v>46130</v>
      </c>
      <c r="C833" s="70">
        <v>971</v>
      </c>
      <c r="D833" s="70" t="s">
        <v>256</v>
      </c>
      <c r="E833" s="70">
        <v>2</v>
      </c>
      <c r="F833" s="72">
        <v>13.8466</v>
      </c>
      <c r="G833" s="72" t="s">
        <v>257</v>
      </c>
      <c r="H833" s="72">
        <v>8.0742999999999991</v>
      </c>
      <c r="I833" s="72">
        <v>28168.5137</v>
      </c>
      <c r="J833" s="70">
        <v>368.06830000000002</v>
      </c>
      <c r="K833" s="72">
        <v>11199.021500000001</v>
      </c>
      <c r="L833" s="72">
        <v>40.106200000000001</v>
      </c>
      <c r="M833" s="70">
        <v>10.715</v>
      </c>
      <c r="N833" s="77">
        <v>120.73</v>
      </c>
      <c r="O833" s="70">
        <v>4</v>
      </c>
      <c r="P833" s="70"/>
      <c r="Q833" s="62" t="s">
        <v>258</v>
      </c>
    </row>
    <row r="834" spans="1:17" ht="13.8" customHeight="1" x14ac:dyDescent="0.3">
      <c r="A834" s="73" t="s">
        <v>335</v>
      </c>
      <c r="B834" s="74">
        <f>IFERROR(INDEX('Boulder Sample Log'!A$5:A$204,MATCH(A834,'Boulder Sample Log'!E$5:E$204,0)),"")</f>
        <v>46130</v>
      </c>
      <c r="C834" s="73">
        <v>972</v>
      </c>
      <c r="D834" s="73" t="s">
        <v>256</v>
      </c>
      <c r="E834" s="73">
        <v>2</v>
      </c>
      <c r="F834" s="75">
        <v>35.260100000000001</v>
      </c>
      <c r="G834" s="75">
        <v>6.9949000000000003</v>
      </c>
      <c r="H834" s="75">
        <v>15.2408</v>
      </c>
      <c r="I834" s="75">
        <v>44340.773399999998</v>
      </c>
      <c r="J834" s="73">
        <v>368.81279999999998</v>
      </c>
      <c r="K834" s="75">
        <v>21592.470700000002</v>
      </c>
      <c r="L834" s="75">
        <v>51.643300000000004</v>
      </c>
      <c r="M834" s="73">
        <v>7.7118000000000002</v>
      </c>
      <c r="N834" s="76">
        <v>120.64</v>
      </c>
      <c r="O834" s="73">
        <v>4</v>
      </c>
      <c r="P834" s="73"/>
      <c r="Q834" s="66" t="s">
        <v>258</v>
      </c>
    </row>
    <row r="835" spans="1:17" ht="13.8" customHeight="1" x14ac:dyDescent="0.3">
      <c r="A835" s="70" t="s">
        <v>335</v>
      </c>
      <c r="B835" s="71">
        <f>IFERROR(INDEX('Boulder Sample Log'!A$5:A$204,MATCH(A835,'Boulder Sample Log'!E$5:E$204,0)),"")</f>
        <v>46130</v>
      </c>
      <c r="C835" s="70">
        <v>973</v>
      </c>
      <c r="D835" s="70" t="s">
        <v>256</v>
      </c>
      <c r="E835" s="70">
        <v>3</v>
      </c>
      <c r="F835" s="72">
        <v>14.936500000000001</v>
      </c>
      <c r="G835" s="72">
        <v>3.8593999999999999</v>
      </c>
      <c r="H835" s="72">
        <v>15.159599999999999</v>
      </c>
      <c r="I835" s="72">
        <v>48489.804700000001</v>
      </c>
      <c r="J835" s="70">
        <v>318.18560000000002</v>
      </c>
      <c r="K835" s="72">
        <v>28340.527300000002</v>
      </c>
      <c r="L835" s="72">
        <v>66.701999999999998</v>
      </c>
      <c r="M835" s="70" t="s">
        <v>257</v>
      </c>
      <c r="N835" s="77">
        <v>123.31</v>
      </c>
      <c r="O835" s="70">
        <v>4</v>
      </c>
      <c r="P835" s="70"/>
      <c r="Q835" s="62" t="s">
        <v>258</v>
      </c>
    </row>
    <row r="836" spans="1:17" ht="13.8" customHeight="1" x14ac:dyDescent="0.3">
      <c r="A836" s="73" t="s">
        <v>335</v>
      </c>
      <c r="B836" s="74">
        <f>IFERROR(INDEX('Boulder Sample Log'!A$5:A$204,MATCH(A836,'Boulder Sample Log'!E$5:E$204,0)),"")</f>
        <v>46130</v>
      </c>
      <c r="C836" s="73">
        <v>974</v>
      </c>
      <c r="D836" s="73" t="s">
        <v>256</v>
      </c>
      <c r="E836" s="73">
        <v>3</v>
      </c>
      <c r="F836" s="75">
        <v>33.131700000000002</v>
      </c>
      <c r="G836" s="75" t="s">
        <v>257</v>
      </c>
      <c r="H836" s="75">
        <v>15.068099999999999</v>
      </c>
      <c r="I836" s="75">
        <v>33698.429700000001</v>
      </c>
      <c r="J836" s="73">
        <v>355.77929999999998</v>
      </c>
      <c r="K836" s="75">
        <v>7791.2964000000002</v>
      </c>
      <c r="L836" s="75">
        <v>82.190399999999997</v>
      </c>
      <c r="M836" s="73">
        <v>5.8228999999999997</v>
      </c>
      <c r="N836" s="76">
        <v>123.1</v>
      </c>
      <c r="O836" s="73">
        <v>4</v>
      </c>
      <c r="P836" s="73"/>
      <c r="Q836" s="66" t="s">
        <v>258</v>
      </c>
    </row>
    <row r="837" spans="1:17" ht="13.8" customHeight="1" x14ac:dyDescent="0.3">
      <c r="A837" s="70" t="s">
        <v>335</v>
      </c>
      <c r="B837" s="71">
        <f>IFERROR(INDEX('Boulder Sample Log'!A$5:A$204,MATCH(A837,'Boulder Sample Log'!E$5:E$204,0)),"")</f>
        <v>46130</v>
      </c>
      <c r="C837" s="70">
        <v>975</v>
      </c>
      <c r="D837" s="70" t="s">
        <v>256</v>
      </c>
      <c r="E837" s="70">
        <v>4</v>
      </c>
      <c r="F837" s="72">
        <v>41.666899999999998</v>
      </c>
      <c r="G837" s="72">
        <v>196.5882</v>
      </c>
      <c r="H837" s="72">
        <v>9.5469000000000008</v>
      </c>
      <c r="I837" s="72">
        <v>13051.0332</v>
      </c>
      <c r="J837" s="70" t="s">
        <v>257</v>
      </c>
      <c r="K837" s="72">
        <v>70723.140599999999</v>
      </c>
      <c r="L837" s="72">
        <v>12.891500000000001</v>
      </c>
      <c r="M837" s="70">
        <v>9.9382999999999999</v>
      </c>
      <c r="N837" s="77">
        <v>120.3</v>
      </c>
      <c r="O837" s="70">
        <v>4</v>
      </c>
      <c r="P837" s="70"/>
      <c r="Q837" s="62" t="s">
        <v>258</v>
      </c>
    </row>
    <row r="838" spans="1:17" ht="13.8" customHeight="1" x14ac:dyDescent="0.3">
      <c r="A838" s="73" t="s">
        <v>335</v>
      </c>
      <c r="B838" s="74">
        <f>IFERROR(INDEX('Boulder Sample Log'!A$5:A$204,MATCH(A838,'Boulder Sample Log'!E$5:E$204,0)),"")</f>
        <v>46130</v>
      </c>
      <c r="C838" s="73">
        <v>976</v>
      </c>
      <c r="D838" s="73" t="s">
        <v>256</v>
      </c>
      <c r="E838" s="73">
        <v>4</v>
      </c>
      <c r="F838" s="75">
        <v>39.403300000000002</v>
      </c>
      <c r="G838" s="75">
        <v>239.56039999999999</v>
      </c>
      <c r="H838" s="75">
        <v>7.9842000000000004</v>
      </c>
      <c r="I838" s="75">
        <v>15922.8496</v>
      </c>
      <c r="J838" s="73" t="s">
        <v>257</v>
      </c>
      <c r="K838" s="75">
        <v>45942.304700000001</v>
      </c>
      <c r="L838" s="75">
        <v>15.598100000000001</v>
      </c>
      <c r="M838" s="73">
        <v>10.415699999999999</v>
      </c>
      <c r="N838" s="76">
        <v>120.47</v>
      </c>
      <c r="O838" s="73">
        <v>4</v>
      </c>
      <c r="P838" s="73"/>
      <c r="Q838" s="66" t="s">
        <v>258</v>
      </c>
    </row>
    <row r="839" spans="1:17" ht="13.8" customHeight="1" x14ac:dyDescent="0.3">
      <c r="A839" s="70" t="s">
        <v>335</v>
      </c>
      <c r="B839" s="71">
        <f>IFERROR(INDEX('Boulder Sample Log'!A$5:A$204,MATCH(A839,'Boulder Sample Log'!E$5:E$204,0)),"")</f>
        <v>46130</v>
      </c>
      <c r="C839" s="70">
        <v>977</v>
      </c>
      <c r="D839" s="70" t="s">
        <v>256</v>
      </c>
      <c r="E839" s="70">
        <v>5</v>
      </c>
      <c r="F839" s="72">
        <v>56.811</v>
      </c>
      <c r="G839" s="72">
        <v>284.81900000000002</v>
      </c>
      <c r="H839" s="72">
        <v>7.2176999999999998</v>
      </c>
      <c r="I839" s="72">
        <v>24126.050800000001</v>
      </c>
      <c r="J839" s="70" t="s">
        <v>257</v>
      </c>
      <c r="K839" s="72">
        <v>13329.8408</v>
      </c>
      <c r="L839" s="72">
        <v>16.239100000000001</v>
      </c>
      <c r="M839" s="70">
        <v>19.5474</v>
      </c>
      <c r="N839" s="77">
        <v>120.43</v>
      </c>
      <c r="O839" s="70">
        <v>4</v>
      </c>
      <c r="P839" s="70"/>
      <c r="Q839" s="62" t="s">
        <v>258</v>
      </c>
    </row>
    <row r="840" spans="1:17" ht="13.8" customHeight="1" x14ac:dyDescent="0.3">
      <c r="A840" s="73" t="s">
        <v>335</v>
      </c>
      <c r="B840" s="74">
        <f>IFERROR(INDEX('Boulder Sample Log'!A$5:A$204,MATCH(A840,'Boulder Sample Log'!E$5:E$204,0)),"")</f>
        <v>46130</v>
      </c>
      <c r="C840" s="73">
        <v>978</v>
      </c>
      <c r="D840" s="73" t="s">
        <v>256</v>
      </c>
      <c r="E840" s="73">
        <v>5</v>
      </c>
      <c r="F840" s="75">
        <v>66.2804</v>
      </c>
      <c r="G840" s="75">
        <v>249.74700000000001</v>
      </c>
      <c r="H840" s="75">
        <v>5.2568999999999999</v>
      </c>
      <c r="I840" s="75">
        <v>33411.179700000001</v>
      </c>
      <c r="J840" s="73" t="s">
        <v>257</v>
      </c>
      <c r="K840" s="75">
        <v>15384.997100000001</v>
      </c>
      <c r="L840" s="75">
        <v>27.572700000000001</v>
      </c>
      <c r="M840" s="73">
        <v>33.996600000000001</v>
      </c>
      <c r="N840" s="76">
        <v>120.33</v>
      </c>
      <c r="O840" s="73">
        <v>4</v>
      </c>
      <c r="P840" s="73"/>
      <c r="Q840" s="66" t="s">
        <v>258</v>
      </c>
    </row>
    <row r="841" spans="1:17" ht="13.8" customHeight="1" x14ac:dyDescent="0.3">
      <c r="A841" s="70" t="s">
        <v>336</v>
      </c>
      <c r="B841" s="71">
        <f>IFERROR(INDEX('Boulder Sample Log'!A$5:A$204,MATCH(A841,'Boulder Sample Log'!E$5:E$204,0)),"")</f>
        <v>46130</v>
      </c>
      <c r="C841" s="70">
        <v>979</v>
      </c>
      <c r="D841" s="70" t="s">
        <v>256</v>
      </c>
      <c r="E841" s="70">
        <v>1</v>
      </c>
      <c r="F841" s="72">
        <v>74.145200000000003</v>
      </c>
      <c r="G841" s="72" t="s">
        <v>257</v>
      </c>
      <c r="H841" s="72">
        <v>20.361999999999998</v>
      </c>
      <c r="I841" s="72">
        <v>1932.5944999999999</v>
      </c>
      <c r="J841" s="70" t="s">
        <v>257</v>
      </c>
      <c r="K841" s="72">
        <v>3801.8020000000001</v>
      </c>
      <c r="L841" s="72" t="s">
        <v>257</v>
      </c>
      <c r="M841" s="70" t="s">
        <v>257</v>
      </c>
      <c r="N841" s="77">
        <v>120.22</v>
      </c>
      <c r="O841" s="70">
        <v>4</v>
      </c>
      <c r="P841" s="70"/>
      <c r="Q841" s="62" t="s">
        <v>258</v>
      </c>
    </row>
    <row r="842" spans="1:17" ht="13.8" customHeight="1" x14ac:dyDescent="0.3">
      <c r="A842" s="73" t="s">
        <v>336</v>
      </c>
      <c r="B842" s="74">
        <f>IFERROR(INDEX('Boulder Sample Log'!A$5:A$204,MATCH(A842,'Boulder Sample Log'!E$5:E$204,0)),"")</f>
        <v>46130</v>
      </c>
      <c r="C842" s="73">
        <v>980</v>
      </c>
      <c r="D842" s="73" t="s">
        <v>256</v>
      </c>
      <c r="E842" s="73">
        <v>1</v>
      </c>
      <c r="F842" s="75">
        <v>77.050200000000004</v>
      </c>
      <c r="G842" s="75" t="s">
        <v>257</v>
      </c>
      <c r="H842" s="75">
        <v>16.653300000000002</v>
      </c>
      <c r="I842" s="75">
        <v>1943.7787000000001</v>
      </c>
      <c r="J842" s="73" t="s">
        <v>257</v>
      </c>
      <c r="K842" s="75">
        <v>3868.875</v>
      </c>
      <c r="L842" s="75" t="s">
        <v>257</v>
      </c>
      <c r="M842" s="73" t="s">
        <v>257</v>
      </c>
      <c r="N842" s="76">
        <v>122.83</v>
      </c>
      <c r="O842" s="73">
        <v>4</v>
      </c>
      <c r="P842" s="73"/>
      <c r="Q842" s="66" t="s">
        <v>258</v>
      </c>
    </row>
    <row r="843" spans="1:17" ht="13.8" customHeight="1" x14ac:dyDescent="0.3">
      <c r="A843" s="70" t="s">
        <v>336</v>
      </c>
      <c r="B843" s="71">
        <f>IFERROR(INDEX('Boulder Sample Log'!A$5:A$204,MATCH(A843,'Boulder Sample Log'!E$5:E$204,0)),"")</f>
        <v>46130</v>
      </c>
      <c r="C843" s="70">
        <v>981</v>
      </c>
      <c r="D843" s="70" t="s">
        <v>256</v>
      </c>
      <c r="E843" s="70">
        <v>2</v>
      </c>
      <c r="F843" s="72">
        <v>35.694299999999998</v>
      </c>
      <c r="G843" s="72" t="s">
        <v>257</v>
      </c>
      <c r="H843" s="72">
        <v>2.7770000000000001</v>
      </c>
      <c r="I843" s="72">
        <v>1357.3889999999999</v>
      </c>
      <c r="J843" s="70" t="s">
        <v>257</v>
      </c>
      <c r="K843" s="72">
        <v>1998.2383</v>
      </c>
      <c r="L843" s="72" t="s">
        <v>257</v>
      </c>
      <c r="M843" s="70" t="s">
        <v>257</v>
      </c>
      <c r="N843" s="77">
        <v>123.03</v>
      </c>
      <c r="O843" s="70">
        <v>4</v>
      </c>
      <c r="P843" s="70"/>
      <c r="Q843" s="62" t="s">
        <v>258</v>
      </c>
    </row>
    <row r="844" spans="1:17" ht="13.8" customHeight="1" x14ac:dyDescent="0.3">
      <c r="A844" s="73" t="s">
        <v>336</v>
      </c>
      <c r="B844" s="74">
        <f>IFERROR(INDEX('Boulder Sample Log'!A$5:A$204,MATCH(A844,'Boulder Sample Log'!E$5:E$204,0)),"")</f>
        <v>46130</v>
      </c>
      <c r="C844" s="73">
        <v>982</v>
      </c>
      <c r="D844" s="73" t="s">
        <v>256</v>
      </c>
      <c r="E844" s="73">
        <v>2</v>
      </c>
      <c r="F844" s="75">
        <v>34.1327</v>
      </c>
      <c r="G844" s="75" t="s">
        <v>257</v>
      </c>
      <c r="H844" s="75">
        <v>4.4972000000000003</v>
      </c>
      <c r="I844" s="75">
        <v>1417.1857</v>
      </c>
      <c r="J844" s="73" t="s">
        <v>257</v>
      </c>
      <c r="K844" s="75">
        <v>1991.8503000000001</v>
      </c>
      <c r="L844" s="75" t="s">
        <v>257</v>
      </c>
      <c r="M844" s="73" t="s">
        <v>257</v>
      </c>
      <c r="N844" s="76">
        <v>120.77</v>
      </c>
      <c r="O844" s="73">
        <v>4</v>
      </c>
      <c r="P844" s="73"/>
      <c r="Q844" s="66" t="s">
        <v>258</v>
      </c>
    </row>
    <row r="845" spans="1:17" ht="13.8" customHeight="1" x14ac:dyDescent="0.3">
      <c r="A845" s="70" t="s">
        <v>336</v>
      </c>
      <c r="B845" s="71">
        <f>IFERROR(INDEX('Boulder Sample Log'!A$5:A$204,MATCH(A845,'Boulder Sample Log'!E$5:E$204,0)),"")</f>
        <v>46130</v>
      </c>
      <c r="C845" s="70">
        <v>983</v>
      </c>
      <c r="D845" s="70" t="s">
        <v>256</v>
      </c>
      <c r="E845" s="70">
        <v>3</v>
      </c>
      <c r="F845" s="72">
        <v>83.140699999999995</v>
      </c>
      <c r="G845" s="72" t="s">
        <v>257</v>
      </c>
      <c r="H845" s="72">
        <v>3.165</v>
      </c>
      <c r="I845" s="72">
        <v>1034.9344000000001</v>
      </c>
      <c r="J845" s="70" t="s">
        <v>257</v>
      </c>
      <c r="K845" s="72">
        <v>4353.4663</v>
      </c>
      <c r="L845" s="72">
        <v>4.1745999999999999</v>
      </c>
      <c r="M845" s="70" t="s">
        <v>257</v>
      </c>
      <c r="N845" s="77">
        <v>123.26</v>
      </c>
      <c r="O845" s="70">
        <v>4</v>
      </c>
      <c r="P845" s="70"/>
      <c r="Q845" s="62" t="s">
        <v>258</v>
      </c>
    </row>
    <row r="846" spans="1:17" ht="13.8" customHeight="1" x14ac:dyDescent="0.3">
      <c r="A846" s="73" t="s">
        <v>336</v>
      </c>
      <c r="B846" s="74">
        <f>IFERROR(INDEX('Boulder Sample Log'!A$5:A$204,MATCH(A846,'Boulder Sample Log'!E$5:E$204,0)),"")</f>
        <v>46130</v>
      </c>
      <c r="C846" s="73">
        <v>985</v>
      </c>
      <c r="D846" s="73" t="s">
        <v>256</v>
      </c>
      <c r="E846" s="73">
        <v>3</v>
      </c>
      <c r="F846" s="75">
        <v>39.456400000000002</v>
      </c>
      <c r="G846" s="75" t="s">
        <v>257</v>
      </c>
      <c r="H846" s="75">
        <v>5.8049999999999997</v>
      </c>
      <c r="I846" s="75">
        <v>1218.3710000000001</v>
      </c>
      <c r="J846" s="73" t="s">
        <v>257</v>
      </c>
      <c r="K846" s="75">
        <v>4377.7103999999999</v>
      </c>
      <c r="L846" s="75">
        <v>2.7172000000000001</v>
      </c>
      <c r="M846" s="73" t="s">
        <v>257</v>
      </c>
      <c r="N846" s="76">
        <v>120.24</v>
      </c>
      <c r="O846" s="73">
        <v>4</v>
      </c>
      <c r="P846" s="73"/>
      <c r="Q846" s="66" t="s">
        <v>258</v>
      </c>
    </row>
    <row r="847" spans="1:17" ht="13.8" customHeight="1" x14ac:dyDescent="0.3">
      <c r="A847" s="70" t="s">
        <v>336</v>
      </c>
      <c r="B847" s="71">
        <f>IFERROR(INDEX('Boulder Sample Log'!A$5:A$204,MATCH(A847,'Boulder Sample Log'!E$5:E$204,0)),"")</f>
        <v>46130</v>
      </c>
      <c r="C847" s="70">
        <v>986</v>
      </c>
      <c r="D847" s="70" t="s">
        <v>256</v>
      </c>
      <c r="E847" s="70">
        <v>4</v>
      </c>
      <c r="F847" s="72">
        <v>12.3057</v>
      </c>
      <c r="G847" s="72" t="s">
        <v>257</v>
      </c>
      <c r="H847" s="72" t="s">
        <v>257</v>
      </c>
      <c r="I847" s="72">
        <v>2703.7363</v>
      </c>
      <c r="J847" s="70" t="s">
        <v>257</v>
      </c>
      <c r="K847" s="72">
        <v>2696.0718000000002</v>
      </c>
      <c r="L847" s="72" t="s">
        <v>257</v>
      </c>
      <c r="M847" s="70" t="s">
        <v>257</v>
      </c>
      <c r="N847" s="77">
        <v>120</v>
      </c>
      <c r="O847" s="70">
        <v>4</v>
      </c>
      <c r="P847" s="70"/>
      <c r="Q847" s="62" t="s">
        <v>258</v>
      </c>
    </row>
    <row r="848" spans="1:17" ht="13.8" customHeight="1" x14ac:dyDescent="0.3">
      <c r="A848" s="73" t="s">
        <v>336</v>
      </c>
      <c r="B848" s="74">
        <f>IFERROR(INDEX('Boulder Sample Log'!A$5:A$204,MATCH(A848,'Boulder Sample Log'!E$5:E$204,0)),"")</f>
        <v>46130</v>
      </c>
      <c r="C848" s="73">
        <v>987</v>
      </c>
      <c r="D848" s="73" t="s">
        <v>256</v>
      </c>
      <c r="E848" s="73">
        <v>4</v>
      </c>
      <c r="F848" s="75">
        <v>27.558700000000002</v>
      </c>
      <c r="G848" s="75" t="s">
        <v>257</v>
      </c>
      <c r="H848" s="75" t="s">
        <v>257</v>
      </c>
      <c r="I848" s="75">
        <v>4714.1674999999996</v>
      </c>
      <c r="J848" s="73" t="s">
        <v>257</v>
      </c>
      <c r="K848" s="75">
        <v>4577.0645000000004</v>
      </c>
      <c r="L848" s="75">
        <v>17.340199999999999</v>
      </c>
      <c r="M848" s="73" t="s">
        <v>257</v>
      </c>
      <c r="N848" s="76">
        <v>120.54</v>
      </c>
      <c r="O848" s="73">
        <v>4</v>
      </c>
      <c r="P848" s="73"/>
      <c r="Q848" s="66" t="s">
        <v>258</v>
      </c>
    </row>
    <row r="849" spans="1:17" ht="13.8" customHeight="1" x14ac:dyDescent="0.3">
      <c r="A849" s="70" t="s">
        <v>336</v>
      </c>
      <c r="B849" s="71">
        <f>IFERROR(INDEX('Boulder Sample Log'!A$5:A$204,MATCH(A849,'Boulder Sample Log'!E$5:E$204,0)),"")</f>
        <v>46130</v>
      </c>
      <c r="C849" s="70">
        <v>988</v>
      </c>
      <c r="D849" s="70" t="s">
        <v>256</v>
      </c>
      <c r="E849" s="70">
        <v>5</v>
      </c>
      <c r="F849" s="72">
        <v>54.231999999999999</v>
      </c>
      <c r="G849" s="72" t="s">
        <v>257</v>
      </c>
      <c r="H849" s="72">
        <v>27.598400000000002</v>
      </c>
      <c r="I849" s="72">
        <v>320.85129999999998</v>
      </c>
      <c r="J849" s="70">
        <v>70.086299999999994</v>
      </c>
      <c r="K849" s="72">
        <v>5481.2065000000002</v>
      </c>
      <c r="L849" s="72" t="s">
        <v>257</v>
      </c>
      <c r="M849" s="70">
        <v>3.7877999999999998</v>
      </c>
      <c r="N849" s="77">
        <v>122.82</v>
      </c>
      <c r="O849" s="70">
        <v>4</v>
      </c>
      <c r="P849" s="70"/>
      <c r="Q849" s="62" t="s">
        <v>258</v>
      </c>
    </row>
    <row r="850" spans="1:17" ht="13.8" customHeight="1" x14ac:dyDescent="0.3">
      <c r="A850" s="73" t="s">
        <v>336</v>
      </c>
      <c r="B850" s="74">
        <f>IFERROR(INDEX('Boulder Sample Log'!A$5:A$204,MATCH(A850,'Boulder Sample Log'!E$5:E$204,0)),"")</f>
        <v>46130</v>
      </c>
      <c r="C850" s="73">
        <v>989</v>
      </c>
      <c r="D850" s="73" t="s">
        <v>256</v>
      </c>
      <c r="E850" s="73">
        <v>5</v>
      </c>
      <c r="F850" s="75">
        <v>34.018900000000002</v>
      </c>
      <c r="G850" s="75" t="s">
        <v>257</v>
      </c>
      <c r="H850" s="75">
        <v>28.6037</v>
      </c>
      <c r="I850" s="75">
        <v>625.0575</v>
      </c>
      <c r="J850" s="73">
        <v>65.144999999999996</v>
      </c>
      <c r="K850" s="75">
        <v>6010.9741000000004</v>
      </c>
      <c r="L850" s="75" t="s">
        <v>257</v>
      </c>
      <c r="M850" s="73" t="s">
        <v>257</v>
      </c>
      <c r="N850" s="76">
        <v>120.21</v>
      </c>
      <c r="O850" s="73">
        <v>4</v>
      </c>
      <c r="P850" s="73"/>
      <c r="Q850" s="66" t="s">
        <v>258</v>
      </c>
    </row>
    <row r="851" spans="1:17" ht="13.8" customHeight="1" x14ac:dyDescent="0.3">
      <c r="A851" s="70" t="s">
        <v>337</v>
      </c>
      <c r="B851" s="71">
        <f>IFERROR(INDEX('Boulder Sample Log'!A$5:A$204,MATCH(A851,'Boulder Sample Log'!E$5:E$204,0)),"")</f>
        <v>46130</v>
      </c>
      <c r="C851" s="70">
        <v>990</v>
      </c>
      <c r="D851" s="70" t="s">
        <v>256</v>
      </c>
      <c r="E851" s="70">
        <v>1</v>
      </c>
      <c r="F851" s="72">
        <v>12.447800000000001</v>
      </c>
      <c r="G851" s="72" t="s">
        <v>257</v>
      </c>
      <c r="H851" s="72">
        <v>13.9747</v>
      </c>
      <c r="I851" s="72">
        <v>84671.210900000005</v>
      </c>
      <c r="J851" s="70">
        <v>53.6982</v>
      </c>
      <c r="K851" s="72">
        <v>34627.402300000002</v>
      </c>
      <c r="L851" s="72">
        <v>38.277900000000002</v>
      </c>
      <c r="M851" s="70">
        <v>21.704699999999999</v>
      </c>
      <c r="N851" s="77">
        <v>120</v>
      </c>
      <c r="O851" s="70">
        <v>4</v>
      </c>
      <c r="P851" s="70"/>
      <c r="Q851" s="62" t="s">
        <v>258</v>
      </c>
    </row>
    <row r="852" spans="1:17" ht="13.8" customHeight="1" x14ac:dyDescent="0.3">
      <c r="A852" s="73" t="s">
        <v>337</v>
      </c>
      <c r="B852" s="74">
        <f>IFERROR(INDEX('Boulder Sample Log'!A$5:A$204,MATCH(A852,'Boulder Sample Log'!E$5:E$204,0)),"")</f>
        <v>46130</v>
      </c>
      <c r="C852" s="73">
        <v>991</v>
      </c>
      <c r="D852" s="73" t="s">
        <v>256</v>
      </c>
      <c r="E852" s="73">
        <v>1</v>
      </c>
      <c r="F852" s="75">
        <v>9.9741</v>
      </c>
      <c r="G852" s="75" t="s">
        <v>257</v>
      </c>
      <c r="H852" s="75">
        <v>13.5908</v>
      </c>
      <c r="I852" s="75">
        <v>78398.703099999999</v>
      </c>
      <c r="J852" s="73">
        <v>51.1357</v>
      </c>
      <c r="K852" s="75">
        <v>32217.9277</v>
      </c>
      <c r="L852" s="75">
        <v>40.875999999999998</v>
      </c>
      <c r="M852" s="73">
        <v>19.332999999999998</v>
      </c>
      <c r="N852" s="76">
        <v>120.5</v>
      </c>
      <c r="O852" s="73">
        <v>4</v>
      </c>
      <c r="P852" s="73"/>
      <c r="Q852" s="66" t="s">
        <v>258</v>
      </c>
    </row>
    <row r="853" spans="1:17" ht="13.8" customHeight="1" x14ac:dyDescent="0.3">
      <c r="A853" s="70" t="s">
        <v>337</v>
      </c>
      <c r="B853" s="71">
        <f>IFERROR(INDEX('Boulder Sample Log'!A$5:A$204,MATCH(A853,'Boulder Sample Log'!E$5:E$204,0)),"")</f>
        <v>46130</v>
      </c>
      <c r="C853" s="70">
        <v>992</v>
      </c>
      <c r="D853" s="70" t="s">
        <v>256</v>
      </c>
      <c r="E853" s="70">
        <v>2</v>
      </c>
      <c r="F853" s="72">
        <v>21.792300000000001</v>
      </c>
      <c r="G853" s="72" t="s">
        <v>257</v>
      </c>
      <c r="H853" s="72">
        <v>6.4577999999999998</v>
      </c>
      <c r="I853" s="72">
        <v>5754.7782999999999</v>
      </c>
      <c r="J853" s="70">
        <v>28.3613</v>
      </c>
      <c r="K853" s="72">
        <v>5082.4897000000001</v>
      </c>
      <c r="L853" s="72" t="s">
        <v>257</v>
      </c>
      <c r="M853" s="70">
        <v>3.2480000000000002</v>
      </c>
      <c r="N853" s="77">
        <v>123.02</v>
      </c>
      <c r="O853" s="70">
        <v>4</v>
      </c>
      <c r="P853" s="70"/>
      <c r="Q853" s="62" t="s">
        <v>258</v>
      </c>
    </row>
    <row r="854" spans="1:17" ht="13.8" customHeight="1" x14ac:dyDescent="0.3">
      <c r="A854" s="73" t="s">
        <v>337</v>
      </c>
      <c r="B854" s="74">
        <f>IFERROR(INDEX('Boulder Sample Log'!A$5:A$204,MATCH(A854,'Boulder Sample Log'!E$5:E$204,0)),"")</f>
        <v>46130</v>
      </c>
      <c r="C854" s="73">
        <v>993</v>
      </c>
      <c r="D854" s="73" t="s">
        <v>256</v>
      </c>
      <c r="E854" s="73">
        <v>2</v>
      </c>
      <c r="F854" s="75">
        <v>744.68939999999998</v>
      </c>
      <c r="G854" s="75" t="s">
        <v>257</v>
      </c>
      <c r="H854" s="75" t="s">
        <v>257</v>
      </c>
      <c r="I854" s="75">
        <v>93590.25</v>
      </c>
      <c r="J854" s="73" t="s">
        <v>257</v>
      </c>
      <c r="K854" s="75">
        <v>28906.679700000001</v>
      </c>
      <c r="L854" s="75" t="s">
        <v>257</v>
      </c>
      <c r="M854" s="73" t="s">
        <v>257</v>
      </c>
      <c r="N854" s="76">
        <v>120.56</v>
      </c>
      <c r="O854" s="73">
        <v>4</v>
      </c>
      <c r="P854" s="73"/>
      <c r="Q854" s="66" t="s">
        <v>258</v>
      </c>
    </row>
    <row r="855" spans="1:17" ht="13.8" customHeight="1" x14ac:dyDescent="0.3">
      <c r="A855" s="70" t="s">
        <v>337</v>
      </c>
      <c r="B855" s="71">
        <f>IFERROR(INDEX('Boulder Sample Log'!A$5:A$204,MATCH(A855,'Boulder Sample Log'!E$5:E$204,0)),"")</f>
        <v>46130</v>
      </c>
      <c r="C855" s="70">
        <v>994</v>
      </c>
      <c r="D855" s="70" t="s">
        <v>256</v>
      </c>
      <c r="E855" s="70">
        <v>3</v>
      </c>
      <c r="F855" s="72">
        <v>383.33800000000002</v>
      </c>
      <c r="G855" s="72" t="s">
        <v>257</v>
      </c>
      <c r="H855" s="72" t="s">
        <v>257</v>
      </c>
      <c r="I855" s="72">
        <v>66570.585900000005</v>
      </c>
      <c r="J855" s="70" t="s">
        <v>257</v>
      </c>
      <c r="K855" s="72">
        <v>21960.8066</v>
      </c>
      <c r="L855" s="72" t="s">
        <v>257</v>
      </c>
      <c r="M855" s="70" t="s">
        <v>257</v>
      </c>
      <c r="N855" s="77">
        <v>120.48</v>
      </c>
      <c r="O855" s="70">
        <v>4</v>
      </c>
      <c r="P855" s="70"/>
      <c r="Q855" s="62" t="s">
        <v>258</v>
      </c>
    </row>
    <row r="856" spans="1:17" ht="13.8" customHeight="1" x14ac:dyDescent="0.3">
      <c r="A856" s="73" t="s">
        <v>337</v>
      </c>
      <c r="B856" s="74">
        <f>IFERROR(INDEX('Boulder Sample Log'!A$5:A$204,MATCH(A856,'Boulder Sample Log'!E$5:E$204,0)),"")</f>
        <v>46130</v>
      </c>
      <c r="C856" s="73">
        <v>995</v>
      </c>
      <c r="D856" s="73" t="s">
        <v>256</v>
      </c>
      <c r="E856" s="73">
        <v>3</v>
      </c>
      <c r="F856" s="75">
        <v>6.7503000000000002</v>
      </c>
      <c r="G856" s="75">
        <v>1.4883</v>
      </c>
      <c r="H856" s="75" t="s">
        <v>257</v>
      </c>
      <c r="I856" s="75">
        <v>103969.7969</v>
      </c>
      <c r="J856" s="73">
        <v>150.9556</v>
      </c>
      <c r="K856" s="75">
        <v>50956.898399999998</v>
      </c>
      <c r="L856" s="75">
        <v>32.914299999999997</v>
      </c>
      <c r="M856" s="73">
        <v>28.603200000000001</v>
      </c>
      <c r="N856" s="76">
        <v>120.6</v>
      </c>
      <c r="O856" s="73">
        <v>4</v>
      </c>
      <c r="P856" s="73"/>
      <c r="Q856" s="66" t="s">
        <v>258</v>
      </c>
    </row>
    <row r="857" spans="1:17" ht="13.8" customHeight="1" x14ac:dyDescent="0.3">
      <c r="A857" s="70" t="s">
        <v>337</v>
      </c>
      <c r="B857" s="71">
        <f>IFERROR(INDEX('Boulder Sample Log'!A$5:A$204,MATCH(A857,'Boulder Sample Log'!E$5:E$204,0)),"")</f>
        <v>46130</v>
      </c>
      <c r="C857" s="70">
        <v>996</v>
      </c>
      <c r="D857" s="70" t="s">
        <v>256</v>
      </c>
      <c r="E857" s="70">
        <v>3</v>
      </c>
      <c r="F857" s="72" t="s">
        <v>257</v>
      </c>
      <c r="G857" s="72" t="s">
        <v>257</v>
      </c>
      <c r="H857" s="72" t="s">
        <v>257</v>
      </c>
      <c r="I857" s="72" t="s">
        <v>257</v>
      </c>
      <c r="J857" s="70">
        <v>683.57560000000001</v>
      </c>
      <c r="K857" s="72">
        <v>47594.570299999999</v>
      </c>
      <c r="L857" s="72" t="s">
        <v>257</v>
      </c>
      <c r="M857" s="70" t="s">
        <v>257</v>
      </c>
      <c r="N857" s="77">
        <v>124.48</v>
      </c>
      <c r="O857" s="70">
        <v>4</v>
      </c>
      <c r="P857" s="70"/>
      <c r="Q857" s="62" t="s">
        <v>258</v>
      </c>
    </row>
    <row r="858" spans="1:17" ht="13.8" customHeight="1" x14ac:dyDescent="0.3">
      <c r="A858" s="73" t="s">
        <v>337</v>
      </c>
      <c r="B858" s="74">
        <f>IFERROR(INDEX('Boulder Sample Log'!A$5:A$204,MATCH(A858,'Boulder Sample Log'!E$5:E$204,0)),"")</f>
        <v>46130</v>
      </c>
      <c r="C858" s="73">
        <v>997</v>
      </c>
      <c r="D858" s="73" t="s">
        <v>256</v>
      </c>
      <c r="E858" s="73">
        <v>4</v>
      </c>
      <c r="F858" s="75" t="s">
        <v>257</v>
      </c>
      <c r="G858" s="75" t="s">
        <v>257</v>
      </c>
      <c r="H858" s="75">
        <v>6.6151999999999997</v>
      </c>
      <c r="I858" s="75">
        <v>104543.6875</v>
      </c>
      <c r="J858" s="73" t="s">
        <v>257</v>
      </c>
      <c r="K858" s="75">
        <v>14808.955099999999</v>
      </c>
      <c r="L858" s="75" t="s">
        <v>257</v>
      </c>
      <c r="M858" s="73">
        <v>36.414200000000001</v>
      </c>
      <c r="N858" s="76">
        <v>122.98</v>
      </c>
      <c r="O858" s="73">
        <v>4</v>
      </c>
      <c r="P858" s="73"/>
      <c r="Q858" s="66" t="s">
        <v>258</v>
      </c>
    </row>
    <row r="859" spans="1:17" ht="13.8" customHeight="1" x14ac:dyDescent="0.3">
      <c r="A859" s="70" t="s">
        <v>337</v>
      </c>
      <c r="B859" s="71">
        <f>IFERROR(INDEX('Boulder Sample Log'!A$5:A$204,MATCH(A859,'Boulder Sample Log'!E$5:E$204,0)),"")</f>
        <v>46130</v>
      </c>
      <c r="C859" s="70">
        <v>998</v>
      </c>
      <c r="D859" s="70" t="s">
        <v>256</v>
      </c>
      <c r="E859" s="70">
        <v>4</v>
      </c>
      <c r="F859" s="72">
        <v>13.821899999999999</v>
      </c>
      <c r="G859" s="72" t="s">
        <v>257</v>
      </c>
      <c r="H859" s="72">
        <v>8.7805999999999997</v>
      </c>
      <c r="I859" s="72">
        <v>116385.69530000001</v>
      </c>
      <c r="J859" s="70" t="s">
        <v>257</v>
      </c>
      <c r="K859" s="72">
        <v>22545.265599999999</v>
      </c>
      <c r="L859" s="72" t="s">
        <v>257</v>
      </c>
      <c r="M859" s="70">
        <v>41.727800000000002</v>
      </c>
      <c r="N859" s="77">
        <v>120.5</v>
      </c>
      <c r="O859" s="70">
        <v>4</v>
      </c>
      <c r="P859" s="70"/>
      <c r="Q859" s="62" t="s">
        <v>258</v>
      </c>
    </row>
    <row r="860" spans="1:17" ht="13.8" customHeight="1" x14ac:dyDescent="0.3">
      <c r="A860" s="73" t="s">
        <v>337</v>
      </c>
      <c r="B860" s="74">
        <f>IFERROR(INDEX('Boulder Sample Log'!A$5:A$204,MATCH(A860,'Boulder Sample Log'!E$5:E$204,0)),"")</f>
        <v>46130</v>
      </c>
      <c r="C860" s="73">
        <v>999</v>
      </c>
      <c r="D860" s="73" t="s">
        <v>256</v>
      </c>
      <c r="E860" s="73">
        <v>5</v>
      </c>
      <c r="F860" s="75">
        <v>16.868400000000001</v>
      </c>
      <c r="G860" s="75" t="s">
        <v>257</v>
      </c>
      <c r="H860" s="75">
        <v>8.3792000000000009</v>
      </c>
      <c r="I860" s="75">
        <v>51328.707000000002</v>
      </c>
      <c r="J860" s="73">
        <v>243.2628</v>
      </c>
      <c r="K860" s="75">
        <v>19402.150399999999</v>
      </c>
      <c r="L860" s="75">
        <v>50.621200000000002</v>
      </c>
      <c r="M860" s="73">
        <v>19.380600000000001</v>
      </c>
      <c r="N860" s="76">
        <v>120.44</v>
      </c>
      <c r="O860" s="73">
        <v>4</v>
      </c>
      <c r="P860" s="73"/>
      <c r="Q860" s="66" t="s">
        <v>258</v>
      </c>
    </row>
    <row r="861" spans="1:17" ht="13.8" customHeight="1" x14ac:dyDescent="0.3">
      <c r="A861" s="70" t="s">
        <v>337</v>
      </c>
      <c r="B861" s="71">
        <f>IFERROR(INDEX('Boulder Sample Log'!A$5:A$204,MATCH(A861,'Boulder Sample Log'!E$5:E$204,0)),"")</f>
        <v>46130</v>
      </c>
      <c r="C861" s="70">
        <v>1000</v>
      </c>
      <c r="D861" s="70" t="s">
        <v>256</v>
      </c>
      <c r="E861" s="70">
        <v>5</v>
      </c>
      <c r="F861" s="72">
        <v>11.7767</v>
      </c>
      <c r="G861" s="72" t="s">
        <v>257</v>
      </c>
      <c r="H861" s="72">
        <v>8.9451999999999998</v>
      </c>
      <c r="I861" s="72">
        <v>44788.4375</v>
      </c>
      <c r="J861" s="70">
        <v>320.06900000000002</v>
      </c>
      <c r="K861" s="72">
        <v>17645.789100000002</v>
      </c>
      <c r="L861" s="72">
        <v>59.562800000000003</v>
      </c>
      <c r="M861" s="70">
        <v>15.3782</v>
      </c>
      <c r="N861" s="77">
        <v>120.79</v>
      </c>
      <c r="O861" s="70">
        <v>4</v>
      </c>
      <c r="P861" s="70"/>
      <c r="Q861" s="62" t="s">
        <v>258</v>
      </c>
    </row>
    <row r="862" spans="1:17" ht="13.8" customHeight="1" x14ac:dyDescent="0.3">
      <c r="A862" s="73" t="s">
        <v>338</v>
      </c>
      <c r="B862" s="74">
        <f>IFERROR(INDEX('Boulder Sample Log'!A$5:A$204,MATCH(A862,'Boulder Sample Log'!E$5:E$204,0)),"")</f>
        <v>46130</v>
      </c>
      <c r="C862" s="73">
        <v>1001</v>
      </c>
      <c r="D862" s="73" t="s">
        <v>256</v>
      </c>
      <c r="E862" s="73">
        <v>1</v>
      </c>
      <c r="F862" s="75" t="s">
        <v>257</v>
      </c>
      <c r="G862" s="75" t="s">
        <v>257</v>
      </c>
      <c r="H862" s="75" t="s">
        <v>257</v>
      </c>
      <c r="I862" s="75">
        <v>655.20240000000001</v>
      </c>
      <c r="J862" s="73" t="s">
        <v>257</v>
      </c>
      <c r="K862" s="75">
        <v>3808.4962999999998</v>
      </c>
      <c r="L862" s="75" t="s">
        <v>257</v>
      </c>
      <c r="M862" s="73" t="s">
        <v>257</v>
      </c>
      <c r="N862" s="76">
        <v>120.22</v>
      </c>
      <c r="O862" s="73">
        <v>4</v>
      </c>
      <c r="P862" s="73"/>
      <c r="Q862" s="66" t="s">
        <v>258</v>
      </c>
    </row>
    <row r="863" spans="1:17" ht="13.8" customHeight="1" x14ac:dyDescent="0.3">
      <c r="A863" s="70" t="s">
        <v>338</v>
      </c>
      <c r="B863" s="71">
        <f>IFERROR(INDEX('Boulder Sample Log'!A$5:A$204,MATCH(A863,'Boulder Sample Log'!E$5:E$204,0)),"")</f>
        <v>46130</v>
      </c>
      <c r="C863" s="70">
        <v>1002</v>
      </c>
      <c r="D863" s="70" t="s">
        <v>256</v>
      </c>
      <c r="E863" s="70">
        <v>1</v>
      </c>
      <c r="F863" s="72" t="s">
        <v>257</v>
      </c>
      <c r="G863" s="72" t="s">
        <v>257</v>
      </c>
      <c r="H863" s="72" t="s">
        <v>257</v>
      </c>
      <c r="I863" s="72">
        <v>586.40070000000003</v>
      </c>
      <c r="J863" s="70" t="s">
        <v>257</v>
      </c>
      <c r="K863" s="72">
        <v>3624.5164</v>
      </c>
      <c r="L863" s="72" t="s">
        <v>257</v>
      </c>
      <c r="M863" s="70" t="s">
        <v>257</v>
      </c>
      <c r="N863" s="77">
        <v>120.36</v>
      </c>
      <c r="O863" s="70">
        <v>4</v>
      </c>
      <c r="P863" s="70"/>
      <c r="Q863" s="62" t="s">
        <v>258</v>
      </c>
    </row>
    <row r="864" spans="1:17" ht="13.8" customHeight="1" x14ac:dyDescent="0.3">
      <c r="A864" s="73" t="s">
        <v>338</v>
      </c>
      <c r="B864" s="74">
        <f>IFERROR(INDEX('Boulder Sample Log'!A$5:A$204,MATCH(A864,'Boulder Sample Log'!E$5:E$204,0)),"")</f>
        <v>46130</v>
      </c>
      <c r="C864" s="73">
        <v>1003</v>
      </c>
      <c r="D864" s="73" t="s">
        <v>256</v>
      </c>
      <c r="E864" s="73">
        <v>2</v>
      </c>
      <c r="F864" s="75" t="s">
        <v>257</v>
      </c>
      <c r="G864" s="75" t="s">
        <v>257</v>
      </c>
      <c r="H864" s="75" t="s">
        <v>257</v>
      </c>
      <c r="I864" s="75">
        <v>684.54359999999997</v>
      </c>
      <c r="J864" s="73" t="s">
        <v>257</v>
      </c>
      <c r="K864" s="75">
        <v>1263.7274</v>
      </c>
      <c r="L864" s="75" t="s">
        <v>257</v>
      </c>
      <c r="M864" s="73" t="s">
        <v>257</v>
      </c>
      <c r="N864" s="76">
        <v>120.69</v>
      </c>
      <c r="O864" s="73">
        <v>4</v>
      </c>
      <c r="P864" s="73"/>
      <c r="Q864" s="66" t="s">
        <v>258</v>
      </c>
    </row>
    <row r="865" spans="1:17" ht="13.8" customHeight="1" x14ac:dyDescent="0.3">
      <c r="A865" s="70" t="s">
        <v>338</v>
      </c>
      <c r="B865" s="71">
        <f>IFERROR(INDEX('Boulder Sample Log'!A$5:A$204,MATCH(A865,'Boulder Sample Log'!E$5:E$204,0)),"")</f>
        <v>46130</v>
      </c>
      <c r="C865" s="70">
        <v>1004</v>
      </c>
      <c r="D865" s="70" t="s">
        <v>256</v>
      </c>
      <c r="E865" s="70">
        <v>2</v>
      </c>
      <c r="F865" s="72" t="s">
        <v>257</v>
      </c>
      <c r="G865" s="72" t="s">
        <v>257</v>
      </c>
      <c r="H865" s="72" t="s">
        <v>257</v>
      </c>
      <c r="I865" s="72">
        <v>552.7645</v>
      </c>
      <c r="J865" s="70" t="s">
        <v>257</v>
      </c>
      <c r="K865" s="72">
        <v>1256.4076</v>
      </c>
      <c r="L865" s="72" t="s">
        <v>257</v>
      </c>
      <c r="M865" s="70" t="s">
        <v>257</v>
      </c>
      <c r="N865" s="77">
        <v>120.49</v>
      </c>
      <c r="O865" s="70">
        <v>4</v>
      </c>
      <c r="P865" s="70"/>
      <c r="Q865" s="62" t="s">
        <v>258</v>
      </c>
    </row>
    <row r="866" spans="1:17" ht="13.8" customHeight="1" x14ac:dyDescent="0.3">
      <c r="A866" s="73" t="s">
        <v>338</v>
      </c>
      <c r="B866" s="74">
        <f>IFERROR(INDEX('Boulder Sample Log'!A$5:A$204,MATCH(A866,'Boulder Sample Log'!E$5:E$204,0)),"")</f>
        <v>46130</v>
      </c>
      <c r="C866" s="73">
        <v>1005</v>
      </c>
      <c r="D866" s="73" t="s">
        <v>256</v>
      </c>
      <c r="E866" s="73">
        <v>3</v>
      </c>
      <c r="F866" s="75" t="s">
        <v>257</v>
      </c>
      <c r="G866" s="75" t="s">
        <v>257</v>
      </c>
      <c r="H866" s="75" t="s">
        <v>257</v>
      </c>
      <c r="I866" s="75">
        <v>916.41409999999996</v>
      </c>
      <c r="J866" s="73" t="s">
        <v>257</v>
      </c>
      <c r="K866" s="75">
        <v>3860.6152000000002</v>
      </c>
      <c r="L866" s="75" t="s">
        <v>257</v>
      </c>
      <c r="M866" s="73" t="s">
        <v>257</v>
      </c>
      <c r="N866" s="76">
        <v>120.01</v>
      </c>
      <c r="O866" s="73">
        <v>4</v>
      </c>
      <c r="P866" s="73"/>
      <c r="Q866" s="66" t="s">
        <v>258</v>
      </c>
    </row>
    <row r="867" spans="1:17" ht="13.8" customHeight="1" x14ac:dyDescent="0.3">
      <c r="A867" s="70" t="s">
        <v>338</v>
      </c>
      <c r="B867" s="71">
        <f>IFERROR(INDEX('Boulder Sample Log'!A$5:A$204,MATCH(A867,'Boulder Sample Log'!E$5:E$204,0)),"")</f>
        <v>46130</v>
      </c>
      <c r="C867" s="70">
        <v>1006</v>
      </c>
      <c r="D867" s="70" t="s">
        <v>256</v>
      </c>
      <c r="E867" s="70">
        <v>3</v>
      </c>
      <c r="F867" s="72" t="s">
        <v>257</v>
      </c>
      <c r="G867" s="72" t="s">
        <v>257</v>
      </c>
      <c r="H867" s="72" t="s">
        <v>257</v>
      </c>
      <c r="I867" s="72">
        <v>864.94899999999996</v>
      </c>
      <c r="J867" s="70" t="s">
        <v>257</v>
      </c>
      <c r="K867" s="72">
        <v>3368.6614</v>
      </c>
      <c r="L867" s="72" t="s">
        <v>257</v>
      </c>
      <c r="M867" s="70" t="s">
        <v>257</v>
      </c>
      <c r="N867" s="77">
        <v>123.06</v>
      </c>
      <c r="O867" s="70">
        <v>4</v>
      </c>
      <c r="P867" s="70"/>
      <c r="Q867" s="62" t="s">
        <v>258</v>
      </c>
    </row>
    <row r="868" spans="1:17" ht="13.8" customHeight="1" x14ac:dyDescent="0.3">
      <c r="A868" s="73" t="s">
        <v>338</v>
      </c>
      <c r="B868" s="74">
        <f>IFERROR(INDEX('Boulder Sample Log'!A$5:A$204,MATCH(A868,'Boulder Sample Log'!E$5:E$204,0)),"")</f>
        <v>46130</v>
      </c>
      <c r="C868" s="73">
        <v>1007</v>
      </c>
      <c r="D868" s="73" t="s">
        <v>256</v>
      </c>
      <c r="E868" s="73">
        <v>4</v>
      </c>
      <c r="F868" s="75" t="s">
        <v>257</v>
      </c>
      <c r="G868" s="75" t="s">
        <v>257</v>
      </c>
      <c r="H868" s="75" t="s">
        <v>257</v>
      </c>
      <c r="I868" s="75">
        <v>1071.3713</v>
      </c>
      <c r="J868" s="73" t="s">
        <v>257</v>
      </c>
      <c r="K868" s="75">
        <v>2559.9106000000002</v>
      </c>
      <c r="L868" s="75" t="s">
        <v>257</v>
      </c>
      <c r="M868" s="73" t="s">
        <v>257</v>
      </c>
      <c r="N868" s="76">
        <v>122.9</v>
      </c>
      <c r="O868" s="73">
        <v>4</v>
      </c>
      <c r="P868" s="73"/>
      <c r="Q868" s="66" t="s">
        <v>258</v>
      </c>
    </row>
    <row r="869" spans="1:17" ht="13.8" customHeight="1" x14ac:dyDescent="0.3">
      <c r="A869" s="70" t="s">
        <v>338</v>
      </c>
      <c r="B869" s="71">
        <f>IFERROR(INDEX('Boulder Sample Log'!A$5:A$204,MATCH(A869,'Boulder Sample Log'!E$5:E$204,0)),"")</f>
        <v>46130</v>
      </c>
      <c r="C869" s="70">
        <v>1008</v>
      </c>
      <c r="D869" s="70" t="s">
        <v>256</v>
      </c>
      <c r="E869" s="70">
        <v>4</v>
      </c>
      <c r="F869" s="72" t="s">
        <v>257</v>
      </c>
      <c r="G869" s="72" t="s">
        <v>257</v>
      </c>
      <c r="H869" s="72" t="s">
        <v>257</v>
      </c>
      <c r="I869" s="72">
        <v>490.7097</v>
      </c>
      <c r="J869" s="70" t="s">
        <v>257</v>
      </c>
      <c r="K869" s="72">
        <v>2399.8593999999998</v>
      </c>
      <c r="L869" s="72" t="s">
        <v>257</v>
      </c>
      <c r="M869" s="70" t="s">
        <v>257</v>
      </c>
      <c r="N869" s="77">
        <v>120.36</v>
      </c>
      <c r="O869" s="70">
        <v>4</v>
      </c>
      <c r="P869" s="70"/>
      <c r="Q869" s="62" t="s">
        <v>258</v>
      </c>
    </row>
    <row r="870" spans="1:17" ht="13.8" customHeight="1" x14ac:dyDescent="0.3">
      <c r="A870" s="73" t="s">
        <v>338</v>
      </c>
      <c r="B870" s="74">
        <f>IFERROR(INDEX('Boulder Sample Log'!A$5:A$204,MATCH(A870,'Boulder Sample Log'!E$5:E$204,0)),"")</f>
        <v>46130</v>
      </c>
      <c r="C870" s="73">
        <v>1009</v>
      </c>
      <c r="D870" s="73" t="s">
        <v>256</v>
      </c>
      <c r="E870" s="73">
        <v>5</v>
      </c>
      <c r="F870" s="75" t="s">
        <v>257</v>
      </c>
      <c r="G870" s="75" t="s">
        <v>257</v>
      </c>
      <c r="H870" s="75" t="s">
        <v>257</v>
      </c>
      <c r="I870" s="75">
        <v>737.17349999999999</v>
      </c>
      <c r="J870" s="73" t="s">
        <v>257</v>
      </c>
      <c r="K870" s="75">
        <v>1075.3335999999999</v>
      </c>
      <c r="L870" s="75" t="s">
        <v>257</v>
      </c>
      <c r="M870" s="73" t="s">
        <v>257</v>
      </c>
      <c r="N870" s="76">
        <v>122.87</v>
      </c>
      <c r="O870" s="73">
        <v>4</v>
      </c>
      <c r="P870" s="73"/>
      <c r="Q870" s="66" t="s">
        <v>258</v>
      </c>
    </row>
    <row r="871" spans="1:17" ht="13.8" customHeight="1" x14ac:dyDescent="0.3">
      <c r="A871" s="70" t="s">
        <v>338</v>
      </c>
      <c r="B871" s="71">
        <f>IFERROR(INDEX('Boulder Sample Log'!A$5:A$204,MATCH(A871,'Boulder Sample Log'!E$5:E$204,0)),"")</f>
        <v>46130</v>
      </c>
      <c r="C871" s="70">
        <v>1010</v>
      </c>
      <c r="D871" s="70" t="s">
        <v>256</v>
      </c>
      <c r="E871" s="70">
        <v>5</v>
      </c>
      <c r="F871" s="72" t="s">
        <v>257</v>
      </c>
      <c r="G871" s="72" t="s">
        <v>257</v>
      </c>
      <c r="H871" s="72" t="s">
        <v>257</v>
      </c>
      <c r="I871" s="72">
        <v>33.063200000000002</v>
      </c>
      <c r="J871" s="70">
        <v>968.66089999999997</v>
      </c>
      <c r="K871" s="72">
        <v>4871.6724000000004</v>
      </c>
      <c r="L871" s="72" t="s">
        <v>257</v>
      </c>
      <c r="M871" s="70" t="s">
        <v>257</v>
      </c>
      <c r="N871" s="77">
        <v>124.53</v>
      </c>
      <c r="O871" s="70">
        <v>4</v>
      </c>
      <c r="P871" s="70"/>
      <c r="Q871" s="62" t="s">
        <v>258</v>
      </c>
    </row>
    <row r="872" spans="1:17" ht="13.8" customHeight="1" x14ac:dyDescent="0.3">
      <c r="A872" s="73" t="s">
        <v>339</v>
      </c>
      <c r="B872" s="74">
        <f>IFERROR(INDEX('Boulder Sample Log'!A$5:A$204,MATCH(A872,'Boulder Sample Log'!E$5:E$204,0)),"")</f>
        <v>46130</v>
      </c>
      <c r="C872" s="73">
        <v>1011</v>
      </c>
      <c r="D872" s="73" t="s">
        <v>256</v>
      </c>
      <c r="E872" s="73">
        <v>1</v>
      </c>
      <c r="F872" s="75" t="s">
        <v>257</v>
      </c>
      <c r="G872" s="75" t="s">
        <v>257</v>
      </c>
      <c r="H872" s="75" t="s">
        <v>257</v>
      </c>
      <c r="I872" s="75">
        <v>16223.1641</v>
      </c>
      <c r="J872" s="73">
        <v>205.1</v>
      </c>
      <c r="K872" s="75">
        <v>9484.1522999999997</v>
      </c>
      <c r="L872" s="75">
        <v>51.1648</v>
      </c>
      <c r="M872" s="73" t="s">
        <v>257</v>
      </c>
      <c r="N872" s="76">
        <v>120.05</v>
      </c>
      <c r="O872" s="73">
        <v>4</v>
      </c>
      <c r="P872" s="73"/>
      <c r="Q872" s="66" t="s">
        <v>258</v>
      </c>
    </row>
    <row r="873" spans="1:17" ht="13.8" customHeight="1" x14ac:dyDescent="0.3">
      <c r="A873" s="70" t="s">
        <v>339</v>
      </c>
      <c r="B873" s="71">
        <f>IFERROR(INDEX('Boulder Sample Log'!A$5:A$204,MATCH(A873,'Boulder Sample Log'!E$5:E$204,0)),"")</f>
        <v>46130</v>
      </c>
      <c r="C873" s="70">
        <v>1012</v>
      </c>
      <c r="D873" s="70" t="s">
        <v>256</v>
      </c>
      <c r="E873" s="70">
        <v>1</v>
      </c>
      <c r="F873" s="72" t="s">
        <v>257</v>
      </c>
      <c r="G873" s="72" t="s">
        <v>257</v>
      </c>
      <c r="H873" s="72" t="s">
        <v>257</v>
      </c>
      <c r="I873" s="72">
        <v>4353.3379000000004</v>
      </c>
      <c r="J873" s="70" t="s">
        <v>257</v>
      </c>
      <c r="K873" s="72">
        <v>14714.415000000001</v>
      </c>
      <c r="L873" s="72">
        <v>28.577000000000002</v>
      </c>
      <c r="M873" s="70" t="s">
        <v>257</v>
      </c>
      <c r="N873" s="77">
        <v>120.57</v>
      </c>
      <c r="O873" s="70">
        <v>4</v>
      </c>
      <c r="P873" s="70"/>
      <c r="Q873" s="62" t="s">
        <v>258</v>
      </c>
    </row>
    <row r="874" spans="1:17" ht="13.8" customHeight="1" x14ac:dyDescent="0.3">
      <c r="A874" s="73" t="s">
        <v>339</v>
      </c>
      <c r="B874" s="74">
        <f>IFERROR(INDEX('Boulder Sample Log'!A$5:A$204,MATCH(A874,'Boulder Sample Log'!E$5:E$204,0)),"")</f>
        <v>46130</v>
      </c>
      <c r="C874" s="73">
        <v>1013</v>
      </c>
      <c r="D874" s="73" t="s">
        <v>256</v>
      </c>
      <c r="E874" s="73">
        <v>2</v>
      </c>
      <c r="F874" s="75">
        <v>9.1766000000000005</v>
      </c>
      <c r="G874" s="75" t="s">
        <v>257</v>
      </c>
      <c r="H874" s="75" t="s">
        <v>257</v>
      </c>
      <c r="I874" s="75">
        <v>3356.4924000000001</v>
      </c>
      <c r="J874" s="73" t="s">
        <v>257</v>
      </c>
      <c r="K874" s="75">
        <v>11078.295899999999</v>
      </c>
      <c r="L874" s="75">
        <v>71.823300000000003</v>
      </c>
      <c r="M874" s="73" t="s">
        <v>257</v>
      </c>
      <c r="N874" s="76">
        <v>122.9</v>
      </c>
      <c r="O874" s="73">
        <v>4</v>
      </c>
      <c r="P874" s="73"/>
      <c r="Q874" s="66" t="s">
        <v>258</v>
      </c>
    </row>
    <row r="875" spans="1:17" ht="13.8" customHeight="1" x14ac:dyDescent="0.3">
      <c r="A875" s="70" t="s">
        <v>339</v>
      </c>
      <c r="B875" s="71">
        <f>IFERROR(INDEX('Boulder Sample Log'!A$5:A$204,MATCH(A875,'Boulder Sample Log'!E$5:E$204,0)),"")</f>
        <v>46130</v>
      </c>
      <c r="C875" s="70">
        <v>1014</v>
      </c>
      <c r="D875" s="70" t="s">
        <v>256</v>
      </c>
      <c r="E875" s="70">
        <v>2</v>
      </c>
      <c r="F875" s="72">
        <v>17.1465</v>
      </c>
      <c r="G875" s="72" t="s">
        <v>257</v>
      </c>
      <c r="H875" s="72" t="s">
        <v>257</v>
      </c>
      <c r="I875" s="72">
        <v>4742.6270000000004</v>
      </c>
      <c r="J875" s="70" t="s">
        <v>257</v>
      </c>
      <c r="K875" s="72">
        <v>10807.8359</v>
      </c>
      <c r="L875" s="72">
        <v>59.089500000000001</v>
      </c>
      <c r="M875" s="70" t="s">
        <v>257</v>
      </c>
      <c r="N875" s="77">
        <v>120.55</v>
      </c>
      <c r="O875" s="70">
        <v>4</v>
      </c>
      <c r="P875" s="70"/>
      <c r="Q875" s="62" t="s">
        <v>258</v>
      </c>
    </row>
    <row r="876" spans="1:17" ht="13.8" customHeight="1" x14ac:dyDescent="0.3">
      <c r="A876" s="73" t="s">
        <v>339</v>
      </c>
      <c r="B876" s="74">
        <f>IFERROR(INDEX('Boulder Sample Log'!A$5:A$204,MATCH(A876,'Boulder Sample Log'!E$5:E$204,0)),"")</f>
        <v>46130</v>
      </c>
      <c r="C876" s="73">
        <v>1015</v>
      </c>
      <c r="D876" s="73" t="s">
        <v>256</v>
      </c>
      <c r="E876" s="73">
        <v>3</v>
      </c>
      <c r="F876" s="75">
        <v>5.3875999999999999</v>
      </c>
      <c r="G876" s="75" t="s">
        <v>257</v>
      </c>
      <c r="H876" s="75">
        <v>5.2660999999999998</v>
      </c>
      <c r="I876" s="75">
        <v>10818.5898</v>
      </c>
      <c r="J876" s="73" t="s">
        <v>257</v>
      </c>
      <c r="K876" s="75">
        <v>25714.3691</v>
      </c>
      <c r="L876" s="75" t="s">
        <v>257</v>
      </c>
      <c r="M876" s="73" t="s">
        <v>257</v>
      </c>
      <c r="N876" s="76">
        <v>122.85</v>
      </c>
      <c r="O876" s="73">
        <v>4</v>
      </c>
      <c r="P876" s="73"/>
      <c r="Q876" s="66" t="s">
        <v>258</v>
      </c>
    </row>
    <row r="877" spans="1:17" ht="13.8" customHeight="1" x14ac:dyDescent="0.3">
      <c r="A877" s="70" t="s">
        <v>339</v>
      </c>
      <c r="B877" s="71">
        <f>IFERROR(INDEX('Boulder Sample Log'!A$5:A$204,MATCH(A877,'Boulder Sample Log'!E$5:E$204,0)),"")</f>
        <v>46130</v>
      </c>
      <c r="C877" s="70">
        <v>1016</v>
      </c>
      <c r="D877" s="70" t="s">
        <v>256</v>
      </c>
      <c r="E877" s="70">
        <v>3</v>
      </c>
      <c r="F877" s="72">
        <v>19.098500000000001</v>
      </c>
      <c r="G877" s="72" t="s">
        <v>257</v>
      </c>
      <c r="H877" s="72">
        <v>16.8218</v>
      </c>
      <c r="I877" s="72">
        <v>17088.208999999999</v>
      </c>
      <c r="J877" s="70" t="s">
        <v>257</v>
      </c>
      <c r="K877" s="72">
        <v>16253.2305</v>
      </c>
      <c r="L877" s="72">
        <v>25.7606</v>
      </c>
      <c r="M877" s="70">
        <v>7.5724999999999998</v>
      </c>
      <c r="N877" s="77">
        <v>122.93</v>
      </c>
      <c r="O877" s="70">
        <v>4</v>
      </c>
      <c r="P877" s="70"/>
      <c r="Q877" s="62" t="s">
        <v>258</v>
      </c>
    </row>
    <row r="878" spans="1:17" ht="13.8" customHeight="1" x14ac:dyDescent="0.3">
      <c r="A878" s="73" t="s">
        <v>339</v>
      </c>
      <c r="B878" s="74">
        <f>IFERROR(INDEX('Boulder Sample Log'!A$5:A$204,MATCH(A878,'Boulder Sample Log'!E$5:E$204,0)),"")</f>
        <v>46130</v>
      </c>
      <c r="C878" s="73">
        <v>1017</v>
      </c>
      <c r="D878" s="73" t="s">
        <v>256</v>
      </c>
      <c r="E878" s="73">
        <v>4</v>
      </c>
      <c r="F878" s="75" t="s">
        <v>257</v>
      </c>
      <c r="G878" s="75" t="s">
        <v>257</v>
      </c>
      <c r="H878" s="75">
        <v>9.2885000000000009</v>
      </c>
      <c r="I878" s="75">
        <v>11746.578100000001</v>
      </c>
      <c r="J878" s="73" t="s">
        <v>257</v>
      </c>
      <c r="K878" s="75">
        <v>5157.8788999999997</v>
      </c>
      <c r="L878" s="75">
        <v>7.0998000000000001</v>
      </c>
      <c r="M878" s="73">
        <v>11.3653</v>
      </c>
      <c r="N878" s="76">
        <v>120.45</v>
      </c>
      <c r="O878" s="73">
        <v>4</v>
      </c>
      <c r="P878" s="73"/>
      <c r="Q878" s="66" t="s">
        <v>258</v>
      </c>
    </row>
    <row r="879" spans="1:17" ht="13.8" customHeight="1" x14ac:dyDescent="0.3">
      <c r="A879" s="70" t="s">
        <v>339</v>
      </c>
      <c r="B879" s="71">
        <f>IFERROR(INDEX('Boulder Sample Log'!A$5:A$204,MATCH(A879,'Boulder Sample Log'!E$5:E$204,0)),"")</f>
        <v>46130</v>
      </c>
      <c r="C879" s="70">
        <v>1018</v>
      </c>
      <c r="D879" s="70" t="s">
        <v>256</v>
      </c>
      <c r="E879" s="70">
        <v>4</v>
      </c>
      <c r="F879" s="72" t="s">
        <v>257</v>
      </c>
      <c r="G879" s="72" t="s">
        <v>257</v>
      </c>
      <c r="H879" s="72">
        <v>8.6768000000000001</v>
      </c>
      <c r="I879" s="72">
        <v>8056.9458000000004</v>
      </c>
      <c r="J879" s="70" t="s">
        <v>257</v>
      </c>
      <c r="K879" s="72">
        <v>7429.8402999999998</v>
      </c>
      <c r="L879" s="72" t="s">
        <v>257</v>
      </c>
      <c r="M879" s="70">
        <v>4.3992000000000004</v>
      </c>
      <c r="N879" s="77">
        <v>120.44</v>
      </c>
      <c r="O879" s="70">
        <v>4</v>
      </c>
      <c r="P879" s="70"/>
      <c r="Q879" s="62" t="s">
        <v>258</v>
      </c>
    </row>
    <row r="880" spans="1:17" ht="13.8" customHeight="1" x14ac:dyDescent="0.3">
      <c r="A880" s="73" t="s">
        <v>339</v>
      </c>
      <c r="B880" s="74">
        <f>IFERROR(INDEX('Boulder Sample Log'!A$5:A$204,MATCH(A880,'Boulder Sample Log'!E$5:E$204,0)),"")</f>
        <v>46130</v>
      </c>
      <c r="C880" s="73">
        <v>1019</v>
      </c>
      <c r="D880" s="73" t="s">
        <v>256</v>
      </c>
      <c r="E880" s="73">
        <v>5</v>
      </c>
      <c r="F880" s="75">
        <v>3.7334999999999998</v>
      </c>
      <c r="G880" s="75" t="s">
        <v>257</v>
      </c>
      <c r="H880" s="75">
        <v>8.3886000000000003</v>
      </c>
      <c r="I880" s="75">
        <v>39379.503900000003</v>
      </c>
      <c r="J880" s="73">
        <v>560.56979999999999</v>
      </c>
      <c r="K880" s="75">
        <v>1304.2007000000001</v>
      </c>
      <c r="L880" s="75">
        <v>55.263399999999997</v>
      </c>
      <c r="M880" s="73">
        <v>23.831099999999999</v>
      </c>
      <c r="N880" s="76">
        <v>120.57</v>
      </c>
      <c r="O880" s="73">
        <v>4</v>
      </c>
      <c r="P880" s="73"/>
      <c r="Q880" s="66" t="s">
        <v>258</v>
      </c>
    </row>
    <row r="881" spans="1:17" ht="13.8" customHeight="1" x14ac:dyDescent="0.3">
      <c r="A881" s="70" t="s">
        <v>339</v>
      </c>
      <c r="B881" s="71">
        <f>IFERROR(INDEX('Boulder Sample Log'!A$5:A$204,MATCH(A881,'Boulder Sample Log'!E$5:E$204,0)),"")</f>
        <v>46130</v>
      </c>
      <c r="C881" s="70">
        <v>1020</v>
      </c>
      <c r="D881" s="70" t="s">
        <v>256</v>
      </c>
      <c r="E881" s="70">
        <v>5</v>
      </c>
      <c r="F881" s="72">
        <v>3.2439</v>
      </c>
      <c r="G881" s="72" t="s">
        <v>257</v>
      </c>
      <c r="H881" s="72">
        <v>10.687799999999999</v>
      </c>
      <c r="I881" s="72">
        <v>25876.8066</v>
      </c>
      <c r="J881" s="70">
        <v>197.66980000000001</v>
      </c>
      <c r="K881" s="72">
        <v>1793.229</v>
      </c>
      <c r="L881" s="72">
        <v>26.6294</v>
      </c>
      <c r="M881" s="70">
        <v>18.208400000000001</v>
      </c>
      <c r="N881" s="77">
        <v>120.46</v>
      </c>
      <c r="O881" s="70">
        <v>4</v>
      </c>
      <c r="P881" s="70"/>
      <c r="Q881" s="62" t="s">
        <v>258</v>
      </c>
    </row>
    <row r="882" spans="1:17" ht="13.8" customHeight="1" x14ac:dyDescent="0.3">
      <c r="A882" s="73" t="s">
        <v>340</v>
      </c>
      <c r="B882" s="74">
        <f>IFERROR(INDEX('Boulder Sample Log'!A$5:A$204,MATCH(A882,'Boulder Sample Log'!E$5:E$204,0)),"")</f>
        <v>46130</v>
      </c>
      <c r="C882" s="73">
        <v>1021</v>
      </c>
      <c r="D882" s="73" t="s">
        <v>256</v>
      </c>
      <c r="E882" s="73">
        <v>1</v>
      </c>
      <c r="F882" s="75" t="s">
        <v>257</v>
      </c>
      <c r="G882" s="75" t="s">
        <v>257</v>
      </c>
      <c r="H882" s="75" t="s">
        <v>257</v>
      </c>
      <c r="I882" s="75">
        <v>21.736000000000001</v>
      </c>
      <c r="J882" s="73">
        <v>776.13120000000004</v>
      </c>
      <c r="K882" s="75">
        <v>15161.2402</v>
      </c>
      <c r="L882" s="75" t="s">
        <v>257</v>
      </c>
      <c r="M882" s="73" t="s">
        <v>257</v>
      </c>
      <c r="N882" s="76">
        <v>123.35</v>
      </c>
      <c r="O882" s="73">
        <v>4</v>
      </c>
      <c r="P882" s="73"/>
      <c r="Q882" s="66" t="s">
        <v>258</v>
      </c>
    </row>
    <row r="883" spans="1:17" ht="13.8" customHeight="1" x14ac:dyDescent="0.3">
      <c r="A883" s="70" t="s">
        <v>340</v>
      </c>
      <c r="B883" s="71">
        <f>IFERROR(INDEX('Boulder Sample Log'!A$5:A$204,MATCH(A883,'Boulder Sample Log'!E$5:E$204,0)),"")</f>
        <v>46130</v>
      </c>
      <c r="C883" s="70">
        <v>1022</v>
      </c>
      <c r="D883" s="70" t="s">
        <v>256</v>
      </c>
      <c r="E883" s="70">
        <v>1</v>
      </c>
      <c r="F883" s="72" t="s">
        <v>257</v>
      </c>
      <c r="G883" s="72" t="s">
        <v>257</v>
      </c>
      <c r="H883" s="72">
        <v>15.6386</v>
      </c>
      <c r="I883" s="72">
        <v>8797.7793000000001</v>
      </c>
      <c r="J883" s="70" t="s">
        <v>257</v>
      </c>
      <c r="K883" s="72">
        <v>4059.8171000000002</v>
      </c>
      <c r="L883" s="72">
        <v>7.9492000000000003</v>
      </c>
      <c r="M883" s="70">
        <v>7.8490000000000002</v>
      </c>
      <c r="N883" s="77">
        <v>122.96</v>
      </c>
      <c r="O883" s="70">
        <v>4</v>
      </c>
      <c r="P883" s="70"/>
      <c r="Q883" s="62" t="s">
        <v>258</v>
      </c>
    </row>
    <row r="884" spans="1:17" ht="13.8" customHeight="1" x14ac:dyDescent="0.3">
      <c r="A884" s="73" t="s">
        <v>340</v>
      </c>
      <c r="B884" s="74">
        <f>IFERROR(INDEX('Boulder Sample Log'!A$5:A$204,MATCH(A884,'Boulder Sample Log'!E$5:E$204,0)),"")</f>
        <v>46130</v>
      </c>
      <c r="C884" s="73">
        <v>1023</v>
      </c>
      <c r="D884" s="73" t="s">
        <v>256</v>
      </c>
      <c r="E884" s="73">
        <v>2</v>
      </c>
      <c r="F884" s="75">
        <v>2.9681999999999999</v>
      </c>
      <c r="G884" s="75" t="s">
        <v>257</v>
      </c>
      <c r="H884" s="75">
        <v>9.2238000000000007</v>
      </c>
      <c r="I884" s="75">
        <v>34376.898399999998</v>
      </c>
      <c r="J884" s="73">
        <v>480.23509999999999</v>
      </c>
      <c r="K884" s="75">
        <v>9333.5429999999997</v>
      </c>
      <c r="L884" s="75">
        <v>81.975700000000003</v>
      </c>
      <c r="M884" s="73">
        <v>21.007000000000001</v>
      </c>
      <c r="N884" s="76">
        <v>122.88</v>
      </c>
      <c r="O884" s="73">
        <v>4</v>
      </c>
      <c r="P884" s="73"/>
      <c r="Q884" s="66" t="s">
        <v>258</v>
      </c>
    </row>
    <row r="885" spans="1:17" ht="13.8" customHeight="1" x14ac:dyDescent="0.3">
      <c r="A885" s="70" t="s">
        <v>340</v>
      </c>
      <c r="B885" s="71">
        <f>IFERROR(INDEX('Boulder Sample Log'!A$5:A$204,MATCH(A885,'Boulder Sample Log'!E$5:E$204,0)),"")</f>
        <v>46130</v>
      </c>
      <c r="C885" s="70">
        <v>1024</v>
      </c>
      <c r="D885" s="70" t="s">
        <v>256</v>
      </c>
      <c r="E885" s="70">
        <v>2</v>
      </c>
      <c r="F885" s="72">
        <v>18.2486</v>
      </c>
      <c r="G885" s="72" t="s">
        <v>257</v>
      </c>
      <c r="H885" s="72">
        <v>7.8531000000000004</v>
      </c>
      <c r="I885" s="72">
        <v>49294.996099999997</v>
      </c>
      <c r="J885" s="70">
        <v>471.69080000000002</v>
      </c>
      <c r="K885" s="72">
        <v>14078.083000000001</v>
      </c>
      <c r="L885" s="72">
        <v>85.083500000000001</v>
      </c>
      <c r="M885" s="70">
        <v>15.5702</v>
      </c>
      <c r="N885" s="77">
        <v>120.28</v>
      </c>
      <c r="O885" s="70">
        <v>4</v>
      </c>
      <c r="P885" s="70"/>
      <c r="Q885" s="62" t="s">
        <v>258</v>
      </c>
    </row>
    <row r="886" spans="1:17" ht="13.8" customHeight="1" x14ac:dyDescent="0.3">
      <c r="A886" s="73" t="s">
        <v>340</v>
      </c>
      <c r="B886" s="74">
        <f>IFERROR(INDEX('Boulder Sample Log'!A$5:A$204,MATCH(A886,'Boulder Sample Log'!E$5:E$204,0)),"")</f>
        <v>46130</v>
      </c>
      <c r="C886" s="73">
        <v>1025</v>
      </c>
      <c r="D886" s="73" t="s">
        <v>256</v>
      </c>
      <c r="E886" s="73">
        <v>3</v>
      </c>
      <c r="F886" s="75">
        <v>14.682399999999999</v>
      </c>
      <c r="G886" s="75" t="s">
        <v>257</v>
      </c>
      <c r="H886" s="75">
        <v>54.735999999999997</v>
      </c>
      <c r="I886" s="75">
        <v>16005.751</v>
      </c>
      <c r="J886" s="73">
        <v>67.997200000000007</v>
      </c>
      <c r="K886" s="75">
        <v>7643.1986999999999</v>
      </c>
      <c r="L886" s="75">
        <v>3.5912999999999999</v>
      </c>
      <c r="M886" s="73">
        <v>11.6953</v>
      </c>
      <c r="N886" s="76">
        <v>120.47</v>
      </c>
      <c r="O886" s="73">
        <v>4</v>
      </c>
      <c r="P886" s="73"/>
      <c r="Q886" s="66" t="s">
        <v>258</v>
      </c>
    </row>
    <row r="887" spans="1:17" ht="13.8" customHeight="1" x14ac:dyDescent="0.3">
      <c r="A887" s="70" t="s">
        <v>340</v>
      </c>
      <c r="B887" s="71">
        <f>IFERROR(INDEX('Boulder Sample Log'!A$5:A$204,MATCH(A887,'Boulder Sample Log'!E$5:E$204,0)),"")</f>
        <v>46130</v>
      </c>
      <c r="C887" s="70">
        <v>1026</v>
      </c>
      <c r="D887" s="70" t="s">
        <v>256</v>
      </c>
      <c r="E887" s="70">
        <v>3</v>
      </c>
      <c r="F887" s="72" t="s">
        <v>257</v>
      </c>
      <c r="G887" s="72" t="s">
        <v>257</v>
      </c>
      <c r="H887" s="72">
        <v>20.246300000000002</v>
      </c>
      <c r="I887" s="72">
        <v>12677.137699999999</v>
      </c>
      <c r="J887" s="70">
        <v>59.469299999999997</v>
      </c>
      <c r="K887" s="72">
        <v>8793.5126999999993</v>
      </c>
      <c r="L887" s="72">
        <v>3.7126000000000001</v>
      </c>
      <c r="M887" s="70">
        <v>11.824199999999999</v>
      </c>
      <c r="N887" s="77">
        <v>122.8</v>
      </c>
      <c r="O887" s="70">
        <v>4</v>
      </c>
      <c r="P887" s="70"/>
      <c r="Q887" s="62" t="s">
        <v>258</v>
      </c>
    </row>
    <row r="888" spans="1:17" ht="13.8" customHeight="1" x14ac:dyDescent="0.3">
      <c r="A888" s="73" t="s">
        <v>340</v>
      </c>
      <c r="B888" s="74">
        <f>IFERROR(INDEX('Boulder Sample Log'!A$5:A$204,MATCH(A888,'Boulder Sample Log'!E$5:E$204,0)),"")</f>
        <v>46130</v>
      </c>
      <c r="C888" s="73">
        <v>1028</v>
      </c>
      <c r="D888" s="73" t="s">
        <v>256</v>
      </c>
      <c r="E888" s="73">
        <v>4</v>
      </c>
      <c r="F888" s="75" t="s">
        <v>257</v>
      </c>
      <c r="G888" s="75" t="s">
        <v>257</v>
      </c>
      <c r="H888" s="75">
        <v>10.0556</v>
      </c>
      <c r="I888" s="75">
        <v>34992.031199999998</v>
      </c>
      <c r="J888" s="73">
        <v>509.67219999999998</v>
      </c>
      <c r="K888" s="75">
        <v>7838.7494999999999</v>
      </c>
      <c r="L888" s="75">
        <v>79.994900000000001</v>
      </c>
      <c r="M888" s="73">
        <v>21.492000000000001</v>
      </c>
      <c r="N888" s="76">
        <v>120.02</v>
      </c>
      <c r="O888" s="73">
        <v>4</v>
      </c>
      <c r="P888" s="73"/>
      <c r="Q888" s="66" t="s">
        <v>258</v>
      </c>
    </row>
    <row r="889" spans="1:17" ht="13.8" customHeight="1" x14ac:dyDescent="0.3">
      <c r="A889" s="70" t="s">
        <v>340</v>
      </c>
      <c r="B889" s="71">
        <f>IFERROR(INDEX('Boulder Sample Log'!A$5:A$204,MATCH(A889,'Boulder Sample Log'!E$5:E$204,0)),"")</f>
        <v>46130</v>
      </c>
      <c r="C889" s="70">
        <v>1029</v>
      </c>
      <c r="D889" s="70" t="s">
        <v>256</v>
      </c>
      <c r="E889" s="70">
        <v>4</v>
      </c>
      <c r="F889" s="72" t="s">
        <v>257</v>
      </c>
      <c r="G889" s="72" t="s">
        <v>257</v>
      </c>
      <c r="H889" s="72" t="s">
        <v>257</v>
      </c>
      <c r="I889" s="72">
        <v>15.811</v>
      </c>
      <c r="J889" s="70">
        <v>667.73800000000006</v>
      </c>
      <c r="K889" s="72">
        <v>22555.7441</v>
      </c>
      <c r="L889" s="72" t="s">
        <v>257</v>
      </c>
      <c r="M889" s="70" t="s">
        <v>257</v>
      </c>
      <c r="N889" s="77">
        <v>124.97</v>
      </c>
      <c r="O889" s="70">
        <v>4</v>
      </c>
      <c r="P889" s="70"/>
      <c r="Q889" s="62" t="s">
        <v>258</v>
      </c>
    </row>
    <row r="890" spans="1:17" ht="13.8" customHeight="1" x14ac:dyDescent="0.3">
      <c r="A890" s="73" t="s">
        <v>340</v>
      </c>
      <c r="B890" s="74">
        <f>IFERROR(INDEX('Boulder Sample Log'!A$5:A$204,MATCH(A890,'Boulder Sample Log'!E$5:E$204,0)),"")</f>
        <v>46130</v>
      </c>
      <c r="C890" s="73">
        <v>1030</v>
      </c>
      <c r="D890" s="73" t="s">
        <v>256</v>
      </c>
      <c r="E890" s="73">
        <v>5</v>
      </c>
      <c r="F890" s="75">
        <v>6.5244</v>
      </c>
      <c r="G890" s="75" t="s">
        <v>257</v>
      </c>
      <c r="H890" s="75">
        <v>11.241400000000001</v>
      </c>
      <c r="I890" s="75">
        <v>67708.546900000001</v>
      </c>
      <c r="J890" s="73">
        <v>165.75620000000001</v>
      </c>
      <c r="K890" s="75">
        <v>46598.800799999997</v>
      </c>
      <c r="L890" s="75">
        <v>52.557699999999997</v>
      </c>
      <c r="M890" s="73">
        <v>41.104300000000002</v>
      </c>
      <c r="N890" s="76">
        <v>120.61</v>
      </c>
      <c r="O890" s="73">
        <v>4</v>
      </c>
      <c r="P890" s="73"/>
      <c r="Q890" s="66" t="s">
        <v>258</v>
      </c>
    </row>
    <row r="891" spans="1:17" ht="13.8" customHeight="1" x14ac:dyDescent="0.3">
      <c r="A891" s="70" t="s">
        <v>340</v>
      </c>
      <c r="B891" s="71">
        <f>IFERROR(INDEX('Boulder Sample Log'!A$5:A$204,MATCH(A891,'Boulder Sample Log'!E$5:E$204,0)),"")</f>
        <v>46130</v>
      </c>
      <c r="C891" s="70">
        <v>1031</v>
      </c>
      <c r="D891" s="70" t="s">
        <v>256</v>
      </c>
      <c r="E891" s="70">
        <v>5</v>
      </c>
      <c r="F891" s="72">
        <v>313.3571</v>
      </c>
      <c r="G891" s="72" t="s">
        <v>257</v>
      </c>
      <c r="H891" s="72">
        <v>26.931000000000001</v>
      </c>
      <c r="I891" s="72">
        <v>133493.82810000001</v>
      </c>
      <c r="J891" s="70" t="s">
        <v>257</v>
      </c>
      <c r="K891" s="72">
        <v>32637.400399999999</v>
      </c>
      <c r="L891" s="72">
        <v>54.513300000000001</v>
      </c>
      <c r="M891" s="70">
        <v>107.79600000000001</v>
      </c>
      <c r="N891" s="77">
        <v>110.99</v>
      </c>
      <c r="O891" s="70">
        <v>4</v>
      </c>
      <c r="P891" s="70"/>
      <c r="Q891" s="62" t="s">
        <v>258</v>
      </c>
    </row>
    <row r="892" spans="1:17" ht="13.8" customHeight="1" x14ac:dyDescent="0.3">
      <c r="A892" s="73" t="s">
        <v>340</v>
      </c>
      <c r="B892" s="74">
        <f>IFERROR(INDEX('Boulder Sample Log'!A$5:A$204,MATCH(A892,'Boulder Sample Log'!E$5:E$204,0)),"")</f>
        <v>46130</v>
      </c>
      <c r="C892" s="73">
        <v>1032</v>
      </c>
      <c r="D892" s="73" t="s">
        <v>256</v>
      </c>
      <c r="E892" s="73">
        <v>5</v>
      </c>
      <c r="F892" s="75" t="s">
        <v>257</v>
      </c>
      <c r="G892" s="75" t="s">
        <v>257</v>
      </c>
      <c r="H892" s="75">
        <v>5.6555999999999997</v>
      </c>
      <c r="I892" s="75">
        <v>52413.531199999998</v>
      </c>
      <c r="J892" s="73">
        <v>333.34559999999999</v>
      </c>
      <c r="K892" s="75">
        <v>48309.742200000001</v>
      </c>
      <c r="L892" s="75">
        <v>68.325100000000006</v>
      </c>
      <c r="M892" s="73">
        <v>16.6599</v>
      </c>
      <c r="N892" s="76">
        <v>120</v>
      </c>
      <c r="O892" s="73">
        <v>4</v>
      </c>
      <c r="P892" s="73"/>
      <c r="Q892" s="66" t="s">
        <v>258</v>
      </c>
    </row>
    <row r="893" spans="1:17" ht="13.8" customHeight="1" x14ac:dyDescent="0.3">
      <c r="A893" s="70" t="s">
        <v>341</v>
      </c>
      <c r="B893" s="71">
        <f>IFERROR(INDEX('Boulder Sample Log'!A$5:A$204,MATCH(A893,'Boulder Sample Log'!E$5:E$204,0)),"")</f>
        <v>46131</v>
      </c>
      <c r="C893" s="70">
        <v>1039</v>
      </c>
      <c r="D893" s="70" t="s">
        <v>256</v>
      </c>
      <c r="E893" s="70">
        <v>1</v>
      </c>
      <c r="F893" s="72">
        <v>20.2075</v>
      </c>
      <c r="G893" s="72" t="s">
        <v>257</v>
      </c>
      <c r="H893" s="72">
        <v>7.9805000000000001</v>
      </c>
      <c r="I893" s="72">
        <v>9838.4472999999998</v>
      </c>
      <c r="J893" s="70" t="s">
        <v>257</v>
      </c>
      <c r="K893" s="72">
        <v>4888.1021000000001</v>
      </c>
      <c r="L893" s="72" t="s">
        <v>257</v>
      </c>
      <c r="M893" s="70" t="s">
        <v>257</v>
      </c>
      <c r="N893" s="77">
        <v>120.38</v>
      </c>
      <c r="O893" s="70">
        <v>4</v>
      </c>
      <c r="P893" s="70"/>
      <c r="Q893" s="62" t="s">
        <v>258</v>
      </c>
    </row>
    <row r="894" spans="1:17" ht="13.8" customHeight="1" x14ac:dyDescent="0.3">
      <c r="A894" s="73" t="s">
        <v>341</v>
      </c>
      <c r="B894" s="74">
        <f>IFERROR(INDEX('Boulder Sample Log'!A$5:A$204,MATCH(A894,'Boulder Sample Log'!E$5:E$204,0)),"")</f>
        <v>46131</v>
      </c>
      <c r="C894" s="73">
        <v>1040</v>
      </c>
      <c r="D894" s="73" t="s">
        <v>256</v>
      </c>
      <c r="E894" s="73">
        <v>1</v>
      </c>
      <c r="F894" s="75">
        <v>27.4404</v>
      </c>
      <c r="G894" s="75">
        <v>1.3012999999999999</v>
      </c>
      <c r="H894" s="75">
        <v>5.7995999999999999</v>
      </c>
      <c r="I894" s="75">
        <v>48122.839800000002</v>
      </c>
      <c r="J894" s="73" t="s">
        <v>257</v>
      </c>
      <c r="K894" s="75">
        <v>11452.989299999999</v>
      </c>
      <c r="L894" s="75" t="s">
        <v>257</v>
      </c>
      <c r="M894" s="73">
        <v>10.7661</v>
      </c>
      <c r="N894" s="76">
        <v>120.26</v>
      </c>
      <c r="O894" s="73">
        <v>4</v>
      </c>
      <c r="P894" s="73"/>
      <c r="Q894" s="66" t="s">
        <v>258</v>
      </c>
    </row>
    <row r="895" spans="1:17" ht="13.8" customHeight="1" x14ac:dyDescent="0.3">
      <c r="A895" s="70" t="s">
        <v>341</v>
      </c>
      <c r="B895" s="71">
        <f>IFERROR(INDEX('Boulder Sample Log'!A$5:A$204,MATCH(A895,'Boulder Sample Log'!E$5:E$204,0)),"")</f>
        <v>46131</v>
      </c>
      <c r="C895" s="70">
        <v>1041</v>
      </c>
      <c r="D895" s="70" t="s">
        <v>256</v>
      </c>
      <c r="E895" s="70">
        <v>2</v>
      </c>
      <c r="F895" s="72">
        <v>154.4264</v>
      </c>
      <c r="G895" s="72" t="s">
        <v>257</v>
      </c>
      <c r="H895" s="72">
        <v>5.0674999999999999</v>
      </c>
      <c r="I895" s="72">
        <v>21846.3652</v>
      </c>
      <c r="J895" s="70" t="s">
        <v>257</v>
      </c>
      <c r="K895" s="72">
        <v>6299.2622000000001</v>
      </c>
      <c r="L895" s="72" t="s">
        <v>257</v>
      </c>
      <c r="M895" s="70" t="s">
        <v>257</v>
      </c>
      <c r="N895" s="77">
        <v>122.94</v>
      </c>
      <c r="O895" s="70">
        <v>4</v>
      </c>
      <c r="P895" s="70"/>
      <c r="Q895" s="62" t="s">
        <v>258</v>
      </c>
    </row>
    <row r="896" spans="1:17" ht="13.8" customHeight="1" x14ac:dyDescent="0.3">
      <c r="A896" s="73" t="s">
        <v>341</v>
      </c>
      <c r="B896" s="74">
        <f>IFERROR(INDEX('Boulder Sample Log'!A$5:A$204,MATCH(A896,'Boulder Sample Log'!E$5:E$204,0)),"")</f>
        <v>46131</v>
      </c>
      <c r="C896" s="73">
        <v>1042</v>
      </c>
      <c r="D896" s="73" t="s">
        <v>256</v>
      </c>
      <c r="E896" s="73">
        <v>2</v>
      </c>
      <c r="F896" s="75" t="s">
        <v>257</v>
      </c>
      <c r="G896" s="75" t="s">
        <v>257</v>
      </c>
      <c r="H896" s="75" t="s">
        <v>257</v>
      </c>
      <c r="I896" s="75" t="s">
        <v>257</v>
      </c>
      <c r="J896" s="73">
        <v>764.54089999999997</v>
      </c>
      <c r="K896" s="75">
        <v>11296.958000000001</v>
      </c>
      <c r="L896" s="75" t="s">
        <v>257</v>
      </c>
      <c r="M896" s="73" t="s">
        <v>257</v>
      </c>
      <c r="N896" s="76">
        <v>123.86</v>
      </c>
      <c r="O896" s="73">
        <v>4</v>
      </c>
      <c r="P896" s="73" t="s">
        <v>342</v>
      </c>
      <c r="Q896" s="66" t="s">
        <v>258</v>
      </c>
    </row>
    <row r="897" spans="1:17" ht="13.8" customHeight="1" x14ac:dyDescent="0.3">
      <c r="A897" s="70" t="s">
        <v>341</v>
      </c>
      <c r="B897" s="71">
        <f>IFERROR(INDEX('Boulder Sample Log'!A$5:A$204,MATCH(A897,'Boulder Sample Log'!E$5:E$204,0)),"")</f>
        <v>46131</v>
      </c>
      <c r="C897" s="70">
        <v>1043</v>
      </c>
      <c r="D897" s="70" t="s">
        <v>256</v>
      </c>
      <c r="E897" s="70">
        <v>3</v>
      </c>
      <c r="F897" s="72">
        <v>182.09440000000001</v>
      </c>
      <c r="G897" s="72" t="s">
        <v>257</v>
      </c>
      <c r="H897" s="72" t="s">
        <v>257</v>
      </c>
      <c r="I897" s="72">
        <v>9055.375</v>
      </c>
      <c r="J897" s="70" t="s">
        <v>257</v>
      </c>
      <c r="K897" s="72">
        <v>5807.3198000000002</v>
      </c>
      <c r="L897" s="72" t="s">
        <v>257</v>
      </c>
      <c r="M897" s="70" t="s">
        <v>257</v>
      </c>
      <c r="N897" s="77">
        <v>123.04</v>
      </c>
      <c r="O897" s="70">
        <v>4</v>
      </c>
      <c r="P897" s="70"/>
      <c r="Q897" s="62" t="s">
        <v>258</v>
      </c>
    </row>
    <row r="898" spans="1:17" ht="13.8" customHeight="1" x14ac:dyDescent="0.3">
      <c r="A898" s="73" t="s">
        <v>341</v>
      </c>
      <c r="B898" s="74">
        <f>IFERROR(INDEX('Boulder Sample Log'!A$5:A$204,MATCH(A898,'Boulder Sample Log'!E$5:E$204,0)),"")</f>
        <v>46131</v>
      </c>
      <c r="C898" s="73">
        <v>1044</v>
      </c>
      <c r="D898" s="73" t="s">
        <v>256</v>
      </c>
      <c r="E898" s="73">
        <v>3</v>
      </c>
      <c r="F898" s="75">
        <v>136.34450000000001</v>
      </c>
      <c r="G898" s="75" t="s">
        <v>257</v>
      </c>
      <c r="H898" s="75">
        <v>5.4874999999999998</v>
      </c>
      <c r="I898" s="75">
        <v>9672.2479999999996</v>
      </c>
      <c r="J898" s="73" t="s">
        <v>257</v>
      </c>
      <c r="K898" s="75">
        <v>2467.7550999999999</v>
      </c>
      <c r="L898" s="75" t="s">
        <v>257</v>
      </c>
      <c r="M898" s="73">
        <v>4.0434000000000001</v>
      </c>
      <c r="N898" s="76">
        <v>120.19</v>
      </c>
      <c r="O898" s="73">
        <v>4</v>
      </c>
      <c r="P898" s="73"/>
      <c r="Q898" s="66" t="s">
        <v>258</v>
      </c>
    </row>
    <row r="899" spans="1:17" ht="13.8" customHeight="1" x14ac:dyDescent="0.3">
      <c r="A899" s="70" t="s">
        <v>341</v>
      </c>
      <c r="B899" s="71">
        <f>IFERROR(INDEX('Boulder Sample Log'!A$5:A$204,MATCH(A899,'Boulder Sample Log'!E$5:E$204,0)),"")</f>
        <v>46131</v>
      </c>
      <c r="C899" s="70">
        <v>1045</v>
      </c>
      <c r="D899" s="70" t="s">
        <v>256</v>
      </c>
      <c r="E899" s="70">
        <v>4</v>
      </c>
      <c r="F899" s="72">
        <v>59.0428</v>
      </c>
      <c r="G899" s="72" t="s">
        <v>257</v>
      </c>
      <c r="H899" s="72">
        <v>9.0601000000000003</v>
      </c>
      <c r="I899" s="72">
        <v>5529.3446999999996</v>
      </c>
      <c r="J899" s="70" t="s">
        <v>257</v>
      </c>
      <c r="K899" s="72">
        <v>2585.4207000000001</v>
      </c>
      <c r="L899" s="72" t="s">
        <v>257</v>
      </c>
      <c r="M899" s="70" t="s">
        <v>257</v>
      </c>
      <c r="N899" s="77">
        <v>122.66</v>
      </c>
      <c r="O899" s="70">
        <v>4</v>
      </c>
      <c r="P899" s="70"/>
      <c r="Q899" s="62" t="s">
        <v>258</v>
      </c>
    </row>
    <row r="900" spans="1:17" ht="13.8" customHeight="1" x14ac:dyDescent="0.3">
      <c r="A900" s="73" t="s">
        <v>341</v>
      </c>
      <c r="B900" s="74">
        <f>IFERROR(INDEX('Boulder Sample Log'!A$5:A$204,MATCH(A900,'Boulder Sample Log'!E$5:E$204,0)),"")</f>
        <v>46131</v>
      </c>
      <c r="C900" s="73">
        <v>1046</v>
      </c>
      <c r="D900" s="73" t="s">
        <v>256</v>
      </c>
      <c r="E900" s="73">
        <v>4</v>
      </c>
      <c r="F900" s="75">
        <v>152.2276</v>
      </c>
      <c r="G900" s="75" t="s">
        <v>257</v>
      </c>
      <c r="H900" s="75">
        <v>9.6510999999999996</v>
      </c>
      <c r="I900" s="75">
        <v>10157.5625</v>
      </c>
      <c r="J900" s="73" t="s">
        <v>257</v>
      </c>
      <c r="K900" s="75">
        <v>6015.3275999999996</v>
      </c>
      <c r="L900" s="75" t="s">
        <v>257</v>
      </c>
      <c r="M900" s="73" t="s">
        <v>257</v>
      </c>
      <c r="N900" s="76">
        <v>120.52</v>
      </c>
      <c r="O900" s="73">
        <v>4</v>
      </c>
      <c r="P900" s="73"/>
      <c r="Q900" s="66" t="s">
        <v>258</v>
      </c>
    </row>
    <row r="901" spans="1:17" ht="13.8" customHeight="1" x14ac:dyDescent="0.3">
      <c r="A901" s="70" t="s">
        <v>341</v>
      </c>
      <c r="B901" s="71">
        <f>IFERROR(INDEX('Boulder Sample Log'!A$5:A$204,MATCH(A901,'Boulder Sample Log'!E$5:E$204,0)),"")</f>
        <v>46131</v>
      </c>
      <c r="C901" s="70">
        <v>1047</v>
      </c>
      <c r="D901" s="70" t="s">
        <v>256</v>
      </c>
      <c r="E901" s="70">
        <v>4</v>
      </c>
      <c r="F901" s="72">
        <v>170.26859999999999</v>
      </c>
      <c r="G901" s="72">
        <v>1.0086999999999999</v>
      </c>
      <c r="H901" s="72" t="s">
        <v>257</v>
      </c>
      <c r="I901" s="72">
        <v>8838.9120999999996</v>
      </c>
      <c r="J901" s="70" t="s">
        <v>257</v>
      </c>
      <c r="K901" s="72">
        <v>2214.3422999999998</v>
      </c>
      <c r="L901" s="72" t="s">
        <v>257</v>
      </c>
      <c r="M901" s="70" t="s">
        <v>257</v>
      </c>
      <c r="N901" s="77">
        <v>123.22</v>
      </c>
      <c r="O901" s="70">
        <v>4</v>
      </c>
      <c r="P901" s="70"/>
      <c r="Q901" s="62" t="s">
        <v>258</v>
      </c>
    </row>
    <row r="902" spans="1:17" ht="13.8" customHeight="1" x14ac:dyDescent="0.3">
      <c r="A902" s="73" t="s">
        <v>341</v>
      </c>
      <c r="B902" s="74">
        <f>IFERROR(INDEX('Boulder Sample Log'!A$5:A$204,MATCH(A902,'Boulder Sample Log'!E$5:E$204,0)),"")</f>
        <v>46131</v>
      </c>
      <c r="C902" s="73">
        <v>1048</v>
      </c>
      <c r="D902" s="73" t="s">
        <v>256</v>
      </c>
      <c r="E902" s="73">
        <v>5</v>
      </c>
      <c r="F902" s="75">
        <v>196.8955</v>
      </c>
      <c r="G902" s="75">
        <v>1.3463000000000001</v>
      </c>
      <c r="H902" s="75" t="s">
        <v>257</v>
      </c>
      <c r="I902" s="75">
        <v>13805.9463</v>
      </c>
      <c r="J902" s="73" t="s">
        <v>257</v>
      </c>
      <c r="K902" s="75">
        <v>3104.5329999999999</v>
      </c>
      <c r="L902" s="75" t="s">
        <v>257</v>
      </c>
      <c r="M902" s="73" t="s">
        <v>257</v>
      </c>
      <c r="N902" s="76">
        <v>120.26</v>
      </c>
      <c r="O902" s="73">
        <v>4</v>
      </c>
      <c r="P902" s="73"/>
      <c r="Q902" s="66" t="s">
        <v>258</v>
      </c>
    </row>
    <row r="903" spans="1:17" ht="13.8" customHeight="1" x14ac:dyDescent="0.3">
      <c r="A903" s="70" t="s">
        <v>341</v>
      </c>
      <c r="B903" s="71">
        <f>IFERROR(INDEX('Boulder Sample Log'!A$5:A$204,MATCH(A903,'Boulder Sample Log'!E$5:E$204,0)),"")</f>
        <v>46131</v>
      </c>
      <c r="C903" s="70">
        <v>1049</v>
      </c>
      <c r="D903" s="70" t="s">
        <v>256</v>
      </c>
      <c r="E903" s="70">
        <v>5</v>
      </c>
      <c r="F903" s="72">
        <v>137.7235</v>
      </c>
      <c r="G903" s="72" t="s">
        <v>257</v>
      </c>
      <c r="H903" s="72">
        <v>9.0317000000000007</v>
      </c>
      <c r="I903" s="72">
        <v>7794.3022000000001</v>
      </c>
      <c r="J903" s="70" t="s">
        <v>257</v>
      </c>
      <c r="K903" s="72">
        <v>1361.4961000000001</v>
      </c>
      <c r="L903" s="72" t="s">
        <v>257</v>
      </c>
      <c r="M903" s="70">
        <v>10.7964</v>
      </c>
      <c r="N903" s="77">
        <v>120.15</v>
      </c>
      <c r="O903" s="70">
        <v>4</v>
      </c>
      <c r="P903" s="70"/>
      <c r="Q903" s="62" t="s">
        <v>258</v>
      </c>
    </row>
    <row r="904" spans="1:17" ht="13.8" customHeight="1" x14ac:dyDescent="0.3">
      <c r="A904" s="73" t="s">
        <v>343</v>
      </c>
      <c r="B904" s="74">
        <f>IFERROR(INDEX('Boulder Sample Log'!A$5:A$204,MATCH(A904,'Boulder Sample Log'!E$5:E$204,0)),"")</f>
        <v>46131</v>
      </c>
      <c r="C904" s="73">
        <v>1051</v>
      </c>
      <c r="D904" s="73" t="s">
        <v>256</v>
      </c>
      <c r="E904" s="73">
        <v>1</v>
      </c>
      <c r="F904" s="75">
        <v>34.900399999999998</v>
      </c>
      <c r="G904" s="75" t="s">
        <v>257</v>
      </c>
      <c r="H904" s="75">
        <v>7.6882999999999999</v>
      </c>
      <c r="I904" s="75">
        <v>29121.462899999999</v>
      </c>
      <c r="J904" s="73">
        <v>428.65989999999999</v>
      </c>
      <c r="K904" s="75">
        <v>6736.0342000000001</v>
      </c>
      <c r="L904" s="75">
        <v>73.369399999999999</v>
      </c>
      <c r="M904" s="73">
        <v>21.536200000000001</v>
      </c>
      <c r="N904" s="76">
        <v>120.56</v>
      </c>
      <c r="O904" s="73">
        <v>4</v>
      </c>
      <c r="P904" s="73"/>
      <c r="Q904" s="66" t="s">
        <v>258</v>
      </c>
    </row>
    <row r="905" spans="1:17" ht="13.8" customHeight="1" x14ac:dyDescent="0.3">
      <c r="A905" s="70" t="s">
        <v>343</v>
      </c>
      <c r="B905" s="71">
        <f>IFERROR(INDEX('Boulder Sample Log'!A$5:A$204,MATCH(A905,'Boulder Sample Log'!E$5:E$204,0)),"")</f>
        <v>46131</v>
      </c>
      <c r="C905" s="70">
        <v>1052</v>
      </c>
      <c r="D905" s="70" t="s">
        <v>256</v>
      </c>
      <c r="E905" s="70">
        <v>1</v>
      </c>
      <c r="F905" s="72">
        <v>16.2865</v>
      </c>
      <c r="G905" s="72" t="s">
        <v>257</v>
      </c>
      <c r="H905" s="72">
        <v>7.9653</v>
      </c>
      <c r="I905" s="72">
        <v>29602.703099999999</v>
      </c>
      <c r="J905" s="70">
        <v>494.50040000000001</v>
      </c>
      <c r="K905" s="72">
        <v>4493.5731999999998</v>
      </c>
      <c r="L905" s="72">
        <v>60.916600000000003</v>
      </c>
      <c r="M905" s="70">
        <v>17.7988</v>
      </c>
      <c r="N905" s="77">
        <v>120.62</v>
      </c>
      <c r="O905" s="70">
        <v>4</v>
      </c>
      <c r="P905" s="70"/>
      <c r="Q905" s="62" t="s">
        <v>258</v>
      </c>
    </row>
    <row r="906" spans="1:17" ht="13.8" customHeight="1" x14ac:dyDescent="0.3">
      <c r="A906" s="73" t="s">
        <v>343</v>
      </c>
      <c r="B906" s="74">
        <f>IFERROR(INDEX('Boulder Sample Log'!A$5:A$204,MATCH(A906,'Boulder Sample Log'!E$5:E$204,0)),"")</f>
        <v>46131</v>
      </c>
      <c r="C906" s="73">
        <v>1053</v>
      </c>
      <c r="D906" s="73" t="s">
        <v>256</v>
      </c>
      <c r="E906" s="73">
        <v>2</v>
      </c>
      <c r="F906" s="75">
        <v>165.40090000000001</v>
      </c>
      <c r="G906" s="75" t="s">
        <v>257</v>
      </c>
      <c r="H906" s="75">
        <v>10.0358</v>
      </c>
      <c r="I906" s="75">
        <v>6798.4512000000004</v>
      </c>
      <c r="J906" s="73" t="s">
        <v>257</v>
      </c>
      <c r="K906" s="75">
        <v>3196.8191000000002</v>
      </c>
      <c r="L906" s="75">
        <v>19.366199999999999</v>
      </c>
      <c r="M906" s="73">
        <v>14.2736</v>
      </c>
      <c r="N906" s="76">
        <v>120.22</v>
      </c>
      <c r="O906" s="73">
        <v>4</v>
      </c>
      <c r="P906" s="73"/>
      <c r="Q906" s="66" t="s">
        <v>258</v>
      </c>
    </row>
    <row r="907" spans="1:17" ht="13.8" customHeight="1" x14ac:dyDescent="0.3">
      <c r="A907" s="70" t="s">
        <v>343</v>
      </c>
      <c r="B907" s="71">
        <f>IFERROR(INDEX('Boulder Sample Log'!A$5:A$204,MATCH(A907,'Boulder Sample Log'!E$5:E$204,0)),"")</f>
        <v>46131</v>
      </c>
      <c r="C907" s="70">
        <v>1054</v>
      </c>
      <c r="D907" s="70" t="s">
        <v>256</v>
      </c>
      <c r="E907" s="70">
        <v>2</v>
      </c>
      <c r="F907" s="72">
        <v>34.785499999999999</v>
      </c>
      <c r="G907" s="72" t="s">
        <v>257</v>
      </c>
      <c r="H907" s="72">
        <v>9.3727999999999998</v>
      </c>
      <c r="I907" s="72">
        <v>9579.7772999999997</v>
      </c>
      <c r="J907" s="70" t="s">
        <v>257</v>
      </c>
      <c r="K907" s="72">
        <v>3475.9362999999998</v>
      </c>
      <c r="L907" s="72">
        <v>16.529599999999999</v>
      </c>
      <c r="M907" s="70">
        <v>9.7482000000000006</v>
      </c>
      <c r="N907" s="77">
        <v>122.74</v>
      </c>
      <c r="O907" s="70">
        <v>4</v>
      </c>
      <c r="P907" s="70"/>
      <c r="Q907" s="62" t="s">
        <v>258</v>
      </c>
    </row>
    <row r="908" spans="1:17" ht="13.8" customHeight="1" x14ac:dyDescent="0.3">
      <c r="A908" s="73" t="s">
        <v>343</v>
      </c>
      <c r="B908" s="74">
        <f>IFERROR(INDEX('Boulder Sample Log'!A$5:A$204,MATCH(A908,'Boulder Sample Log'!E$5:E$204,0)),"")</f>
        <v>46131</v>
      </c>
      <c r="C908" s="73">
        <v>1055</v>
      </c>
      <c r="D908" s="73" t="s">
        <v>256</v>
      </c>
      <c r="E908" s="73">
        <v>2</v>
      </c>
      <c r="F908" s="75">
        <v>50.773600000000002</v>
      </c>
      <c r="G908" s="75" t="s">
        <v>257</v>
      </c>
      <c r="H908" s="75">
        <v>9.1969999999999992</v>
      </c>
      <c r="I908" s="75">
        <v>7883.2255999999998</v>
      </c>
      <c r="J908" s="73" t="s">
        <v>257</v>
      </c>
      <c r="K908" s="75">
        <v>2944.2642000000001</v>
      </c>
      <c r="L908" s="75">
        <v>13.0885</v>
      </c>
      <c r="M908" s="73">
        <v>9.5502000000000002</v>
      </c>
      <c r="N908" s="76">
        <v>122.88</v>
      </c>
      <c r="O908" s="73">
        <v>4</v>
      </c>
      <c r="P908" s="73"/>
      <c r="Q908" s="66" t="s">
        <v>258</v>
      </c>
    </row>
    <row r="909" spans="1:17" ht="13.8" customHeight="1" x14ac:dyDescent="0.3">
      <c r="A909" s="70" t="s">
        <v>343</v>
      </c>
      <c r="B909" s="71">
        <f>IFERROR(INDEX('Boulder Sample Log'!A$5:A$204,MATCH(A909,'Boulder Sample Log'!E$5:E$204,0)),"")</f>
        <v>46131</v>
      </c>
      <c r="C909" s="70">
        <v>1056</v>
      </c>
      <c r="D909" s="70" t="s">
        <v>256</v>
      </c>
      <c r="E909" s="70">
        <v>3</v>
      </c>
      <c r="F909" s="72">
        <v>21.302099999999999</v>
      </c>
      <c r="G909" s="72" t="s">
        <v>257</v>
      </c>
      <c r="H909" s="72">
        <v>5.5319000000000003</v>
      </c>
      <c r="I909" s="72">
        <v>22842.679700000001</v>
      </c>
      <c r="J909" s="70">
        <v>342.80560000000003</v>
      </c>
      <c r="K909" s="72">
        <v>5736.4916999999996</v>
      </c>
      <c r="L909" s="72">
        <v>95.855900000000005</v>
      </c>
      <c r="M909" s="70">
        <v>12.2211</v>
      </c>
      <c r="N909" s="77">
        <v>123.22</v>
      </c>
      <c r="O909" s="70">
        <v>4</v>
      </c>
      <c r="P909" s="70"/>
      <c r="Q909" s="62" t="s">
        <v>258</v>
      </c>
    </row>
    <row r="910" spans="1:17" ht="13.8" customHeight="1" x14ac:dyDescent="0.3">
      <c r="A910" s="73" t="s">
        <v>343</v>
      </c>
      <c r="B910" s="74">
        <f>IFERROR(INDEX('Boulder Sample Log'!A$5:A$204,MATCH(A910,'Boulder Sample Log'!E$5:E$204,0)),"")</f>
        <v>46131</v>
      </c>
      <c r="C910" s="73">
        <v>1057</v>
      </c>
      <c r="D910" s="73" t="s">
        <v>256</v>
      </c>
      <c r="E910" s="73">
        <v>3</v>
      </c>
      <c r="F910" s="75">
        <v>22.348099999999999</v>
      </c>
      <c r="G910" s="75" t="s">
        <v>257</v>
      </c>
      <c r="H910" s="75">
        <v>5.48</v>
      </c>
      <c r="I910" s="75">
        <v>20625.2637</v>
      </c>
      <c r="J910" s="73">
        <v>276.3449</v>
      </c>
      <c r="K910" s="75">
        <v>5365.2920000000004</v>
      </c>
      <c r="L910" s="75">
        <v>92.683899999999994</v>
      </c>
      <c r="M910" s="73">
        <v>13.188000000000001</v>
      </c>
      <c r="N910" s="76">
        <v>122.84</v>
      </c>
      <c r="O910" s="73">
        <v>4</v>
      </c>
      <c r="P910" s="73"/>
      <c r="Q910" s="66" t="s">
        <v>258</v>
      </c>
    </row>
    <row r="911" spans="1:17" ht="13.8" customHeight="1" x14ac:dyDescent="0.3">
      <c r="A911" s="70" t="s">
        <v>343</v>
      </c>
      <c r="B911" s="71">
        <f>IFERROR(INDEX('Boulder Sample Log'!A$5:A$204,MATCH(A911,'Boulder Sample Log'!E$5:E$204,0)),"")</f>
        <v>46131</v>
      </c>
      <c r="C911" s="70">
        <v>1058</v>
      </c>
      <c r="D911" s="70" t="s">
        <v>256</v>
      </c>
      <c r="E911" s="70">
        <v>4</v>
      </c>
      <c r="F911" s="72">
        <v>697.68899999999996</v>
      </c>
      <c r="G911" s="72" t="s">
        <v>257</v>
      </c>
      <c r="H911" s="72" t="s">
        <v>257</v>
      </c>
      <c r="I911" s="72">
        <v>16248.363300000001</v>
      </c>
      <c r="J911" s="70">
        <v>17.855699999999999</v>
      </c>
      <c r="K911" s="72">
        <v>8186.7997999999998</v>
      </c>
      <c r="L911" s="72" t="s">
        <v>257</v>
      </c>
      <c r="M911" s="70" t="s">
        <v>257</v>
      </c>
      <c r="N911" s="77">
        <v>120.45</v>
      </c>
      <c r="O911" s="70">
        <v>4</v>
      </c>
      <c r="P911" s="70"/>
      <c r="Q911" s="62" t="s">
        <v>258</v>
      </c>
    </row>
    <row r="912" spans="1:17" ht="13.8" customHeight="1" x14ac:dyDescent="0.3">
      <c r="A912" s="73" t="s">
        <v>343</v>
      </c>
      <c r="B912" s="74">
        <f>IFERROR(INDEX('Boulder Sample Log'!A$5:A$204,MATCH(A912,'Boulder Sample Log'!E$5:E$204,0)),"")</f>
        <v>46131</v>
      </c>
      <c r="C912" s="73">
        <v>1059</v>
      </c>
      <c r="D912" s="73" t="s">
        <v>256</v>
      </c>
      <c r="E912" s="73">
        <v>4</v>
      </c>
      <c r="F912" s="75" t="s">
        <v>257</v>
      </c>
      <c r="G912" s="75" t="s">
        <v>257</v>
      </c>
      <c r="H912" s="75" t="s">
        <v>257</v>
      </c>
      <c r="I912" s="75" t="s">
        <v>257</v>
      </c>
      <c r="J912" s="73">
        <v>821.87519999999995</v>
      </c>
      <c r="K912" s="75">
        <v>16321.3086</v>
      </c>
      <c r="L912" s="75" t="s">
        <v>257</v>
      </c>
      <c r="M912" s="73" t="s">
        <v>257</v>
      </c>
      <c r="N912" s="76">
        <v>123.13</v>
      </c>
      <c r="O912" s="73">
        <v>4</v>
      </c>
      <c r="P912" s="73" t="s">
        <v>342</v>
      </c>
      <c r="Q912" s="66" t="s">
        <v>258</v>
      </c>
    </row>
    <row r="913" spans="1:17" ht="13.8" customHeight="1" x14ac:dyDescent="0.3">
      <c r="A913" s="70" t="s">
        <v>343</v>
      </c>
      <c r="B913" s="71">
        <f>IFERROR(INDEX('Boulder Sample Log'!A$5:A$204,MATCH(A913,'Boulder Sample Log'!E$5:E$204,0)),"")</f>
        <v>46131</v>
      </c>
      <c r="C913" s="70">
        <v>1060</v>
      </c>
      <c r="D913" s="70" t="s">
        <v>256</v>
      </c>
      <c r="E913" s="70">
        <v>5</v>
      </c>
      <c r="F913" s="72">
        <v>354.97340000000003</v>
      </c>
      <c r="G913" s="72">
        <v>0.87409999999999999</v>
      </c>
      <c r="H913" s="72" t="s">
        <v>257</v>
      </c>
      <c r="I913" s="72">
        <v>14163.4668</v>
      </c>
      <c r="J913" s="70">
        <v>41.575400000000002</v>
      </c>
      <c r="K913" s="72">
        <v>5376.1216000000004</v>
      </c>
      <c r="L913" s="72" t="s">
        <v>257</v>
      </c>
      <c r="M913" s="70" t="s">
        <v>257</v>
      </c>
      <c r="N913" s="77">
        <v>120.74</v>
      </c>
      <c r="O913" s="70">
        <v>4</v>
      </c>
      <c r="P913" s="70"/>
      <c r="Q913" s="62" t="s">
        <v>258</v>
      </c>
    </row>
    <row r="914" spans="1:17" ht="13.8" customHeight="1" x14ac:dyDescent="0.3">
      <c r="A914" s="73" t="s">
        <v>343</v>
      </c>
      <c r="B914" s="74">
        <f>IFERROR(INDEX('Boulder Sample Log'!A$5:A$204,MATCH(A914,'Boulder Sample Log'!E$5:E$204,0)),"")</f>
        <v>46131</v>
      </c>
      <c r="C914" s="73">
        <v>1062</v>
      </c>
      <c r="D914" s="73" t="s">
        <v>256</v>
      </c>
      <c r="E914" s="73">
        <v>5</v>
      </c>
      <c r="F914" s="75">
        <v>13.478999999999999</v>
      </c>
      <c r="G914" s="75" t="s">
        <v>257</v>
      </c>
      <c r="H914" s="75">
        <v>7.0869</v>
      </c>
      <c r="I914" s="75">
        <v>9855.1934000000001</v>
      </c>
      <c r="J914" s="73" t="s">
        <v>257</v>
      </c>
      <c r="K914" s="75">
        <v>4211.2563</v>
      </c>
      <c r="L914" s="75">
        <v>3.3967000000000001</v>
      </c>
      <c r="M914" s="73">
        <v>9.7605000000000004</v>
      </c>
      <c r="N914" s="76">
        <v>122.92</v>
      </c>
      <c r="O914" s="73">
        <v>4</v>
      </c>
      <c r="P914" s="73"/>
      <c r="Q914" s="66" t="s">
        <v>258</v>
      </c>
    </row>
    <row r="915" spans="1:17" ht="13.8" customHeight="1" x14ac:dyDescent="0.3">
      <c r="A915" s="70" t="s">
        <v>343</v>
      </c>
      <c r="B915" s="71">
        <f>IFERROR(INDEX('Boulder Sample Log'!A$5:A$204,MATCH(A915,'Boulder Sample Log'!E$5:E$204,0)),"")</f>
        <v>46131</v>
      </c>
      <c r="C915" s="70">
        <v>1063</v>
      </c>
      <c r="D915" s="70" t="s">
        <v>256</v>
      </c>
      <c r="E915" s="70">
        <v>5</v>
      </c>
      <c r="F915" s="72">
        <v>11.3718</v>
      </c>
      <c r="G915" s="72" t="s">
        <v>257</v>
      </c>
      <c r="H915" s="72">
        <v>10.1957</v>
      </c>
      <c r="I915" s="72">
        <v>19863.742200000001</v>
      </c>
      <c r="J915" s="70">
        <v>149.619</v>
      </c>
      <c r="K915" s="72">
        <v>4386.3994000000002</v>
      </c>
      <c r="L915" s="72">
        <v>28.294</v>
      </c>
      <c r="M915" s="70">
        <v>14.4529</v>
      </c>
      <c r="N915" s="77">
        <v>120.51</v>
      </c>
      <c r="O915" s="70">
        <v>4</v>
      </c>
      <c r="P915" s="70"/>
      <c r="Q915" s="62" t="s">
        <v>258</v>
      </c>
    </row>
    <row r="916" spans="1:17" ht="13.8" customHeight="1" x14ac:dyDescent="0.3">
      <c r="A916" s="73" t="s">
        <v>344</v>
      </c>
      <c r="B916" s="74">
        <f>IFERROR(INDEX('Boulder Sample Log'!A$5:A$204,MATCH(A916,'Boulder Sample Log'!E$5:E$204,0)),"")</f>
        <v>46131</v>
      </c>
      <c r="C916" s="73">
        <v>1064</v>
      </c>
      <c r="D916" s="73" t="s">
        <v>256</v>
      </c>
      <c r="E916" s="73">
        <v>1</v>
      </c>
      <c r="F916" s="75">
        <v>32.495600000000003</v>
      </c>
      <c r="G916" s="75">
        <v>14.4674</v>
      </c>
      <c r="H916" s="75">
        <v>6.7431999999999999</v>
      </c>
      <c r="I916" s="75">
        <v>111557.53909999999</v>
      </c>
      <c r="J916" s="73" t="s">
        <v>257</v>
      </c>
      <c r="K916" s="75">
        <v>32209.8184</v>
      </c>
      <c r="L916" s="75" t="s">
        <v>257</v>
      </c>
      <c r="M916" s="73">
        <v>19.1798</v>
      </c>
      <c r="N916" s="76">
        <v>120.24</v>
      </c>
      <c r="O916" s="73">
        <v>4</v>
      </c>
      <c r="P916" s="73"/>
      <c r="Q916" s="66" t="s">
        <v>258</v>
      </c>
    </row>
    <row r="917" spans="1:17" ht="13.8" customHeight="1" x14ac:dyDescent="0.3">
      <c r="A917" s="70" t="s">
        <v>344</v>
      </c>
      <c r="B917" s="71">
        <f>IFERROR(INDEX('Boulder Sample Log'!A$5:A$204,MATCH(A917,'Boulder Sample Log'!E$5:E$204,0)),"")</f>
        <v>46131</v>
      </c>
      <c r="C917" s="70">
        <v>1065</v>
      </c>
      <c r="D917" s="70" t="s">
        <v>256</v>
      </c>
      <c r="E917" s="70">
        <v>1</v>
      </c>
      <c r="F917" s="72">
        <v>126.0187</v>
      </c>
      <c r="G917" s="72" t="s">
        <v>257</v>
      </c>
      <c r="H917" s="72">
        <v>5.3438999999999997</v>
      </c>
      <c r="I917" s="72">
        <v>6009.4516999999996</v>
      </c>
      <c r="J917" s="70" t="s">
        <v>257</v>
      </c>
      <c r="K917" s="72">
        <v>11689.229499999999</v>
      </c>
      <c r="L917" s="72">
        <v>10.6083</v>
      </c>
      <c r="M917" s="70" t="s">
        <v>257</v>
      </c>
      <c r="N917" s="77">
        <v>122.84</v>
      </c>
      <c r="O917" s="70">
        <v>4</v>
      </c>
      <c r="P917" s="70"/>
      <c r="Q917" s="62" t="s">
        <v>258</v>
      </c>
    </row>
    <row r="918" spans="1:17" ht="13.8" customHeight="1" x14ac:dyDescent="0.3">
      <c r="A918" s="73" t="s">
        <v>344</v>
      </c>
      <c r="B918" s="74">
        <f>IFERROR(INDEX('Boulder Sample Log'!A$5:A$204,MATCH(A918,'Boulder Sample Log'!E$5:E$204,0)),"")</f>
        <v>46131</v>
      </c>
      <c r="C918" s="73">
        <v>1066</v>
      </c>
      <c r="D918" s="73" t="s">
        <v>256</v>
      </c>
      <c r="E918" s="73">
        <v>1</v>
      </c>
      <c r="F918" s="75">
        <v>3.2879</v>
      </c>
      <c r="G918" s="75">
        <v>10.499000000000001</v>
      </c>
      <c r="H918" s="75">
        <v>8.8892000000000007</v>
      </c>
      <c r="I918" s="75">
        <v>85170.296900000001</v>
      </c>
      <c r="J918" s="73" t="s">
        <v>257</v>
      </c>
      <c r="K918" s="75">
        <v>26569.234400000001</v>
      </c>
      <c r="L918" s="75" t="s">
        <v>257</v>
      </c>
      <c r="M918" s="73">
        <v>19.638500000000001</v>
      </c>
      <c r="N918" s="76">
        <v>122.83</v>
      </c>
      <c r="O918" s="73">
        <v>4</v>
      </c>
      <c r="P918" s="73"/>
      <c r="Q918" s="66" t="s">
        <v>258</v>
      </c>
    </row>
    <row r="919" spans="1:17" ht="13.8" customHeight="1" x14ac:dyDescent="0.3">
      <c r="A919" s="70" t="s">
        <v>344</v>
      </c>
      <c r="B919" s="71">
        <f>IFERROR(INDEX('Boulder Sample Log'!A$5:A$204,MATCH(A919,'Boulder Sample Log'!E$5:E$204,0)),"")</f>
        <v>46131</v>
      </c>
      <c r="C919" s="70">
        <v>1067</v>
      </c>
      <c r="D919" s="70" t="s">
        <v>256</v>
      </c>
      <c r="E919" s="70">
        <v>2</v>
      </c>
      <c r="F919" s="72">
        <v>2.9668999999999999</v>
      </c>
      <c r="G919" s="72" t="s">
        <v>257</v>
      </c>
      <c r="H919" s="72">
        <v>7.4550999999999998</v>
      </c>
      <c r="I919" s="72">
        <v>11364.249</v>
      </c>
      <c r="J919" s="70" t="s">
        <v>257</v>
      </c>
      <c r="K919" s="72">
        <v>8840.5282999999999</v>
      </c>
      <c r="L919" s="72" t="s">
        <v>257</v>
      </c>
      <c r="M919" s="70" t="s">
        <v>257</v>
      </c>
      <c r="N919" s="77">
        <v>120.41</v>
      </c>
      <c r="O919" s="70">
        <v>4</v>
      </c>
      <c r="P919" s="70"/>
      <c r="Q919" s="62" t="s">
        <v>258</v>
      </c>
    </row>
    <row r="920" spans="1:17" ht="13.8" customHeight="1" x14ac:dyDescent="0.3">
      <c r="A920" s="73" t="s">
        <v>344</v>
      </c>
      <c r="B920" s="74">
        <f>IFERROR(INDEX('Boulder Sample Log'!A$5:A$204,MATCH(A920,'Boulder Sample Log'!E$5:E$204,0)),"")</f>
        <v>46131</v>
      </c>
      <c r="C920" s="73">
        <v>1068</v>
      </c>
      <c r="D920" s="73" t="s">
        <v>256</v>
      </c>
      <c r="E920" s="73">
        <v>2</v>
      </c>
      <c r="F920" s="75">
        <v>7.2767999999999997</v>
      </c>
      <c r="G920" s="75" t="s">
        <v>257</v>
      </c>
      <c r="H920" s="75">
        <v>6.9854000000000003</v>
      </c>
      <c r="I920" s="75">
        <v>13097.3076</v>
      </c>
      <c r="J920" s="73" t="s">
        <v>257</v>
      </c>
      <c r="K920" s="75">
        <v>9552.8428000000004</v>
      </c>
      <c r="L920" s="75" t="s">
        <v>257</v>
      </c>
      <c r="M920" s="73" t="s">
        <v>257</v>
      </c>
      <c r="N920" s="76">
        <v>120.52</v>
      </c>
      <c r="O920" s="73">
        <v>4</v>
      </c>
      <c r="P920" s="73"/>
      <c r="Q920" s="66" t="s">
        <v>258</v>
      </c>
    </row>
    <row r="921" spans="1:17" ht="13.8" customHeight="1" x14ac:dyDescent="0.3">
      <c r="A921" s="70" t="s">
        <v>344</v>
      </c>
      <c r="B921" s="71">
        <f>IFERROR(INDEX('Boulder Sample Log'!A$5:A$204,MATCH(A921,'Boulder Sample Log'!E$5:E$204,0)),"")</f>
        <v>46131</v>
      </c>
      <c r="C921" s="70">
        <v>1069</v>
      </c>
      <c r="D921" s="70" t="s">
        <v>256</v>
      </c>
      <c r="E921" s="70">
        <v>3</v>
      </c>
      <c r="F921" s="72">
        <v>3.9636</v>
      </c>
      <c r="G921" s="72">
        <v>9.9358000000000004</v>
      </c>
      <c r="H921" s="72">
        <v>10.652100000000001</v>
      </c>
      <c r="I921" s="72">
        <v>63460.328099999999</v>
      </c>
      <c r="J921" s="70" t="s">
        <v>257</v>
      </c>
      <c r="K921" s="72">
        <v>8822.4989999999998</v>
      </c>
      <c r="L921" s="72" t="s">
        <v>257</v>
      </c>
      <c r="M921" s="70">
        <v>18.800599999999999</v>
      </c>
      <c r="N921" s="77">
        <v>120.54</v>
      </c>
      <c r="O921" s="70">
        <v>4</v>
      </c>
      <c r="P921" s="70"/>
      <c r="Q921" s="62" t="s">
        <v>258</v>
      </c>
    </row>
    <row r="922" spans="1:17" ht="13.8" customHeight="1" x14ac:dyDescent="0.3">
      <c r="A922" s="73" t="s">
        <v>344</v>
      </c>
      <c r="B922" s="74">
        <f>IFERROR(INDEX('Boulder Sample Log'!A$5:A$204,MATCH(A922,'Boulder Sample Log'!E$5:E$204,0)),"")</f>
        <v>46131</v>
      </c>
      <c r="C922" s="73">
        <v>1070</v>
      </c>
      <c r="D922" s="73" t="s">
        <v>256</v>
      </c>
      <c r="E922" s="73">
        <v>3</v>
      </c>
      <c r="F922" s="75" t="s">
        <v>257</v>
      </c>
      <c r="G922" s="75">
        <v>5.5857000000000001</v>
      </c>
      <c r="H922" s="75">
        <v>4.7271000000000001</v>
      </c>
      <c r="I922" s="75">
        <v>44765.003900000003</v>
      </c>
      <c r="J922" s="73" t="s">
        <v>257</v>
      </c>
      <c r="K922" s="75">
        <v>5915.8549999999996</v>
      </c>
      <c r="L922" s="75" t="s">
        <v>257</v>
      </c>
      <c r="M922" s="73">
        <v>10.912599999999999</v>
      </c>
      <c r="N922" s="76">
        <v>122.93</v>
      </c>
      <c r="O922" s="73">
        <v>4</v>
      </c>
      <c r="P922" s="73"/>
      <c r="Q922" s="66" t="s">
        <v>258</v>
      </c>
    </row>
    <row r="923" spans="1:17" ht="13.8" customHeight="1" x14ac:dyDescent="0.3">
      <c r="A923" s="70" t="s">
        <v>344</v>
      </c>
      <c r="B923" s="71">
        <f>IFERROR(INDEX('Boulder Sample Log'!A$5:A$204,MATCH(A923,'Boulder Sample Log'!E$5:E$204,0)),"")</f>
        <v>46131</v>
      </c>
      <c r="C923" s="70">
        <v>1071</v>
      </c>
      <c r="D923" s="70" t="s">
        <v>256</v>
      </c>
      <c r="E923" s="70">
        <v>4</v>
      </c>
      <c r="F923" s="72" t="s">
        <v>257</v>
      </c>
      <c r="G923" s="72">
        <v>5.3491</v>
      </c>
      <c r="H923" s="72">
        <v>8.8285</v>
      </c>
      <c r="I923" s="72">
        <v>60216.613299999997</v>
      </c>
      <c r="J923" s="70" t="s">
        <v>257</v>
      </c>
      <c r="K923" s="72">
        <v>8261.1875</v>
      </c>
      <c r="L923" s="72" t="s">
        <v>257</v>
      </c>
      <c r="M923" s="70">
        <v>15.206300000000001</v>
      </c>
      <c r="N923" s="77">
        <v>120.47</v>
      </c>
      <c r="O923" s="70">
        <v>4</v>
      </c>
      <c r="P923" s="70"/>
      <c r="Q923" s="62" t="s">
        <v>258</v>
      </c>
    </row>
    <row r="924" spans="1:17" ht="13.8" customHeight="1" x14ac:dyDescent="0.3">
      <c r="A924" s="73" t="s">
        <v>344</v>
      </c>
      <c r="B924" s="74">
        <f>IFERROR(INDEX('Boulder Sample Log'!A$5:A$204,MATCH(A924,'Boulder Sample Log'!E$5:E$204,0)),"")</f>
        <v>46131</v>
      </c>
      <c r="C924" s="73">
        <v>1072</v>
      </c>
      <c r="D924" s="73" t="s">
        <v>256</v>
      </c>
      <c r="E924" s="73">
        <v>4</v>
      </c>
      <c r="F924" s="75" t="s">
        <v>257</v>
      </c>
      <c r="G924" s="75">
        <v>7.8742000000000001</v>
      </c>
      <c r="H924" s="75">
        <v>5.7202000000000002</v>
      </c>
      <c r="I924" s="75">
        <v>59472.394500000002</v>
      </c>
      <c r="J924" s="73" t="s">
        <v>257</v>
      </c>
      <c r="K924" s="75">
        <v>5991.4678000000004</v>
      </c>
      <c r="L924" s="75" t="s">
        <v>257</v>
      </c>
      <c r="M924" s="73">
        <v>7.1040000000000001</v>
      </c>
      <c r="N924" s="76">
        <v>122.85</v>
      </c>
      <c r="O924" s="73">
        <v>4</v>
      </c>
      <c r="P924" s="73"/>
      <c r="Q924" s="66" t="s">
        <v>258</v>
      </c>
    </row>
    <row r="925" spans="1:17" ht="13.8" customHeight="1" x14ac:dyDescent="0.3">
      <c r="A925" s="70" t="s">
        <v>344</v>
      </c>
      <c r="B925" s="71">
        <f>IFERROR(INDEX('Boulder Sample Log'!A$5:A$204,MATCH(A925,'Boulder Sample Log'!E$5:E$204,0)),"")</f>
        <v>46131</v>
      </c>
      <c r="C925" s="70">
        <v>1073</v>
      </c>
      <c r="D925" s="70" t="s">
        <v>256</v>
      </c>
      <c r="E925" s="70">
        <v>5</v>
      </c>
      <c r="F925" s="72">
        <v>3.2290000000000001</v>
      </c>
      <c r="G925" s="72">
        <v>3.3967999999999998</v>
      </c>
      <c r="H925" s="72">
        <v>11.4796</v>
      </c>
      <c r="I925" s="72">
        <v>64093.488299999997</v>
      </c>
      <c r="J925" s="70" t="s">
        <v>257</v>
      </c>
      <c r="K925" s="72">
        <v>9892.0879000000004</v>
      </c>
      <c r="L925" s="72" t="s">
        <v>257</v>
      </c>
      <c r="M925" s="70">
        <v>25.729500000000002</v>
      </c>
      <c r="N925" s="77">
        <v>122.91</v>
      </c>
      <c r="O925" s="70">
        <v>4</v>
      </c>
      <c r="P925" s="70"/>
      <c r="Q925" s="62" t="s">
        <v>258</v>
      </c>
    </row>
    <row r="926" spans="1:17" ht="13.8" customHeight="1" x14ac:dyDescent="0.3">
      <c r="A926" s="73" t="s">
        <v>344</v>
      </c>
      <c r="B926" s="74">
        <f>IFERROR(INDEX('Boulder Sample Log'!A$5:A$204,MATCH(A926,'Boulder Sample Log'!E$5:E$204,0)),"")</f>
        <v>46131</v>
      </c>
      <c r="C926" s="73">
        <v>1074</v>
      </c>
      <c r="D926" s="73" t="s">
        <v>256</v>
      </c>
      <c r="E926" s="73">
        <v>5</v>
      </c>
      <c r="F926" s="75">
        <v>6.3844000000000003</v>
      </c>
      <c r="G926" s="75">
        <v>5.8331</v>
      </c>
      <c r="H926" s="75">
        <v>12.710800000000001</v>
      </c>
      <c r="I926" s="75">
        <v>80054.453099999999</v>
      </c>
      <c r="J926" s="73" t="s">
        <v>257</v>
      </c>
      <c r="K926" s="75">
        <v>12577.1885</v>
      </c>
      <c r="L926" s="75" t="s">
        <v>257</v>
      </c>
      <c r="M926" s="73">
        <v>23.239699999999999</v>
      </c>
      <c r="N926" s="76">
        <v>122.93</v>
      </c>
      <c r="O926" s="73">
        <v>4</v>
      </c>
      <c r="P926" s="73"/>
      <c r="Q926" s="66" t="s">
        <v>258</v>
      </c>
    </row>
    <row r="927" spans="1:17" ht="13.8" customHeight="1" x14ac:dyDescent="0.3">
      <c r="A927" s="70" t="s">
        <v>345</v>
      </c>
      <c r="B927" s="71">
        <f>IFERROR(INDEX('Boulder Sample Log'!A$5:A$204,MATCH(A927,'Boulder Sample Log'!E$5:E$204,0)),"")</f>
        <v>46131</v>
      </c>
      <c r="C927" s="70">
        <v>1075</v>
      </c>
      <c r="D927" s="70" t="s">
        <v>256</v>
      </c>
      <c r="E927" s="70">
        <v>1</v>
      </c>
      <c r="F927" s="72">
        <v>8.3183000000000007</v>
      </c>
      <c r="G927" s="72" t="s">
        <v>257</v>
      </c>
      <c r="H927" s="72">
        <v>12.1715</v>
      </c>
      <c r="I927" s="72">
        <v>51596.25</v>
      </c>
      <c r="J927" s="70">
        <v>847.87310000000002</v>
      </c>
      <c r="K927" s="72">
        <v>944.73440000000005</v>
      </c>
      <c r="L927" s="72">
        <v>130.24780000000001</v>
      </c>
      <c r="M927" s="70">
        <v>183.4778</v>
      </c>
      <c r="N927" s="77">
        <v>120.2</v>
      </c>
      <c r="O927" s="70">
        <v>4</v>
      </c>
      <c r="P927" s="70"/>
      <c r="Q927" s="62" t="s">
        <v>258</v>
      </c>
    </row>
    <row r="928" spans="1:17" ht="13.8" customHeight="1" x14ac:dyDescent="0.3">
      <c r="A928" s="73" t="s">
        <v>345</v>
      </c>
      <c r="B928" s="74">
        <f>IFERROR(INDEX('Boulder Sample Log'!A$5:A$204,MATCH(A928,'Boulder Sample Log'!E$5:E$204,0)),"")</f>
        <v>46131</v>
      </c>
      <c r="C928" s="73">
        <v>1076</v>
      </c>
      <c r="D928" s="73" t="s">
        <v>256</v>
      </c>
      <c r="E928" s="73">
        <v>1</v>
      </c>
      <c r="F928" s="75">
        <v>4.0572999999999997</v>
      </c>
      <c r="G928" s="75" t="s">
        <v>257</v>
      </c>
      <c r="H928" s="75">
        <v>10.170199999999999</v>
      </c>
      <c r="I928" s="75">
        <v>42576.683599999997</v>
      </c>
      <c r="J928" s="73">
        <v>707.81579999999997</v>
      </c>
      <c r="K928" s="75">
        <v>805.56119999999999</v>
      </c>
      <c r="L928" s="75">
        <v>125.2598</v>
      </c>
      <c r="M928" s="73">
        <v>155.32069999999999</v>
      </c>
      <c r="N928" s="76">
        <v>122.95</v>
      </c>
      <c r="O928" s="73">
        <v>4</v>
      </c>
      <c r="P928" s="73"/>
      <c r="Q928" s="66" t="s">
        <v>258</v>
      </c>
    </row>
    <row r="929" spans="1:17" ht="13.8" customHeight="1" x14ac:dyDescent="0.3">
      <c r="A929" s="70" t="s">
        <v>345</v>
      </c>
      <c r="B929" s="71">
        <f>IFERROR(INDEX('Boulder Sample Log'!A$5:A$204,MATCH(A929,'Boulder Sample Log'!E$5:E$204,0)),"")</f>
        <v>46131</v>
      </c>
      <c r="C929" s="70">
        <v>1077</v>
      </c>
      <c r="D929" s="70" t="s">
        <v>256</v>
      </c>
      <c r="E929" s="70">
        <v>2</v>
      </c>
      <c r="F929" s="72">
        <v>14.325100000000001</v>
      </c>
      <c r="G929" s="72" t="s">
        <v>257</v>
      </c>
      <c r="H929" s="72">
        <v>6.2511999999999999</v>
      </c>
      <c r="I929" s="72">
        <v>18929.140599999999</v>
      </c>
      <c r="J929" s="70" t="s">
        <v>257</v>
      </c>
      <c r="K929" s="72">
        <v>3117.2055999999998</v>
      </c>
      <c r="L929" s="72">
        <v>3.4100999999999999</v>
      </c>
      <c r="M929" s="70">
        <v>12.2136</v>
      </c>
      <c r="N929" s="77">
        <v>120.24</v>
      </c>
      <c r="O929" s="70">
        <v>4</v>
      </c>
      <c r="P929" s="70"/>
      <c r="Q929" s="62" t="s">
        <v>258</v>
      </c>
    </row>
    <row r="930" spans="1:17" ht="13.8" customHeight="1" x14ac:dyDescent="0.3">
      <c r="A930" s="73" t="s">
        <v>345</v>
      </c>
      <c r="B930" s="74">
        <f>IFERROR(INDEX('Boulder Sample Log'!A$5:A$204,MATCH(A930,'Boulder Sample Log'!E$5:E$204,0)),"")</f>
        <v>46131</v>
      </c>
      <c r="C930" s="73">
        <v>1078</v>
      </c>
      <c r="D930" s="73" t="s">
        <v>256</v>
      </c>
      <c r="E930" s="73">
        <v>2</v>
      </c>
      <c r="F930" s="75">
        <v>9.0907</v>
      </c>
      <c r="G930" s="75" t="s">
        <v>257</v>
      </c>
      <c r="H930" s="75">
        <v>6.2045000000000003</v>
      </c>
      <c r="I930" s="75">
        <v>18995.162100000001</v>
      </c>
      <c r="J930" s="73" t="s">
        <v>257</v>
      </c>
      <c r="K930" s="75">
        <v>1861.0528999999999</v>
      </c>
      <c r="L930" s="75">
        <v>4.1920999999999999</v>
      </c>
      <c r="M930" s="73">
        <v>15.193099999999999</v>
      </c>
      <c r="N930" s="76">
        <v>120.33</v>
      </c>
      <c r="O930" s="73">
        <v>4</v>
      </c>
      <c r="P930" s="73"/>
      <c r="Q930" s="66" t="s">
        <v>258</v>
      </c>
    </row>
    <row r="931" spans="1:17" ht="13.8" customHeight="1" x14ac:dyDescent="0.3">
      <c r="A931" s="70" t="s">
        <v>345</v>
      </c>
      <c r="B931" s="71">
        <f>IFERROR(INDEX('Boulder Sample Log'!A$5:A$204,MATCH(A931,'Boulder Sample Log'!E$5:E$204,0)),"")</f>
        <v>46131</v>
      </c>
      <c r="C931" s="70">
        <v>1079</v>
      </c>
      <c r="D931" s="70" t="s">
        <v>256</v>
      </c>
      <c r="E931" s="70">
        <v>3</v>
      </c>
      <c r="F931" s="72" t="s">
        <v>257</v>
      </c>
      <c r="G931" s="72" t="s">
        <v>257</v>
      </c>
      <c r="H931" s="72">
        <v>4.2369000000000003</v>
      </c>
      <c r="I931" s="72">
        <v>7036.2329</v>
      </c>
      <c r="J931" s="70" t="s">
        <v>257</v>
      </c>
      <c r="K931" s="72">
        <v>1154.3741</v>
      </c>
      <c r="L931" s="72" t="s">
        <v>257</v>
      </c>
      <c r="M931" s="70" t="s">
        <v>257</v>
      </c>
      <c r="N931" s="77">
        <v>120.4</v>
      </c>
      <c r="O931" s="70">
        <v>4</v>
      </c>
      <c r="P931" s="70"/>
      <c r="Q931" s="62" t="s">
        <v>258</v>
      </c>
    </row>
    <row r="932" spans="1:17" ht="13.8" customHeight="1" x14ac:dyDescent="0.3">
      <c r="A932" s="73" t="s">
        <v>345</v>
      </c>
      <c r="B932" s="74">
        <f>IFERROR(INDEX('Boulder Sample Log'!A$5:A$204,MATCH(A932,'Boulder Sample Log'!E$5:E$204,0)),"")</f>
        <v>46131</v>
      </c>
      <c r="C932" s="73">
        <v>1080</v>
      </c>
      <c r="D932" s="73" t="s">
        <v>256</v>
      </c>
      <c r="E932" s="73">
        <v>3</v>
      </c>
      <c r="F932" s="75" t="s">
        <v>257</v>
      </c>
      <c r="G932" s="75" t="s">
        <v>257</v>
      </c>
      <c r="H932" s="75">
        <v>4.9946999999999999</v>
      </c>
      <c r="I932" s="75">
        <v>7621.0054</v>
      </c>
      <c r="J932" s="73" t="s">
        <v>257</v>
      </c>
      <c r="K932" s="75">
        <v>842.12339999999995</v>
      </c>
      <c r="L932" s="75" t="s">
        <v>257</v>
      </c>
      <c r="M932" s="73" t="s">
        <v>257</v>
      </c>
      <c r="N932" s="76">
        <v>120.2</v>
      </c>
      <c r="O932" s="73">
        <v>4</v>
      </c>
      <c r="P932" s="73"/>
      <c r="Q932" s="66" t="s">
        <v>258</v>
      </c>
    </row>
    <row r="933" spans="1:17" ht="13.8" customHeight="1" x14ac:dyDescent="0.3">
      <c r="A933" s="70" t="s">
        <v>345</v>
      </c>
      <c r="B933" s="71">
        <f>IFERROR(INDEX('Boulder Sample Log'!A$5:A$204,MATCH(A933,'Boulder Sample Log'!E$5:E$204,0)),"")</f>
        <v>46131</v>
      </c>
      <c r="C933" s="70">
        <v>1081</v>
      </c>
      <c r="D933" s="70" t="s">
        <v>256</v>
      </c>
      <c r="E933" s="70">
        <v>4</v>
      </c>
      <c r="F933" s="72" t="s">
        <v>257</v>
      </c>
      <c r="G933" s="72">
        <v>4.4168000000000003</v>
      </c>
      <c r="H933" s="72">
        <v>66.025899999999993</v>
      </c>
      <c r="I933" s="72">
        <v>34169.281199999998</v>
      </c>
      <c r="J933" s="70">
        <v>504.86189999999999</v>
      </c>
      <c r="K933" s="72">
        <v>2124.4128000000001</v>
      </c>
      <c r="L933" s="72">
        <v>41.122100000000003</v>
      </c>
      <c r="M933" s="70">
        <v>7.5692000000000004</v>
      </c>
      <c r="N933" s="77">
        <v>122.79</v>
      </c>
      <c r="O933" s="70">
        <v>4</v>
      </c>
      <c r="P933" s="70"/>
      <c r="Q933" s="62" t="s">
        <v>258</v>
      </c>
    </row>
    <row r="934" spans="1:17" ht="13.8" customHeight="1" x14ac:dyDescent="0.3">
      <c r="A934" s="73" t="s">
        <v>345</v>
      </c>
      <c r="B934" s="74">
        <f>IFERROR(INDEX('Boulder Sample Log'!A$5:A$204,MATCH(A934,'Boulder Sample Log'!E$5:E$204,0)),"")</f>
        <v>46131</v>
      </c>
      <c r="C934" s="73">
        <v>1082</v>
      </c>
      <c r="D934" s="73" t="s">
        <v>256</v>
      </c>
      <c r="E934" s="73">
        <v>4</v>
      </c>
      <c r="F934" s="75" t="s">
        <v>257</v>
      </c>
      <c r="G934" s="75" t="s">
        <v>257</v>
      </c>
      <c r="H934" s="75">
        <v>10.2127</v>
      </c>
      <c r="I934" s="75">
        <v>39340.343800000002</v>
      </c>
      <c r="J934" s="73">
        <v>613.66200000000003</v>
      </c>
      <c r="K934" s="75">
        <v>2289.5342000000001</v>
      </c>
      <c r="L934" s="75">
        <v>59.03</v>
      </c>
      <c r="M934" s="73">
        <v>11.720700000000001</v>
      </c>
      <c r="N934" s="76">
        <v>120.5</v>
      </c>
      <c r="O934" s="73">
        <v>4</v>
      </c>
      <c r="P934" s="73"/>
      <c r="Q934" s="66" t="s">
        <v>258</v>
      </c>
    </row>
    <row r="935" spans="1:17" ht="13.8" customHeight="1" x14ac:dyDescent="0.3">
      <c r="A935" s="70" t="s">
        <v>345</v>
      </c>
      <c r="B935" s="71">
        <f>IFERROR(INDEX('Boulder Sample Log'!A$5:A$204,MATCH(A935,'Boulder Sample Log'!E$5:E$204,0)),"")</f>
        <v>46131</v>
      </c>
      <c r="C935" s="70">
        <v>1083</v>
      </c>
      <c r="D935" s="70" t="s">
        <v>256</v>
      </c>
      <c r="E935" s="70">
        <v>5</v>
      </c>
      <c r="F935" s="72" t="s">
        <v>257</v>
      </c>
      <c r="G935" s="72" t="s">
        <v>257</v>
      </c>
      <c r="H935" s="72">
        <v>10.8651</v>
      </c>
      <c r="I935" s="72">
        <v>7436.4657999999999</v>
      </c>
      <c r="J935" s="70" t="s">
        <v>257</v>
      </c>
      <c r="K935" s="72">
        <v>843.11900000000003</v>
      </c>
      <c r="L935" s="72" t="s">
        <v>257</v>
      </c>
      <c r="M935" s="70" t="s">
        <v>257</v>
      </c>
      <c r="N935" s="77">
        <v>120.16</v>
      </c>
      <c r="O935" s="70">
        <v>4</v>
      </c>
      <c r="P935" s="70"/>
      <c r="Q935" s="62" t="s">
        <v>258</v>
      </c>
    </row>
    <row r="936" spans="1:17" ht="13.8" customHeight="1" x14ac:dyDescent="0.3">
      <c r="A936" s="73" t="s">
        <v>345</v>
      </c>
      <c r="B936" s="74">
        <f>IFERROR(INDEX('Boulder Sample Log'!A$5:A$204,MATCH(A936,'Boulder Sample Log'!E$5:E$204,0)),"")</f>
        <v>46131</v>
      </c>
      <c r="C936" s="73">
        <v>1084</v>
      </c>
      <c r="D936" s="73" t="s">
        <v>256</v>
      </c>
      <c r="E936" s="73">
        <v>5</v>
      </c>
      <c r="F936" s="75" t="s">
        <v>257</v>
      </c>
      <c r="G936" s="75" t="s">
        <v>257</v>
      </c>
      <c r="H936" s="75">
        <v>8.0731999999999999</v>
      </c>
      <c r="I936" s="75">
        <v>6599.6665000000003</v>
      </c>
      <c r="J936" s="73" t="s">
        <v>257</v>
      </c>
      <c r="K936" s="75">
        <v>982.53030000000001</v>
      </c>
      <c r="L936" s="75" t="s">
        <v>257</v>
      </c>
      <c r="M936" s="73" t="s">
        <v>257</v>
      </c>
      <c r="N936" s="76">
        <v>120.37</v>
      </c>
      <c r="O936" s="73">
        <v>4</v>
      </c>
      <c r="P936" s="73"/>
      <c r="Q936" s="66" t="s">
        <v>258</v>
      </c>
    </row>
    <row r="937" spans="1:17" ht="13.8" customHeight="1" x14ac:dyDescent="0.3">
      <c r="A937" s="70" t="s">
        <v>346</v>
      </c>
      <c r="B937" s="71">
        <f>IFERROR(INDEX('Boulder Sample Log'!A$5:A$204,MATCH(A937,'Boulder Sample Log'!E$5:E$204,0)),"")</f>
        <v>46131</v>
      </c>
      <c r="C937" s="70">
        <v>1085</v>
      </c>
      <c r="D937" s="70" t="s">
        <v>256</v>
      </c>
      <c r="E937" s="70">
        <v>1</v>
      </c>
      <c r="F937" s="72">
        <v>9.0492000000000008</v>
      </c>
      <c r="G937" s="72" t="s">
        <v>257</v>
      </c>
      <c r="H937" s="72">
        <v>36.862499999999997</v>
      </c>
      <c r="I937" s="72">
        <v>9369.3467000000001</v>
      </c>
      <c r="J937" s="70" t="s">
        <v>257</v>
      </c>
      <c r="K937" s="72">
        <v>1263.0867000000001</v>
      </c>
      <c r="L937" s="72">
        <v>6.2929000000000004</v>
      </c>
      <c r="M937" s="70" t="s">
        <v>257</v>
      </c>
      <c r="N937" s="77">
        <v>122.88</v>
      </c>
      <c r="O937" s="70">
        <v>4</v>
      </c>
      <c r="P937" s="70"/>
      <c r="Q937" s="62" t="s">
        <v>258</v>
      </c>
    </row>
    <row r="938" spans="1:17" ht="13.8" customHeight="1" x14ac:dyDescent="0.3">
      <c r="A938" s="73" t="s">
        <v>346</v>
      </c>
      <c r="B938" s="74">
        <f>IFERROR(INDEX('Boulder Sample Log'!A$5:A$204,MATCH(A938,'Boulder Sample Log'!E$5:E$204,0)),"")</f>
        <v>46131</v>
      </c>
      <c r="C938" s="73">
        <v>1086</v>
      </c>
      <c r="D938" s="73" t="s">
        <v>256</v>
      </c>
      <c r="E938" s="73">
        <v>1</v>
      </c>
      <c r="F938" s="75">
        <v>10.840999999999999</v>
      </c>
      <c r="G938" s="75" t="s">
        <v>257</v>
      </c>
      <c r="H938" s="75">
        <v>40.415399999999998</v>
      </c>
      <c r="I938" s="75">
        <v>9323.7685999999994</v>
      </c>
      <c r="J938" s="73" t="s">
        <v>257</v>
      </c>
      <c r="K938" s="75">
        <v>1497.5703000000001</v>
      </c>
      <c r="L938" s="75" t="s">
        <v>257</v>
      </c>
      <c r="M938" s="73" t="s">
        <v>257</v>
      </c>
      <c r="N938" s="76">
        <v>120.27</v>
      </c>
      <c r="O938" s="73">
        <v>4</v>
      </c>
      <c r="P938" s="73"/>
      <c r="Q938" s="66" t="s">
        <v>258</v>
      </c>
    </row>
    <row r="939" spans="1:17" ht="13.8" customHeight="1" x14ac:dyDescent="0.3">
      <c r="A939" s="70" t="s">
        <v>346</v>
      </c>
      <c r="B939" s="71">
        <f>IFERROR(INDEX('Boulder Sample Log'!A$5:A$204,MATCH(A939,'Boulder Sample Log'!E$5:E$204,0)),"")</f>
        <v>46131</v>
      </c>
      <c r="C939" s="70">
        <v>1087</v>
      </c>
      <c r="D939" s="70" t="s">
        <v>256</v>
      </c>
      <c r="E939" s="70">
        <v>2</v>
      </c>
      <c r="F939" s="72" t="s">
        <v>257</v>
      </c>
      <c r="G939" s="72">
        <v>3.6825999999999999</v>
      </c>
      <c r="H939" s="72">
        <v>15.236800000000001</v>
      </c>
      <c r="I939" s="72">
        <v>9616.0185999999994</v>
      </c>
      <c r="J939" s="70" t="s">
        <v>257</v>
      </c>
      <c r="K939" s="72">
        <v>1639.2057</v>
      </c>
      <c r="L939" s="72" t="s">
        <v>257</v>
      </c>
      <c r="M939" s="70">
        <v>4.8148</v>
      </c>
      <c r="N939" s="77">
        <v>120.25</v>
      </c>
      <c r="O939" s="70">
        <v>4</v>
      </c>
      <c r="P939" s="70"/>
      <c r="Q939" s="62" t="s">
        <v>258</v>
      </c>
    </row>
    <row r="940" spans="1:17" ht="13.8" customHeight="1" x14ac:dyDescent="0.3">
      <c r="A940" s="73" t="s">
        <v>346</v>
      </c>
      <c r="B940" s="74">
        <f>IFERROR(INDEX('Boulder Sample Log'!A$5:A$204,MATCH(A940,'Boulder Sample Log'!E$5:E$204,0)),"")</f>
        <v>46131</v>
      </c>
      <c r="C940" s="73">
        <v>1088</v>
      </c>
      <c r="D940" s="73" t="s">
        <v>256</v>
      </c>
      <c r="E940" s="73">
        <v>2</v>
      </c>
      <c r="F940" s="75" t="s">
        <v>257</v>
      </c>
      <c r="G940" s="75">
        <v>3.47</v>
      </c>
      <c r="H940" s="75">
        <v>15.1968</v>
      </c>
      <c r="I940" s="75">
        <v>11521.300800000001</v>
      </c>
      <c r="J940" s="73" t="s">
        <v>257</v>
      </c>
      <c r="K940" s="75">
        <v>1341.1849</v>
      </c>
      <c r="L940" s="75" t="s">
        <v>257</v>
      </c>
      <c r="M940" s="73">
        <v>6.0179999999999998</v>
      </c>
      <c r="N940" s="76">
        <v>120.33</v>
      </c>
      <c r="O940" s="73">
        <v>4</v>
      </c>
      <c r="P940" s="73"/>
      <c r="Q940" s="66" t="s">
        <v>258</v>
      </c>
    </row>
    <row r="941" spans="1:17" ht="13.8" customHeight="1" x14ac:dyDescent="0.3">
      <c r="A941" s="70" t="s">
        <v>346</v>
      </c>
      <c r="B941" s="71">
        <f>IFERROR(INDEX('Boulder Sample Log'!A$5:A$204,MATCH(A941,'Boulder Sample Log'!E$5:E$204,0)),"")</f>
        <v>46131</v>
      </c>
      <c r="C941" s="70">
        <v>1089</v>
      </c>
      <c r="D941" s="70" t="s">
        <v>256</v>
      </c>
      <c r="E941" s="70">
        <v>3</v>
      </c>
      <c r="F941" s="72">
        <v>9.4522999999999993</v>
      </c>
      <c r="G941" s="72" t="s">
        <v>257</v>
      </c>
      <c r="H941" s="72">
        <v>9.3752999999999993</v>
      </c>
      <c r="I941" s="72">
        <v>12415.1973</v>
      </c>
      <c r="J941" s="70" t="s">
        <v>257</v>
      </c>
      <c r="K941" s="72">
        <v>1831.6543999999999</v>
      </c>
      <c r="L941" s="72" t="s">
        <v>257</v>
      </c>
      <c r="M941" s="70" t="s">
        <v>257</v>
      </c>
      <c r="N941" s="77">
        <v>120.54</v>
      </c>
      <c r="O941" s="70">
        <v>4</v>
      </c>
      <c r="P941" s="70"/>
      <c r="Q941" s="62" t="s">
        <v>258</v>
      </c>
    </row>
    <row r="942" spans="1:17" ht="13.8" customHeight="1" x14ac:dyDescent="0.3">
      <c r="A942" s="73" t="s">
        <v>346</v>
      </c>
      <c r="B942" s="74">
        <f>IFERROR(INDEX('Boulder Sample Log'!A$5:A$204,MATCH(A942,'Boulder Sample Log'!E$5:E$204,0)),"")</f>
        <v>46131</v>
      </c>
      <c r="C942" s="73">
        <v>1090</v>
      </c>
      <c r="D942" s="73" t="s">
        <v>256</v>
      </c>
      <c r="E942" s="73">
        <v>3</v>
      </c>
      <c r="F942" s="75">
        <v>9.7609999999999992</v>
      </c>
      <c r="G942" s="75" t="s">
        <v>257</v>
      </c>
      <c r="H942" s="75">
        <v>13.146599999999999</v>
      </c>
      <c r="I942" s="75">
        <v>11710.9648</v>
      </c>
      <c r="J942" s="73" t="s">
        <v>257</v>
      </c>
      <c r="K942" s="75">
        <v>1831.3748000000001</v>
      </c>
      <c r="L942" s="75" t="s">
        <v>257</v>
      </c>
      <c r="M942" s="73">
        <v>5.6521999999999997</v>
      </c>
      <c r="N942" s="76">
        <v>120.47</v>
      </c>
      <c r="O942" s="73">
        <v>4</v>
      </c>
      <c r="P942" s="73"/>
      <c r="Q942" s="66" t="s">
        <v>258</v>
      </c>
    </row>
    <row r="943" spans="1:17" ht="13.8" customHeight="1" x14ac:dyDescent="0.3">
      <c r="A943" s="70" t="s">
        <v>346</v>
      </c>
      <c r="B943" s="71">
        <f>IFERROR(INDEX('Boulder Sample Log'!A$5:A$204,MATCH(A943,'Boulder Sample Log'!E$5:E$204,0)),"")</f>
        <v>46131</v>
      </c>
      <c r="C943" s="70">
        <v>1091</v>
      </c>
      <c r="D943" s="70" t="s">
        <v>256</v>
      </c>
      <c r="E943" s="70">
        <v>4</v>
      </c>
      <c r="F943" s="72">
        <v>12.363200000000001</v>
      </c>
      <c r="G943" s="72">
        <v>5.7880000000000003</v>
      </c>
      <c r="H943" s="72">
        <v>35.237000000000002</v>
      </c>
      <c r="I943" s="72">
        <v>23273.4961</v>
      </c>
      <c r="J943" s="70">
        <v>65.961100000000002</v>
      </c>
      <c r="K943" s="72">
        <v>2898.3166999999999</v>
      </c>
      <c r="L943" s="72" t="s">
        <v>257</v>
      </c>
      <c r="M943" s="70">
        <v>3.8913000000000002</v>
      </c>
      <c r="N943" s="77">
        <v>120.49</v>
      </c>
      <c r="O943" s="70">
        <v>4</v>
      </c>
      <c r="P943" s="70"/>
      <c r="Q943" s="62" t="s">
        <v>258</v>
      </c>
    </row>
    <row r="944" spans="1:17" ht="13.8" customHeight="1" x14ac:dyDescent="0.3">
      <c r="A944" s="73" t="s">
        <v>346</v>
      </c>
      <c r="B944" s="74">
        <f>IFERROR(INDEX('Boulder Sample Log'!A$5:A$204,MATCH(A944,'Boulder Sample Log'!E$5:E$204,0)),"")</f>
        <v>46131</v>
      </c>
      <c r="C944" s="73">
        <v>1092</v>
      </c>
      <c r="D944" s="73" t="s">
        <v>256</v>
      </c>
      <c r="E944" s="73">
        <v>4</v>
      </c>
      <c r="F944" s="75">
        <v>15.523300000000001</v>
      </c>
      <c r="G944" s="75">
        <v>4.0891999999999999</v>
      </c>
      <c r="H944" s="75">
        <v>35.349899999999998</v>
      </c>
      <c r="I944" s="75">
        <v>28935.3027</v>
      </c>
      <c r="J944" s="73">
        <v>194.28819999999999</v>
      </c>
      <c r="K944" s="75">
        <v>2836.4506999999999</v>
      </c>
      <c r="L944" s="75">
        <v>14.739699999999999</v>
      </c>
      <c r="M944" s="73" t="s">
        <v>257</v>
      </c>
      <c r="N944" s="76">
        <v>120.41</v>
      </c>
      <c r="O944" s="73">
        <v>4</v>
      </c>
      <c r="P944" s="73"/>
      <c r="Q944" s="66" t="s">
        <v>258</v>
      </c>
    </row>
    <row r="945" spans="1:17" ht="13.8" customHeight="1" x14ac:dyDescent="0.3">
      <c r="A945" s="70" t="s">
        <v>346</v>
      </c>
      <c r="B945" s="71">
        <f>IFERROR(INDEX('Boulder Sample Log'!A$5:A$204,MATCH(A945,'Boulder Sample Log'!E$5:E$204,0)),"")</f>
        <v>46131</v>
      </c>
      <c r="C945" s="70">
        <v>1093</v>
      </c>
      <c r="D945" s="70" t="s">
        <v>256</v>
      </c>
      <c r="E945" s="70">
        <v>5</v>
      </c>
      <c r="F945" s="72" t="s">
        <v>257</v>
      </c>
      <c r="G945" s="72" t="s">
        <v>257</v>
      </c>
      <c r="H945" s="72">
        <v>23.513200000000001</v>
      </c>
      <c r="I945" s="72">
        <v>8191.8071</v>
      </c>
      <c r="J945" s="70" t="s">
        <v>257</v>
      </c>
      <c r="K945" s="72">
        <v>1396.6404</v>
      </c>
      <c r="L945" s="72" t="s">
        <v>257</v>
      </c>
      <c r="M945" s="70">
        <v>5.8175999999999997</v>
      </c>
      <c r="N945" s="77">
        <v>120.3</v>
      </c>
      <c r="O945" s="70">
        <v>4</v>
      </c>
      <c r="P945" s="70"/>
      <c r="Q945" s="62" t="s">
        <v>258</v>
      </c>
    </row>
    <row r="946" spans="1:17" ht="13.8" customHeight="1" x14ac:dyDescent="0.3">
      <c r="A946" s="73" t="s">
        <v>346</v>
      </c>
      <c r="B946" s="74">
        <f>IFERROR(INDEX('Boulder Sample Log'!A$5:A$204,MATCH(A946,'Boulder Sample Log'!E$5:E$204,0)),"")</f>
        <v>46131</v>
      </c>
      <c r="C946" s="73">
        <v>1094</v>
      </c>
      <c r="D946" s="73" t="s">
        <v>256</v>
      </c>
      <c r="E946" s="73">
        <v>5</v>
      </c>
      <c r="F946" s="75" t="s">
        <v>257</v>
      </c>
      <c r="G946" s="75" t="s">
        <v>257</v>
      </c>
      <c r="H946" s="75">
        <v>25.276900000000001</v>
      </c>
      <c r="I946" s="75">
        <v>8200.7304999999997</v>
      </c>
      <c r="J946" s="73" t="s">
        <v>257</v>
      </c>
      <c r="K946" s="75">
        <v>1516.1741</v>
      </c>
      <c r="L946" s="75" t="s">
        <v>257</v>
      </c>
      <c r="M946" s="73">
        <v>6.5750999999999999</v>
      </c>
      <c r="N946" s="76">
        <v>120</v>
      </c>
      <c r="O946" s="73">
        <v>4</v>
      </c>
      <c r="P946" s="73"/>
      <c r="Q946" s="66" t="s">
        <v>258</v>
      </c>
    </row>
    <row r="947" spans="1:17" ht="13.8" customHeight="1" x14ac:dyDescent="0.3">
      <c r="A947" s="70" t="s">
        <v>347</v>
      </c>
      <c r="B947" s="71">
        <f>IFERROR(INDEX('Boulder Sample Log'!A$5:A$204,MATCH(A947,'Boulder Sample Log'!E$5:E$204,0)),"")</f>
        <v>46131</v>
      </c>
      <c r="C947" s="70">
        <v>1095</v>
      </c>
      <c r="D947" s="70" t="s">
        <v>256</v>
      </c>
      <c r="E947" s="70">
        <v>1</v>
      </c>
      <c r="F947" s="72">
        <v>7.9820000000000002</v>
      </c>
      <c r="G947" s="72" t="s">
        <v>257</v>
      </c>
      <c r="H947" s="72">
        <v>4.6506999999999996</v>
      </c>
      <c r="I947" s="72">
        <v>11130.8896</v>
      </c>
      <c r="J947" s="70" t="s">
        <v>257</v>
      </c>
      <c r="K947" s="72">
        <v>23423.4961</v>
      </c>
      <c r="L947" s="72" t="s">
        <v>257</v>
      </c>
      <c r="M947" s="70" t="s">
        <v>257</v>
      </c>
      <c r="N947" s="77">
        <v>120.43</v>
      </c>
      <c r="O947" s="70">
        <v>4</v>
      </c>
      <c r="P947" s="70"/>
      <c r="Q947" s="62" t="s">
        <v>258</v>
      </c>
    </row>
    <row r="948" spans="1:17" ht="13.8" customHeight="1" x14ac:dyDescent="0.3">
      <c r="A948" s="73" t="s">
        <v>347</v>
      </c>
      <c r="B948" s="74">
        <f>IFERROR(INDEX('Boulder Sample Log'!A$5:A$204,MATCH(A948,'Boulder Sample Log'!E$5:E$204,0)),"")</f>
        <v>46131</v>
      </c>
      <c r="C948" s="73">
        <v>1096</v>
      </c>
      <c r="D948" s="73" t="s">
        <v>256</v>
      </c>
      <c r="E948" s="73">
        <v>1</v>
      </c>
      <c r="F948" s="75">
        <v>16.5565</v>
      </c>
      <c r="G948" s="75">
        <v>1.5126999999999999</v>
      </c>
      <c r="H948" s="75">
        <v>9.3917999999999999</v>
      </c>
      <c r="I948" s="75">
        <v>24982.695299999999</v>
      </c>
      <c r="J948" s="73" t="s">
        <v>257</v>
      </c>
      <c r="K948" s="75">
        <v>14499.343800000001</v>
      </c>
      <c r="L948" s="75" t="s">
        <v>257</v>
      </c>
      <c r="M948" s="73" t="s">
        <v>257</v>
      </c>
      <c r="N948" s="76">
        <v>120.22</v>
      </c>
      <c r="O948" s="73">
        <v>4</v>
      </c>
      <c r="P948" s="73"/>
      <c r="Q948" s="66" t="s">
        <v>258</v>
      </c>
    </row>
    <row r="949" spans="1:17" ht="13.8" customHeight="1" x14ac:dyDescent="0.3">
      <c r="A949" s="70" t="s">
        <v>347</v>
      </c>
      <c r="B949" s="71">
        <f>IFERROR(INDEX('Boulder Sample Log'!A$5:A$204,MATCH(A949,'Boulder Sample Log'!E$5:E$204,0)),"")</f>
        <v>46131</v>
      </c>
      <c r="C949" s="70">
        <v>1097</v>
      </c>
      <c r="D949" s="70" t="s">
        <v>256</v>
      </c>
      <c r="E949" s="70">
        <v>2</v>
      </c>
      <c r="F949" s="72">
        <v>50.859900000000003</v>
      </c>
      <c r="G949" s="72" t="s">
        <v>257</v>
      </c>
      <c r="H949" s="72">
        <v>23.570799999999998</v>
      </c>
      <c r="I949" s="72">
        <v>16148.362300000001</v>
      </c>
      <c r="J949" s="70" t="s">
        <v>257</v>
      </c>
      <c r="K949" s="72">
        <v>6539.5331999999999</v>
      </c>
      <c r="L949" s="72">
        <v>41.249200000000002</v>
      </c>
      <c r="M949" s="70">
        <v>147.71459999999999</v>
      </c>
      <c r="N949" s="77">
        <v>122.97</v>
      </c>
      <c r="O949" s="70">
        <v>4</v>
      </c>
      <c r="P949" s="70"/>
      <c r="Q949" s="62" t="s">
        <v>258</v>
      </c>
    </row>
    <row r="950" spans="1:17" ht="13.8" customHeight="1" x14ac:dyDescent="0.3">
      <c r="A950" s="73" t="s">
        <v>347</v>
      </c>
      <c r="B950" s="74">
        <f>IFERROR(INDEX('Boulder Sample Log'!A$5:A$204,MATCH(A950,'Boulder Sample Log'!E$5:E$204,0)),"")</f>
        <v>46131</v>
      </c>
      <c r="C950" s="73">
        <v>1098</v>
      </c>
      <c r="D950" s="73" t="s">
        <v>256</v>
      </c>
      <c r="E950" s="73">
        <v>2</v>
      </c>
      <c r="F950" s="75">
        <v>88.336399999999998</v>
      </c>
      <c r="G950" s="75" t="s">
        <v>257</v>
      </c>
      <c r="H950" s="75">
        <v>13.825699999999999</v>
      </c>
      <c r="I950" s="75">
        <v>10860.881799999999</v>
      </c>
      <c r="J950" s="73" t="s">
        <v>257</v>
      </c>
      <c r="K950" s="75">
        <v>8030.3393999999998</v>
      </c>
      <c r="L950" s="75">
        <v>19.146699999999999</v>
      </c>
      <c r="M950" s="73">
        <v>95.639499999999998</v>
      </c>
      <c r="N950" s="76">
        <v>120.31</v>
      </c>
      <c r="O950" s="73">
        <v>4</v>
      </c>
      <c r="P950" s="73"/>
      <c r="Q950" s="66" t="s">
        <v>258</v>
      </c>
    </row>
    <row r="951" spans="1:17" ht="13.8" customHeight="1" x14ac:dyDescent="0.3">
      <c r="A951" s="70" t="s">
        <v>347</v>
      </c>
      <c r="B951" s="71">
        <f>IFERROR(INDEX('Boulder Sample Log'!A$5:A$204,MATCH(A951,'Boulder Sample Log'!E$5:E$204,0)),"")</f>
        <v>46131</v>
      </c>
      <c r="C951" s="70">
        <v>1099</v>
      </c>
      <c r="D951" s="70" t="s">
        <v>256</v>
      </c>
      <c r="E951" s="70">
        <v>3</v>
      </c>
      <c r="F951" s="72">
        <v>28.017499999999998</v>
      </c>
      <c r="G951" s="72" t="s">
        <v>257</v>
      </c>
      <c r="H951" s="72">
        <v>4.0827999999999998</v>
      </c>
      <c r="I951" s="72">
        <v>3450.0173</v>
      </c>
      <c r="J951" s="70" t="s">
        <v>257</v>
      </c>
      <c r="K951" s="72">
        <v>8261.9657999999999</v>
      </c>
      <c r="L951" s="72" t="s">
        <v>257</v>
      </c>
      <c r="M951" s="70" t="s">
        <v>257</v>
      </c>
      <c r="N951" s="77">
        <v>120.7</v>
      </c>
      <c r="O951" s="70">
        <v>4</v>
      </c>
      <c r="P951" s="70"/>
      <c r="Q951" s="62" t="s">
        <v>258</v>
      </c>
    </row>
    <row r="952" spans="1:17" ht="13.8" customHeight="1" x14ac:dyDescent="0.3">
      <c r="A952" s="73" t="s">
        <v>347</v>
      </c>
      <c r="B952" s="74">
        <f>IFERROR(INDEX('Boulder Sample Log'!A$5:A$204,MATCH(A952,'Boulder Sample Log'!E$5:E$204,0)),"")</f>
        <v>46131</v>
      </c>
      <c r="C952" s="73">
        <v>1100</v>
      </c>
      <c r="D952" s="73" t="s">
        <v>256</v>
      </c>
      <c r="E952" s="73">
        <v>3</v>
      </c>
      <c r="F952" s="75">
        <v>31.0564</v>
      </c>
      <c r="G952" s="75" t="s">
        <v>257</v>
      </c>
      <c r="H952" s="75">
        <v>3.5190999999999999</v>
      </c>
      <c r="I952" s="75">
        <v>3436.9641000000001</v>
      </c>
      <c r="J952" s="73" t="s">
        <v>257</v>
      </c>
      <c r="K952" s="75">
        <v>7693.0518000000002</v>
      </c>
      <c r="L952" s="75" t="s">
        <v>257</v>
      </c>
      <c r="M952" s="73" t="s">
        <v>257</v>
      </c>
      <c r="N952" s="76">
        <v>120.3</v>
      </c>
      <c r="O952" s="73">
        <v>4</v>
      </c>
      <c r="P952" s="73"/>
      <c r="Q952" s="66" t="s">
        <v>258</v>
      </c>
    </row>
    <row r="953" spans="1:17" ht="13.8" customHeight="1" x14ac:dyDescent="0.3">
      <c r="A953" s="70" t="s">
        <v>347</v>
      </c>
      <c r="B953" s="71">
        <f>IFERROR(INDEX('Boulder Sample Log'!A$5:A$204,MATCH(A953,'Boulder Sample Log'!E$5:E$204,0)),"")</f>
        <v>46131</v>
      </c>
      <c r="C953" s="70">
        <v>1101</v>
      </c>
      <c r="D953" s="70" t="s">
        <v>256</v>
      </c>
      <c r="E953" s="70">
        <v>4</v>
      </c>
      <c r="F953" s="72">
        <v>15.7409</v>
      </c>
      <c r="G953" s="72" t="s">
        <v>257</v>
      </c>
      <c r="H953" s="72" t="s">
        <v>257</v>
      </c>
      <c r="I953" s="72">
        <v>1260.2025000000001</v>
      </c>
      <c r="J953" s="70" t="s">
        <v>257</v>
      </c>
      <c r="K953" s="72">
        <v>2271.0144</v>
      </c>
      <c r="L953" s="72" t="s">
        <v>257</v>
      </c>
      <c r="M953" s="70" t="s">
        <v>257</v>
      </c>
      <c r="N953" s="77">
        <v>122.95</v>
      </c>
      <c r="O953" s="70">
        <v>4</v>
      </c>
      <c r="P953" s="70"/>
      <c r="Q953" s="62" t="s">
        <v>258</v>
      </c>
    </row>
    <row r="954" spans="1:17" ht="13.8" customHeight="1" x14ac:dyDescent="0.3">
      <c r="A954" s="73" t="s">
        <v>347</v>
      </c>
      <c r="B954" s="74">
        <f>IFERROR(INDEX('Boulder Sample Log'!A$5:A$204,MATCH(A954,'Boulder Sample Log'!E$5:E$204,0)),"")</f>
        <v>46131</v>
      </c>
      <c r="C954" s="73">
        <v>1102</v>
      </c>
      <c r="D954" s="73" t="s">
        <v>256</v>
      </c>
      <c r="E954" s="73">
        <v>4</v>
      </c>
      <c r="F954" s="75">
        <v>11.2727</v>
      </c>
      <c r="G954" s="75" t="s">
        <v>257</v>
      </c>
      <c r="H954" s="75" t="s">
        <v>257</v>
      </c>
      <c r="I954" s="75">
        <v>1265.6904</v>
      </c>
      <c r="J954" s="73" t="s">
        <v>257</v>
      </c>
      <c r="K954" s="75">
        <v>2316.7055999999998</v>
      </c>
      <c r="L954" s="75" t="s">
        <v>257</v>
      </c>
      <c r="M954" s="73" t="s">
        <v>257</v>
      </c>
      <c r="N954" s="76">
        <v>122.98</v>
      </c>
      <c r="O954" s="73">
        <v>4</v>
      </c>
      <c r="P954" s="73"/>
      <c r="Q954" s="66" t="s">
        <v>258</v>
      </c>
    </row>
    <row r="955" spans="1:17" ht="13.8" customHeight="1" x14ac:dyDescent="0.3">
      <c r="A955" s="70" t="s">
        <v>347</v>
      </c>
      <c r="B955" s="71">
        <f>IFERROR(INDEX('Boulder Sample Log'!A$5:A$204,MATCH(A955,'Boulder Sample Log'!E$5:E$204,0)),"")</f>
        <v>46131</v>
      </c>
      <c r="C955" s="70">
        <v>1103</v>
      </c>
      <c r="D955" s="70" t="s">
        <v>256</v>
      </c>
      <c r="E955" s="70">
        <v>5</v>
      </c>
      <c r="F955" s="72" t="s">
        <v>257</v>
      </c>
      <c r="G955" s="72">
        <v>13.377599999999999</v>
      </c>
      <c r="H955" s="72">
        <v>226.24719999999999</v>
      </c>
      <c r="I955" s="72">
        <v>3912.7046</v>
      </c>
      <c r="J955" s="70" t="s">
        <v>257</v>
      </c>
      <c r="K955" s="72">
        <v>34117.429700000001</v>
      </c>
      <c r="L955" s="72" t="s">
        <v>257</v>
      </c>
      <c r="M955" s="70" t="s">
        <v>257</v>
      </c>
      <c r="N955" s="77">
        <v>120.42</v>
      </c>
      <c r="O955" s="70">
        <v>4</v>
      </c>
      <c r="P955" s="70"/>
      <c r="Q955" s="62" t="s">
        <v>258</v>
      </c>
    </row>
    <row r="956" spans="1:17" ht="13.8" customHeight="1" x14ac:dyDescent="0.3">
      <c r="A956" s="73" t="s">
        <v>347</v>
      </c>
      <c r="B956" s="74">
        <f>IFERROR(INDEX('Boulder Sample Log'!A$5:A$204,MATCH(A956,'Boulder Sample Log'!E$5:E$204,0)),"")</f>
        <v>46131</v>
      </c>
      <c r="C956" s="73">
        <v>1104</v>
      </c>
      <c r="D956" s="73" t="s">
        <v>256</v>
      </c>
      <c r="E956" s="73">
        <v>5</v>
      </c>
      <c r="F956" s="75" t="s">
        <v>257</v>
      </c>
      <c r="G956" s="75">
        <v>10.0778</v>
      </c>
      <c r="H956" s="75">
        <v>223.99930000000001</v>
      </c>
      <c r="I956" s="75">
        <v>3598.5565999999999</v>
      </c>
      <c r="J956" s="73" t="s">
        <v>257</v>
      </c>
      <c r="K956" s="75">
        <v>47017.644500000002</v>
      </c>
      <c r="L956" s="75" t="s">
        <v>257</v>
      </c>
      <c r="M956" s="73" t="s">
        <v>257</v>
      </c>
      <c r="N956" s="76">
        <v>120.17</v>
      </c>
      <c r="O956" s="73">
        <v>4</v>
      </c>
      <c r="P956" s="73"/>
      <c r="Q956" s="66" t="s">
        <v>258</v>
      </c>
    </row>
    <row r="957" spans="1:17" ht="13.8" customHeight="1" x14ac:dyDescent="0.3">
      <c r="A957" s="70" t="s">
        <v>348</v>
      </c>
      <c r="B957" s="78">
        <v>46139</v>
      </c>
      <c r="C957" s="70">
        <v>1115</v>
      </c>
      <c r="D957" s="70" t="s">
        <v>256</v>
      </c>
      <c r="E957" s="70">
        <v>1</v>
      </c>
      <c r="F957" s="72">
        <v>3.0293000000000001</v>
      </c>
      <c r="G957" s="72" t="s">
        <v>257</v>
      </c>
      <c r="H957" s="72">
        <v>10.117599999999999</v>
      </c>
      <c r="I957" s="72">
        <v>27800.787100000001</v>
      </c>
      <c r="J957" s="70">
        <v>417.09460000000001</v>
      </c>
      <c r="K957" s="72">
        <v>2481.5979000000002</v>
      </c>
      <c r="L957" s="72">
        <v>24.435400000000001</v>
      </c>
      <c r="M957" s="70" t="s">
        <v>257</v>
      </c>
      <c r="N957" s="77">
        <v>120.36</v>
      </c>
      <c r="O957" s="70">
        <v>4</v>
      </c>
      <c r="P957" s="70"/>
      <c r="Q957" s="62" t="s">
        <v>258</v>
      </c>
    </row>
    <row r="958" spans="1:17" ht="13.8" customHeight="1" x14ac:dyDescent="0.3">
      <c r="A958" s="73" t="s">
        <v>348</v>
      </c>
      <c r="B958" s="79">
        <v>46139</v>
      </c>
      <c r="C958" s="73">
        <v>1116</v>
      </c>
      <c r="D958" s="73" t="s">
        <v>256</v>
      </c>
      <c r="E958" s="73">
        <v>1</v>
      </c>
      <c r="F958" s="75" t="s">
        <v>257</v>
      </c>
      <c r="G958" s="75" t="s">
        <v>257</v>
      </c>
      <c r="H958" s="75">
        <v>9.0959000000000003</v>
      </c>
      <c r="I958" s="75">
        <v>30107.482400000001</v>
      </c>
      <c r="J958" s="73">
        <v>481.36369999999999</v>
      </c>
      <c r="K958" s="75">
        <v>2154.9625999999998</v>
      </c>
      <c r="L958" s="75">
        <v>25.797000000000001</v>
      </c>
      <c r="M958" s="73">
        <v>7.6586999999999996</v>
      </c>
      <c r="N958" s="76">
        <v>120.33</v>
      </c>
      <c r="O958" s="73">
        <v>4</v>
      </c>
      <c r="P958" s="73"/>
      <c r="Q958" s="66" t="s">
        <v>258</v>
      </c>
    </row>
    <row r="959" spans="1:17" ht="13.8" customHeight="1" x14ac:dyDescent="0.3">
      <c r="A959" s="70" t="s">
        <v>348</v>
      </c>
      <c r="B959" s="78">
        <v>46139</v>
      </c>
      <c r="C959" s="70">
        <v>1117</v>
      </c>
      <c r="D959" s="70" t="s">
        <v>256</v>
      </c>
      <c r="E959" s="70">
        <v>2</v>
      </c>
      <c r="F959" s="72" t="s">
        <v>257</v>
      </c>
      <c r="G959" s="72" t="s">
        <v>257</v>
      </c>
      <c r="H959" s="72">
        <v>7.8418000000000001</v>
      </c>
      <c r="I959" s="72">
        <v>32258.279299999998</v>
      </c>
      <c r="J959" s="70">
        <v>484.13400000000001</v>
      </c>
      <c r="K959" s="72">
        <v>249.4187</v>
      </c>
      <c r="L959" s="72">
        <v>50.018099999999997</v>
      </c>
      <c r="M959" s="70">
        <v>14.081899999999999</v>
      </c>
      <c r="N959" s="77">
        <v>122.85</v>
      </c>
      <c r="O959" s="70">
        <v>4</v>
      </c>
      <c r="P959" s="70"/>
      <c r="Q959" s="62" t="s">
        <v>258</v>
      </c>
    </row>
    <row r="960" spans="1:17" ht="13.8" customHeight="1" x14ac:dyDescent="0.3">
      <c r="A960" s="73" t="s">
        <v>348</v>
      </c>
      <c r="B960" s="79">
        <v>46139</v>
      </c>
      <c r="C960" s="73">
        <v>1118</v>
      </c>
      <c r="D960" s="73" t="s">
        <v>256</v>
      </c>
      <c r="E960" s="73">
        <v>2</v>
      </c>
      <c r="F960" s="75" t="s">
        <v>257</v>
      </c>
      <c r="G960" s="75" t="s">
        <v>257</v>
      </c>
      <c r="H960" s="75">
        <v>7.5364000000000004</v>
      </c>
      <c r="I960" s="75">
        <v>31767.3086</v>
      </c>
      <c r="J960" s="73">
        <v>456.0401</v>
      </c>
      <c r="K960" s="75">
        <v>324.46620000000001</v>
      </c>
      <c r="L960" s="75">
        <v>41.464399999999998</v>
      </c>
      <c r="M960" s="73">
        <v>13.753500000000001</v>
      </c>
      <c r="N960" s="76">
        <v>122.96</v>
      </c>
      <c r="O960" s="73">
        <v>4</v>
      </c>
      <c r="P960" s="73"/>
      <c r="Q960" s="66" t="s">
        <v>258</v>
      </c>
    </row>
    <row r="961" spans="1:17" ht="13.8" customHeight="1" x14ac:dyDescent="0.3">
      <c r="A961" s="70" t="s">
        <v>348</v>
      </c>
      <c r="B961" s="78">
        <v>46139</v>
      </c>
      <c r="C961" s="70">
        <v>1119</v>
      </c>
      <c r="D961" s="70" t="s">
        <v>256</v>
      </c>
      <c r="E961" s="70">
        <v>3</v>
      </c>
      <c r="F961" s="72" t="s">
        <v>257</v>
      </c>
      <c r="G961" s="72" t="s">
        <v>257</v>
      </c>
      <c r="H961" s="72">
        <v>7.0202</v>
      </c>
      <c r="I961" s="72">
        <v>34650.449200000003</v>
      </c>
      <c r="J961" s="70">
        <v>553.83529999999996</v>
      </c>
      <c r="K961" s="72">
        <v>138.8544</v>
      </c>
      <c r="L961" s="72">
        <v>48.175600000000003</v>
      </c>
      <c r="M961" s="70">
        <v>19.540500000000002</v>
      </c>
      <c r="N961" s="77">
        <v>120.37</v>
      </c>
      <c r="O961" s="70">
        <v>4</v>
      </c>
      <c r="P961" s="70"/>
      <c r="Q961" s="62" t="s">
        <v>258</v>
      </c>
    </row>
    <row r="962" spans="1:17" ht="13.8" customHeight="1" x14ac:dyDescent="0.3">
      <c r="A962" s="73" t="s">
        <v>348</v>
      </c>
      <c r="B962" s="79">
        <v>46139</v>
      </c>
      <c r="C962" s="73">
        <v>1120</v>
      </c>
      <c r="D962" s="73" t="s">
        <v>256</v>
      </c>
      <c r="E962" s="73">
        <v>3</v>
      </c>
      <c r="F962" s="75" t="s">
        <v>257</v>
      </c>
      <c r="G962" s="75" t="s">
        <v>257</v>
      </c>
      <c r="H962" s="75">
        <v>8.5614000000000008</v>
      </c>
      <c r="I962" s="75">
        <v>65534.789100000002</v>
      </c>
      <c r="J962" s="73">
        <v>521.07050000000004</v>
      </c>
      <c r="K962" s="75">
        <v>4081.2370999999998</v>
      </c>
      <c r="L962" s="75">
        <v>51.665799999999997</v>
      </c>
      <c r="M962" s="73">
        <v>50.441499999999998</v>
      </c>
      <c r="N962" s="76">
        <v>120.22</v>
      </c>
      <c r="O962" s="73">
        <v>4</v>
      </c>
      <c r="P962" s="73"/>
      <c r="Q962" s="66" t="s">
        <v>258</v>
      </c>
    </row>
    <row r="963" spans="1:17" ht="13.8" customHeight="1" x14ac:dyDescent="0.3">
      <c r="A963" s="70" t="s">
        <v>348</v>
      </c>
      <c r="B963" s="78">
        <v>46139</v>
      </c>
      <c r="C963" s="70">
        <v>1121</v>
      </c>
      <c r="D963" s="70" t="s">
        <v>256</v>
      </c>
      <c r="E963" s="70">
        <v>4</v>
      </c>
      <c r="F963" s="72" t="s">
        <v>257</v>
      </c>
      <c r="G963" s="72" t="s">
        <v>257</v>
      </c>
      <c r="H963" s="72">
        <v>8.7636000000000003</v>
      </c>
      <c r="I963" s="72">
        <v>36778.515599999999</v>
      </c>
      <c r="J963" s="70">
        <v>379.83089999999999</v>
      </c>
      <c r="K963" s="72">
        <v>13927.7217</v>
      </c>
      <c r="L963" s="72">
        <v>39.875900000000001</v>
      </c>
      <c r="M963" s="70">
        <v>19.427199999999999</v>
      </c>
      <c r="N963" s="77">
        <v>122.78</v>
      </c>
      <c r="O963" s="70">
        <v>4</v>
      </c>
      <c r="P963" s="70"/>
      <c r="Q963" s="62" t="s">
        <v>258</v>
      </c>
    </row>
    <row r="964" spans="1:17" ht="13.8" customHeight="1" x14ac:dyDescent="0.3">
      <c r="A964" s="73" t="s">
        <v>348</v>
      </c>
      <c r="B964" s="79">
        <v>46139</v>
      </c>
      <c r="C964" s="73">
        <v>1122</v>
      </c>
      <c r="D964" s="73" t="s">
        <v>256</v>
      </c>
      <c r="E964" s="73">
        <v>4</v>
      </c>
      <c r="F964" s="75">
        <v>5.8467000000000002</v>
      </c>
      <c r="G964" s="75" t="s">
        <v>257</v>
      </c>
      <c r="H964" s="75">
        <v>6.4138000000000002</v>
      </c>
      <c r="I964" s="75">
        <v>108674.2188</v>
      </c>
      <c r="J964" s="73">
        <v>3660.3962000000001</v>
      </c>
      <c r="K964" s="75">
        <v>4912.6244999999999</v>
      </c>
      <c r="L964" s="75">
        <v>93.7607</v>
      </c>
      <c r="M964" s="73">
        <v>51.199199999999998</v>
      </c>
      <c r="N964" s="76">
        <v>120.53</v>
      </c>
      <c r="O964" s="73">
        <v>4</v>
      </c>
      <c r="P964" s="73"/>
      <c r="Q964" s="66" t="s">
        <v>258</v>
      </c>
    </row>
    <row r="965" spans="1:17" ht="13.8" customHeight="1" x14ac:dyDescent="0.3">
      <c r="A965" s="70" t="s">
        <v>348</v>
      </c>
      <c r="B965" s="78">
        <v>46139</v>
      </c>
      <c r="C965" s="70">
        <v>1123</v>
      </c>
      <c r="D965" s="70" t="s">
        <v>256</v>
      </c>
      <c r="E965" s="70">
        <v>5</v>
      </c>
      <c r="F965" s="72" t="s">
        <v>257</v>
      </c>
      <c r="G965" s="72" t="s">
        <v>257</v>
      </c>
      <c r="H965" s="72">
        <v>8.5040999999999993</v>
      </c>
      <c r="I965" s="72">
        <v>44091.691400000003</v>
      </c>
      <c r="J965" s="70">
        <v>361.73070000000001</v>
      </c>
      <c r="K965" s="72">
        <v>1823.2037</v>
      </c>
      <c r="L965" s="72">
        <v>49.5229</v>
      </c>
      <c r="M965" s="70">
        <v>14.5768</v>
      </c>
      <c r="N965" s="77">
        <v>120.05</v>
      </c>
      <c r="O965" s="70">
        <v>4</v>
      </c>
      <c r="P965" s="70"/>
      <c r="Q965" s="62" t="s">
        <v>258</v>
      </c>
    </row>
    <row r="966" spans="1:17" ht="13.8" customHeight="1" x14ac:dyDescent="0.3">
      <c r="A966" s="73" t="s">
        <v>348</v>
      </c>
      <c r="B966" s="79">
        <v>46139</v>
      </c>
      <c r="C966" s="73">
        <v>1124</v>
      </c>
      <c r="D966" s="73" t="s">
        <v>256</v>
      </c>
      <c r="E966" s="73">
        <v>5</v>
      </c>
      <c r="F966" s="75" t="s">
        <v>257</v>
      </c>
      <c r="G966" s="75" t="s">
        <v>257</v>
      </c>
      <c r="H966" s="75">
        <v>8.9192</v>
      </c>
      <c r="I966" s="75">
        <v>59184.851600000002</v>
      </c>
      <c r="J966" s="73">
        <v>402.78390000000002</v>
      </c>
      <c r="K966" s="75">
        <v>4130.3306000000002</v>
      </c>
      <c r="L966" s="75">
        <v>58.584000000000003</v>
      </c>
      <c r="M966" s="73">
        <v>20.515499999999999</v>
      </c>
      <c r="N966" s="76">
        <v>120.09</v>
      </c>
      <c r="O966" s="73">
        <v>4</v>
      </c>
      <c r="P966" s="73"/>
      <c r="Q966" s="66" t="s">
        <v>258</v>
      </c>
    </row>
    <row r="967" spans="1:17" ht="13.8" customHeight="1" x14ac:dyDescent="0.3">
      <c r="A967" s="70" t="s">
        <v>349</v>
      </c>
      <c r="B967" s="78">
        <v>46139</v>
      </c>
      <c r="C967" s="70">
        <v>1125</v>
      </c>
      <c r="D967" s="70" t="s">
        <v>256</v>
      </c>
      <c r="E967" s="70">
        <v>1</v>
      </c>
      <c r="F967" s="72" t="s">
        <v>257</v>
      </c>
      <c r="G967" s="72" t="s">
        <v>257</v>
      </c>
      <c r="H967" s="72">
        <v>8.2668999999999997</v>
      </c>
      <c r="I967" s="72">
        <v>21417.752</v>
      </c>
      <c r="J967" s="70">
        <v>153.30109999999999</v>
      </c>
      <c r="K967" s="72">
        <v>7082.8428000000004</v>
      </c>
      <c r="L967" s="72">
        <v>10.041499999999999</v>
      </c>
      <c r="M967" s="70">
        <v>9.7014999999999993</v>
      </c>
      <c r="N967" s="77">
        <v>120.31</v>
      </c>
      <c r="O967" s="70">
        <v>4</v>
      </c>
      <c r="P967" s="70"/>
      <c r="Q967" s="62" t="s">
        <v>258</v>
      </c>
    </row>
    <row r="968" spans="1:17" ht="13.8" customHeight="1" x14ac:dyDescent="0.3">
      <c r="A968" s="73" t="s">
        <v>349</v>
      </c>
      <c r="B968" s="79">
        <v>46139</v>
      </c>
      <c r="C968" s="73">
        <v>1126</v>
      </c>
      <c r="D968" s="73" t="s">
        <v>256</v>
      </c>
      <c r="E968" s="73">
        <v>1</v>
      </c>
      <c r="F968" s="75" t="s">
        <v>257</v>
      </c>
      <c r="G968" s="75" t="s">
        <v>257</v>
      </c>
      <c r="H968" s="75">
        <v>7.8170000000000002</v>
      </c>
      <c r="I968" s="75">
        <v>22270.0625</v>
      </c>
      <c r="J968" s="73">
        <v>192.53319999999999</v>
      </c>
      <c r="K968" s="75">
        <v>6448.1187</v>
      </c>
      <c r="L968" s="75">
        <v>15.4998</v>
      </c>
      <c r="M968" s="73">
        <v>10.681900000000001</v>
      </c>
      <c r="N968" s="76">
        <v>122.92</v>
      </c>
      <c r="O968" s="73">
        <v>4</v>
      </c>
      <c r="P968" s="73"/>
      <c r="Q968" s="66" t="s">
        <v>258</v>
      </c>
    </row>
    <row r="969" spans="1:17" ht="13.8" customHeight="1" x14ac:dyDescent="0.3">
      <c r="A969" s="70" t="s">
        <v>349</v>
      </c>
      <c r="B969" s="78">
        <v>46139</v>
      </c>
      <c r="C969" s="70">
        <v>1127</v>
      </c>
      <c r="D969" s="70" t="s">
        <v>256</v>
      </c>
      <c r="E969" s="70">
        <v>2</v>
      </c>
      <c r="F969" s="72">
        <v>8.2077000000000009</v>
      </c>
      <c r="G969" s="72">
        <v>1.5290999999999999</v>
      </c>
      <c r="H969" s="72">
        <v>20.753499999999999</v>
      </c>
      <c r="I969" s="72">
        <v>30577.3066</v>
      </c>
      <c r="J969" s="70">
        <v>306.34989999999999</v>
      </c>
      <c r="K969" s="72">
        <v>6723.8271000000004</v>
      </c>
      <c r="L969" s="72">
        <v>36.570300000000003</v>
      </c>
      <c r="M969" s="70">
        <v>40.105899999999998</v>
      </c>
      <c r="N969" s="77">
        <v>120.08</v>
      </c>
      <c r="O969" s="70">
        <v>4</v>
      </c>
      <c r="P969" s="70"/>
      <c r="Q969" s="62" t="s">
        <v>258</v>
      </c>
    </row>
    <row r="970" spans="1:17" ht="13.8" customHeight="1" x14ac:dyDescent="0.3">
      <c r="A970" s="73" t="s">
        <v>349</v>
      </c>
      <c r="B970" s="79">
        <v>46139</v>
      </c>
      <c r="C970" s="73">
        <v>1128</v>
      </c>
      <c r="D970" s="73" t="s">
        <v>256</v>
      </c>
      <c r="E970" s="73">
        <v>2</v>
      </c>
      <c r="F970" s="75">
        <v>12.561999999999999</v>
      </c>
      <c r="G970" s="75">
        <v>2.5724999999999998</v>
      </c>
      <c r="H970" s="75">
        <v>7.9109999999999996</v>
      </c>
      <c r="I970" s="75">
        <v>31516.3613</v>
      </c>
      <c r="J970" s="73">
        <v>294.27379999999999</v>
      </c>
      <c r="K970" s="75">
        <v>7316.7856000000002</v>
      </c>
      <c r="L970" s="75">
        <v>49.059899999999999</v>
      </c>
      <c r="M970" s="73">
        <v>58.330500000000001</v>
      </c>
      <c r="N970" s="76">
        <v>120.47</v>
      </c>
      <c r="O970" s="73">
        <v>4</v>
      </c>
      <c r="P970" s="73"/>
      <c r="Q970" s="66" t="s">
        <v>258</v>
      </c>
    </row>
    <row r="971" spans="1:17" ht="13.8" customHeight="1" x14ac:dyDescent="0.3">
      <c r="A971" s="70" t="s">
        <v>349</v>
      </c>
      <c r="B971" s="78">
        <v>46139</v>
      </c>
      <c r="C971" s="70">
        <v>1130</v>
      </c>
      <c r="D971" s="70" t="s">
        <v>256</v>
      </c>
      <c r="E971" s="70">
        <v>3</v>
      </c>
      <c r="F971" s="72" t="s">
        <v>257</v>
      </c>
      <c r="G971" s="72" t="s">
        <v>257</v>
      </c>
      <c r="H971" s="72">
        <v>7.6962000000000002</v>
      </c>
      <c r="I971" s="72">
        <v>28649.9902</v>
      </c>
      <c r="J971" s="70">
        <v>394.5949</v>
      </c>
      <c r="K971" s="72">
        <v>2567.3535000000002</v>
      </c>
      <c r="L971" s="72">
        <v>48.020600000000002</v>
      </c>
      <c r="M971" s="70">
        <v>8.1013999999999999</v>
      </c>
      <c r="N971" s="77">
        <v>122.8</v>
      </c>
      <c r="O971" s="70">
        <v>4</v>
      </c>
      <c r="P971" s="70"/>
      <c r="Q971" s="62" t="s">
        <v>258</v>
      </c>
    </row>
    <row r="972" spans="1:17" ht="13.8" customHeight="1" x14ac:dyDescent="0.3">
      <c r="A972" s="73" t="s">
        <v>349</v>
      </c>
      <c r="B972" s="79">
        <v>46139</v>
      </c>
      <c r="C972" s="73">
        <v>1131</v>
      </c>
      <c r="D972" s="73" t="s">
        <v>256</v>
      </c>
      <c r="E972" s="73">
        <v>3</v>
      </c>
      <c r="F972" s="75" t="s">
        <v>257</v>
      </c>
      <c r="G972" s="75" t="s">
        <v>257</v>
      </c>
      <c r="H972" s="75">
        <v>7.8967999999999998</v>
      </c>
      <c r="I972" s="75">
        <v>25808.9336</v>
      </c>
      <c r="J972" s="73">
        <v>368.48250000000002</v>
      </c>
      <c r="K972" s="75">
        <v>2581.9023000000002</v>
      </c>
      <c r="L972" s="75">
        <v>43.714100000000002</v>
      </c>
      <c r="M972" s="73">
        <v>4.1311999999999998</v>
      </c>
      <c r="N972" s="76">
        <v>120.38</v>
      </c>
      <c r="O972" s="73">
        <v>4</v>
      </c>
      <c r="P972" s="73"/>
      <c r="Q972" s="66" t="s">
        <v>258</v>
      </c>
    </row>
    <row r="973" spans="1:17" ht="13.8" customHeight="1" x14ac:dyDescent="0.3">
      <c r="A973" s="70" t="s">
        <v>349</v>
      </c>
      <c r="B973" s="78">
        <v>46139</v>
      </c>
      <c r="C973" s="70">
        <v>1132</v>
      </c>
      <c r="D973" s="70" t="s">
        <v>256</v>
      </c>
      <c r="E973" s="70">
        <v>4</v>
      </c>
      <c r="F973" s="72" t="s">
        <v>257</v>
      </c>
      <c r="G973" s="72">
        <v>2.8660000000000001</v>
      </c>
      <c r="H973" s="72">
        <v>5.0754999999999999</v>
      </c>
      <c r="I973" s="72">
        <v>42231.960899999998</v>
      </c>
      <c r="J973" s="70">
        <v>478.95929999999998</v>
      </c>
      <c r="K973" s="72">
        <v>16298.358399999999</v>
      </c>
      <c r="L973" s="72">
        <v>54.618600000000001</v>
      </c>
      <c r="M973" s="70">
        <v>26.401</v>
      </c>
      <c r="N973" s="77">
        <v>120.29</v>
      </c>
      <c r="O973" s="70">
        <v>4</v>
      </c>
      <c r="P973" s="70"/>
      <c r="Q973" s="62" t="s">
        <v>258</v>
      </c>
    </row>
    <row r="974" spans="1:17" ht="13.8" customHeight="1" x14ac:dyDescent="0.3">
      <c r="A974" s="73" t="s">
        <v>349</v>
      </c>
      <c r="B974" s="79">
        <v>46139</v>
      </c>
      <c r="C974" s="73">
        <v>1133</v>
      </c>
      <c r="D974" s="73" t="s">
        <v>256</v>
      </c>
      <c r="E974" s="73">
        <v>4</v>
      </c>
      <c r="F974" s="75" t="s">
        <v>257</v>
      </c>
      <c r="G974" s="75">
        <v>2.7907000000000002</v>
      </c>
      <c r="H974" s="75">
        <v>7.1414</v>
      </c>
      <c r="I974" s="75">
        <v>43903.890599999999</v>
      </c>
      <c r="J974" s="73">
        <v>476.35410000000002</v>
      </c>
      <c r="K974" s="75">
        <v>15554.3037</v>
      </c>
      <c r="L974" s="75">
        <v>56.377200000000002</v>
      </c>
      <c r="M974" s="73">
        <v>29.043700000000001</v>
      </c>
      <c r="N974" s="76">
        <v>120.57</v>
      </c>
      <c r="O974" s="73">
        <v>4</v>
      </c>
      <c r="P974" s="73"/>
      <c r="Q974" s="66" t="s">
        <v>258</v>
      </c>
    </row>
    <row r="975" spans="1:17" ht="13.8" customHeight="1" x14ac:dyDescent="0.3">
      <c r="A975" s="70" t="s">
        <v>349</v>
      </c>
      <c r="B975" s="78">
        <v>46139</v>
      </c>
      <c r="C975" s="70">
        <v>1134</v>
      </c>
      <c r="D975" s="70" t="s">
        <v>256</v>
      </c>
      <c r="E975" s="70">
        <v>5</v>
      </c>
      <c r="F975" s="72">
        <v>11.1683</v>
      </c>
      <c r="G975" s="72">
        <v>8.7030999999999992</v>
      </c>
      <c r="H975" s="72">
        <v>19.513200000000001</v>
      </c>
      <c r="I975" s="72">
        <v>47628.4375</v>
      </c>
      <c r="J975" s="70">
        <v>194.3631</v>
      </c>
      <c r="K975" s="72">
        <v>19934.867200000001</v>
      </c>
      <c r="L975" s="72">
        <v>34.602400000000003</v>
      </c>
      <c r="M975" s="70">
        <v>52.2181</v>
      </c>
      <c r="N975" s="77">
        <v>122.94</v>
      </c>
      <c r="O975" s="70">
        <v>4</v>
      </c>
      <c r="P975" s="70"/>
      <c r="Q975" s="62" t="s">
        <v>258</v>
      </c>
    </row>
    <row r="976" spans="1:17" ht="13.8" customHeight="1" x14ac:dyDescent="0.3">
      <c r="A976" s="73" t="s">
        <v>349</v>
      </c>
      <c r="B976" s="79">
        <v>46139</v>
      </c>
      <c r="C976" s="73">
        <v>1135</v>
      </c>
      <c r="D976" s="73" t="s">
        <v>256</v>
      </c>
      <c r="E976" s="73">
        <v>5</v>
      </c>
      <c r="F976" s="75">
        <v>13.452299999999999</v>
      </c>
      <c r="G976" s="75">
        <v>9.9444999999999997</v>
      </c>
      <c r="H976" s="75">
        <v>22.176300000000001</v>
      </c>
      <c r="I976" s="75">
        <v>51950.945299999999</v>
      </c>
      <c r="J976" s="73">
        <v>152.31909999999999</v>
      </c>
      <c r="K976" s="75">
        <v>16019.2803</v>
      </c>
      <c r="L976" s="75">
        <v>37.634999999999998</v>
      </c>
      <c r="M976" s="73">
        <v>54.633000000000003</v>
      </c>
      <c r="N976" s="76">
        <v>122.76</v>
      </c>
      <c r="O976" s="73">
        <v>4</v>
      </c>
      <c r="P976" s="73"/>
      <c r="Q976" s="66" t="s">
        <v>258</v>
      </c>
    </row>
    <row r="977" spans="1:17" ht="13.8" customHeight="1" x14ac:dyDescent="0.3">
      <c r="A977" s="70" t="s">
        <v>350</v>
      </c>
      <c r="B977" s="78">
        <v>46139</v>
      </c>
      <c r="C977" s="70">
        <v>1136</v>
      </c>
      <c r="D977" s="70" t="s">
        <v>256</v>
      </c>
      <c r="E977" s="70">
        <v>1</v>
      </c>
      <c r="F977" s="72">
        <v>3.1347999999999998</v>
      </c>
      <c r="G977" s="72">
        <v>116.375</v>
      </c>
      <c r="H977" s="72">
        <v>6.2206999999999999</v>
      </c>
      <c r="I977" s="72">
        <v>43752.984400000001</v>
      </c>
      <c r="J977" s="70" t="s">
        <v>257</v>
      </c>
      <c r="K977" s="72">
        <v>48799.214800000002</v>
      </c>
      <c r="L977" s="72">
        <v>8.8672000000000004</v>
      </c>
      <c r="M977" s="70">
        <v>5.8879999999999999</v>
      </c>
      <c r="N977" s="77">
        <v>120.39</v>
      </c>
      <c r="O977" s="70">
        <v>4</v>
      </c>
      <c r="P977" s="70"/>
      <c r="Q977" s="62" t="s">
        <v>258</v>
      </c>
    </row>
    <row r="978" spans="1:17" ht="13.8" customHeight="1" x14ac:dyDescent="0.3">
      <c r="A978" s="73" t="s">
        <v>350</v>
      </c>
      <c r="B978" s="79">
        <v>46139</v>
      </c>
      <c r="C978" s="73">
        <v>1137</v>
      </c>
      <c r="D978" s="73" t="s">
        <v>256</v>
      </c>
      <c r="E978" s="73">
        <v>1</v>
      </c>
      <c r="F978" s="75">
        <v>4.1577999999999999</v>
      </c>
      <c r="G978" s="75">
        <v>75.741</v>
      </c>
      <c r="H978" s="75">
        <v>4.6181000000000001</v>
      </c>
      <c r="I978" s="75">
        <v>30311.261699999999</v>
      </c>
      <c r="J978" s="73" t="s">
        <v>257</v>
      </c>
      <c r="K978" s="75">
        <v>37045.218800000002</v>
      </c>
      <c r="L978" s="75">
        <v>7.5427999999999997</v>
      </c>
      <c r="M978" s="73" t="s">
        <v>257</v>
      </c>
      <c r="N978" s="76">
        <v>120.55</v>
      </c>
      <c r="O978" s="73">
        <v>4</v>
      </c>
      <c r="P978" s="73"/>
      <c r="Q978" s="66" t="s">
        <v>258</v>
      </c>
    </row>
    <row r="979" spans="1:17" ht="13.8" customHeight="1" x14ac:dyDescent="0.3">
      <c r="A979" s="70" t="s">
        <v>350</v>
      </c>
      <c r="B979" s="78">
        <v>46139</v>
      </c>
      <c r="C979" s="70">
        <v>1138</v>
      </c>
      <c r="D979" s="70" t="s">
        <v>256</v>
      </c>
      <c r="E979" s="70">
        <v>2</v>
      </c>
      <c r="F979" s="72">
        <v>12.7569</v>
      </c>
      <c r="G979" s="72" t="s">
        <v>257</v>
      </c>
      <c r="H979" s="72">
        <v>5.7893999999999997</v>
      </c>
      <c r="I979" s="72">
        <v>11482.604499999999</v>
      </c>
      <c r="J979" s="70" t="s">
        <v>257</v>
      </c>
      <c r="K979" s="72">
        <v>124448.0312</v>
      </c>
      <c r="L979" s="72" t="s">
        <v>257</v>
      </c>
      <c r="M979" s="70" t="s">
        <v>257</v>
      </c>
      <c r="N979" s="77">
        <v>122.69</v>
      </c>
      <c r="O979" s="70">
        <v>4</v>
      </c>
      <c r="P979" s="70"/>
      <c r="Q979" s="62" t="s">
        <v>258</v>
      </c>
    </row>
    <row r="980" spans="1:17" ht="13.8" customHeight="1" x14ac:dyDescent="0.3">
      <c r="A980" s="73" t="s">
        <v>350</v>
      </c>
      <c r="B980" s="79">
        <v>46139</v>
      </c>
      <c r="C980" s="73">
        <v>1139</v>
      </c>
      <c r="D980" s="73" t="s">
        <v>256</v>
      </c>
      <c r="E980" s="73">
        <v>2</v>
      </c>
      <c r="F980" s="75">
        <v>13.3177</v>
      </c>
      <c r="G980" s="75">
        <v>1.0688</v>
      </c>
      <c r="H980" s="75">
        <v>4.3711000000000002</v>
      </c>
      <c r="I980" s="75">
        <v>12117.885700000001</v>
      </c>
      <c r="J980" s="73" t="s">
        <v>257</v>
      </c>
      <c r="K980" s="75">
        <v>122215.7656</v>
      </c>
      <c r="L980" s="75" t="s">
        <v>257</v>
      </c>
      <c r="M980" s="73" t="s">
        <v>257</v>
      </c>
      <c r="N980" s="76">
        <v>120.45</v>
      </c>
      <c r="O980" s="73">
        <v>4</v>
      </c>
      <c r="P980" s="73"/>
      <c r="Q980" s="66" t="s">
        <v>258</v>
      </c>
    </row>
    <row r="981" spans="1:17" ht="13.8" customHeight="1" x14ac:dyDescent="0.3">
      <c r="A981" s="70" t="s">
        <v>350</v>
      </c>
      <c r="B981" s="78">
        <v>46139</v>
      </c>
      <c r="C981" s="70">
        <v>1140</v>
      </c>
      <c r="D981" s="70" t="s">
        <v>256</v>
      </c>
      <c r="E981" s="70">
        <v>3</v>
      </c>
      <c r="F981" s="72">
        <v>13.054</v>
      </c>
      <c r="G981" s="72" t="s">
        <v>257</v>
      </c>
      <c r="H981" s="72">
        <v>4.8217999999999996</v>
      </c>
      <c r="I981" s="72">
        <v>18455.1855</v>
      </c>
      <c r="J981" s="70" t="s">
        <v>257</v>
      </c>
      <c r="K981" s="72">
        <v>104152.35159999999</v>
      </c>
      <c r="L981" s="72" t="s">
        <v>257</v>
      </c>
      <c r="M981" s="70" t="s">
        <v>257</v>
      </c>
      <c r="N981" s="77">
        <v>120.74</v>
      </c>
      <c r="O981" s="70">
        <v>4</v>
      </c>
      <c r="P981" s="70"/>
      <c r="Q981" s="62" t="s">
        <v>258</v>
      </c>
    </row>
    <row r="982" spans="1:17" ht="13.8" customHeight="1" x14ac:dyDescent="0.3">
      <c r="A982" s="73" t="s">
        <v>350</v>
      </c>
      <c r="B982" s="79">
        <v>46139</v>
      </c>
      <c r="C982" s="73">
        <v>1141</v>
      </c>
      <c r="D982" s="73" t="s">
        <v>256</v>
      </c>
      <c r="E982" s="73">
        <v>3</v>
      </c>
      <c r="F982" s="75">
        <v>16.0992</v>
      </c>
      <c r="G982" s="75" t="s">
        <v>257</v>
      </c>
      <c r="H982" s="75">
        <v>5.6093999999999999</v>
      </c>
      <c r="I982" s="75">
        <v>19837.0645</v>
      </c>
      <c r="J982" s="73" t="s">
        <v>257</v>
      </c>
      <c r="K982" s="75">
        <v>100654.4531</v>
      </c>
      <c r="L982" s="75" t="s">
        <v>257</v>
      </c>
      <c r="M982" s="73" t="s">
        <v>257</v>
      </c>
      <c r="N982" s="76">
        <v>120.41</v>
      </c>
      <c r="O982" s="73">
        <v>4</v>
      </c>
      <c r="P982" s="73"/>
      <c r="Q982" s="66" t="s">
        <v>258</v>
      </c>
    </row>
    <row r="983" spans="1:17" ht="13.8" customHeight="1" x14ac:dyDescent="0.3">
      <c r="A983" s="70" t="s">
        <v>350</v>
      </c>
      <c r="B983" s="78">
        <v>46139</v>
      </c>
      <c r="C983" s="70">
        <v>1142</v>
      </c>
      <c r="D983" s="70" t="s">
        <v>256</v>
      </c>
      <c r="E983" s="70">
        <v>4</v>
      </c>
      <c r="F983" s="72">
        <v>16.587599999999998</v>
      </c>
      <c r="G983" s="72">
        <v>133.71950000000001</v>
      </c>
      <c r="H983" s="72">
        <v>4.2057000000000002</v>
      </c>
      <c r="I983" s="72">
        <v>31719.460899999998</v>
      </c>
      <c r="J983" s="70" t="s">
        <v>257</v>
      </c>
      <c r="K983" s="72">
        <v>128946.4531</v>
      </c>
      <c r="L983" s="72" t="s">
        <v>257</v>
      </c>
      <c r="M983" s="70" t="s">
        <v>257</v>
      </c>
      <c r="N983" s="77">
        <v>120.38</v>
      </c>
      <c r="O983" s="70">
        <v>4</v>
      </c>
      <c r="P983" s="70"/>
      <c r="Q983" s="62" t="s">
        <v>258</v>
      </c>
    </row>
    <row r="984" spans="1:17" ht="13.8" customHeight="1" x14ac:dyDescent="0.3">
      <c r="A984" s="73" t="s">
        <v>350</v>
      </c>
      <c r="B984" s="79">
        <v>46139</v>
      </c>
      <c r="C984" s="73">
        <v>1143</v>
      </c>
      <c r="D984" s="73" t="s">
        <v>256</v>
      </c>
      <c r="E984" s="73">
        <v>4</v>
      </c>
      <c r="F984" s="75">
        <v>16.694500000000001</v>
      </c>
      <c r="G984" s="75">
        <v>116.3794</v>
      </c>
      <c r="H984" s="75">
        <v>4.7744999999999997</v>
      </c>
      <c r="I984" s="75">
        <v>31439.8613</v>
      </c>
      <c r="J984" s="73" t="s">
        <v>257</v>
      </c>
      <c r="K984" s="75">
        <v>108819.2344</v>
      </c>
      <c r="L984" s="75">
        <v>10.3071</v>
      </c>
      <c r="M984" s="73" t="s">
        <v>257</v>
      </c>
      <c r="N984" s="76">
        <v>120.23</v>
      </c>
      <c r="O984" s="73">
        <v>4</v>
      </c>
      <c r="P984" s="73"/>
      <c r="Q984" s="66" t="s">
        <v>258</v>
      </c>
    </row>
    <row r="985" spans="1:17" ht="13.8" customHeight="1" x14ac:dyDescent="0.3">
      <c r="A985" s="70" t="s">
        <v>350</v>
      </c>
      <c r="B985" s="78">
        <v>46139</v>
      </c>
      <c r="C985" s="70">
        <v>1144</v>
      </c>
      <c r="D985" s="70" t="s">
        <v>256</v>
      </c>
      <c r="E985" s="70">
        <v>5</v>
      </c>
      <c r="F985" s="72">
        <v>8.2143999999999995</v>
      </c>
      <c r="G985" s="72">
        <v>3.0390000000000001</v>
      </c>
      <c r="H985" s="72">
        <v>7.6677999999999997</v>
      </c>
      <c r="I985" s="72">
        <v>22196.345700000002</v>
      </c>
      <c r="J985" s="70" t="s">
        <v>257</v>
      </c>
      <c r="K985" s="72">
        <v>160113.2188</v>
      </c>
      <c r="L985" s="72" t="s">
        <v>257</v>
      </c>
      <c r="M985" s="70" t="s">
        <v>257</v>
      </c>
      <c r="N985" s="77">
        <v>120.65</v>
      </c>
      <c r="O985" s="70">
        <v>4</v>
      </c>
      <c r="P985" s="70"/>
      <c r="Q985" s="62" t="s">
        <v>258</v>
      </c>
    </row>
    <row r="986" spans="1:17" ht="13.8" customHeight="1" x14ac:dyDescent="0.3">
      <c r="A986" s="73" t="s">
        <v>350</v>
      </c>
      <c r="B986" s="79">
        <v>46139</v>
      </c>
      <c r="C986" s="73">
        <v>1145</v>
      </c>
      <c r="D986" s="73" t="s">
        <v>256</v>
      </c>
      <c r="E986" s="73">
        <v>5</v>
      </c>
      <c r="F986" s="75" t="s">
        <v>257</v>
      </c>
      <c r="G986" s="75">
        <v>5.9439000000000002</v>
      </c>
      <c r="H986" s="75">
        <v>5.4095000000000004</v>
      </c>
      <c r="I986" s="75">
        <v>25118.472699999998</v>
      </c>
      <c r="J986" s="73" t="s">
        <v>257</v>
      </c>
      <c r="K986" s="75">
        <v>95805.281199999998</v>
      </c>
      <c r="L986" s="75" t="s">
        <v>257</v>
      </c>
      <c r="M986" s="73">
        <v>11.2818</v>
      </c>
      <c r="N986" s="76">
        <v>120.23</v>
      </c>
      <c r="O986" s="73">
        <v>4</v>
      </c>
      <c r="P986" s="73"/>
      <c r="Q986" s="66" t="s">
        <v>258</v>
      </c>
    </row>
    <row r="987" spans="1:17" ht="13.8" customHeight="1" x14ac:dyDescent="0.3">
      <c r="A987" s="70" t="s">
        <v>351</v>
      </c>
      <c r="B987" s="78">
        <v>46139</v>
      </c>
      <c r="C987" s="70">
        <v>1147</v>
      </c>
      <c r="D987" s="70" t="s">
        <v>256</v>
      </c>
      <c r="E987" s="70">
        <v>1</v>
      </c>
      <c r="F987" s="72" t="s">
        <v>257</v>
      </c>
      <c r="G987" s="72">
        <v>19.9664</v>
      </c>
      <c r="H987" s="72">
        <v>8.6974</v>
      </c>
      <c r="I987" s="72">
        <v>3464.5446999999999</v>
      </c>
      <c r="J987" s="70" t="s">
        <v>257</v>
      </c>
      <c r="K987" s="72">
        <v>1883.2526</v>
      </c>
      <c r="L987" s="72" t="s">
        <v>257</v>
      </c>
      <c r="M987" s="70" t="s">
        <v>257</v>
      </c>
      <c r="N987" s="77">
        <v>122.82</v>
      </c>
      <c r="O987" s="70">
        <v>4</v>
      </c>
      <c r="P987" s="70"/>
      <c r="Q987" s="62" t="s">
        <v>258</v>
      </c>
    </row>
    <row r="988" spans="1:17" ht="13.8" customHeight="1" x14ac:dyDescent="0.3">
      <c r="A988" s="73" t="s">
        <v>351</v>
      </c>
      <c r="B988" s="79">
        <v>46139</v>
      </c>
      <c r="C988" s="73">
        <v>1148</v>
      </c>
      <c r="D988" s="73" t="s">
        <v>256</v>
      </c>
      <c r="E988" s="73">
        <v>1</v>
      </c>
      <c r="F988" s="75">
        <v>2.9975000000000001</v>
      </c>
      <c r="G988" s="75">
        <v>21.527000000000001</v>
      </c>
      <c r="H988" s="75">
        <v>7.5030000000000001</v>
      </c>
      <c r="I988" s="75">
        <v>4227.2826999999997</v>
      </c>
      <c r="J988" s="73" t="s">
        <v>257</v>
      </c>
      <c r="K988" s="75">
        <v>1495.2898</v>
      </c>
      <c r="L988" s="75" t="s">
        <v>257</v>
      </c>
      <c r="M988" s="73" t="s">
        <v>257</v>
      </c>
      <c r="N988" s="76">
        <v>120.18</v>
      </c>
      <c r="O988" s="73">
        <v>4</v>
      </c>
      <c r="P988" s="73"/>
      <c r="Q988" s="66" t="s">
        <v>258</v>
      </c>
    </row>
    <row r="989" spans="1:17" ht="13.8" customHeight="1" x14ac:dyDescent="0.3">
      <c r="A989" s="70" t="s">
        <v>351</v>
      </c>
      <c r="B989" s="78">
        <v>46139</v>
      </c>
      <c r="C989" s="70">
        <v>1149</v>
      </c>
      <c r="D989" s="70" t="s">
        <v>256</v>
      </c>
      <c r="E989" s="70">
        <v>2</v>
      </c>
      <c r="F989" s="72" t="s">
        <v>257</v>
      </c>
      <c r="G989" s="72">
        <v>15.588699999999999</v>
      </c>
      <c r="H989" s="72">
        <v>18.682700000000001</v>
      </c>
      <c r="I989" s="72">
        <v>22597.581999999999</v>
      </c>
      <c r="J989" s="70" t="s">
        <v>257</v>
      </c>
      <c r="K989" s="72">
        <v>2177.7727</v>
      </c>
      <c r="L989" s="72" t="s">
        <v>257</v>
      </c>
      <c r="M989" s="70" t="s">
        <v>257</v>
      </c>
      <c r="N989" s="77">
        <v>122.79</v>
      </c>
      <c r="O989" s="70">
        <v>4</v>
      </c>
      <c r="P989" s="70"/>
      <c r="Q989" s="62" t="s">
        <v>258</v>
      </c>
    </row>
    <row r="990" spans="1:17" ht="13.8" customHeight="1" x14ac:dyDescent="0.3">
      <c r="A990" s="73" t="s">
        <v>351</v>
      </c>
      <c r="B990" s="79">
        <v>46139</v>
      </c>
      <c r="C990" s="73">
        <v>1150</v>
      </c>
      <c r="D990" s="73" t="s">
        <v>256</v>
      </c>
      <c r="E990" s="73">
        <v>2</v>
      </c>
      <c r="F990" s="75" t="s">
        <v>257</v>
      </c>
      <c r="G990" s="75">
        <v>15.9907</v>
      </c>
      <c r="H990" s="75">
        <v>17.2819</v>
      </c>
      <c r="I990" s="75">
        <v>23110.482400000001</v>
      </c>
      <c r="J990" s="73" t="s">
        <v>257</v>
      </c>
      <c r="K990" s="75">
        <v>2144.5063</v>
      </c>
      <c r="L990" s="75" t="s">
        <v>257</v>
      </c>
      <c r="M990" s="73">
        <v>4.0613000000000001</v>
      </c>
      <c r="N990" s="76">
        <v>122.86</v>
      </c>
      <c r="O990" s="73">
        <v>4</v>
      </c>
      <c r="P990" s="73"/>
      <c r="Q990" s="66" t="s">
        <v>258</v>
      </c>
    </row>
    <row r="991" spans="1:17" ht="13.8" customHeight="1" x14ac:dyDescent="0.3">
      <c r="A991" s="70" t="s">
        <v>351</v>
      </c>
      <c r="B991" s="78">
        <v>46139</v>
      </c>
      <c r="C991" s="70">
        <v>1151</v>
      </c>
      <c r="D991" s="70" t="s">
        <v>256</v>
      </c>
      <c r="E991" s="70">
        <v>3</v>
      </c>
      <c r="F991" s="72" t="s">
        <v>257</v>
      </c>
      <c r="G991" s="72">
        <v>1.8967000000000001</v>
      </c>
      <c r="H991" s="72">
        <v>12.6714</v>
      </c>
      <c r="I991" s="72">
        <v>5814.6117999999997</v>
      </c>
      <c r="J991" s="70" t="s">
        <v>257</v>
      </c>
      <c r="K991" s="72">
        <v>1917.6611</v>
      </c>
      <c r="L991" s="72" t="s">
        <v>257</v>
      </c>
      <c r="M991" s="70" t="s">
        <v>257</v>
      </c>
      <c r="N991" s="77">
        <v>122.76</v>
      </c>
      <c r="O991" s="70">
        <v>4</v>
      </c>
      <c r="P991" s="70"/>
      <c r="Q991" s="62" t="s">
        <v>258</v>
      </c>
    </row>
    <row r="992" spans="1:17" ht="13.8" customHeight="1" x14ac:dyDescent="0.3">
      <c r="A992" s="73" t="s">
        <v>351</v>
      </c>
      <c r="B992" s="79">
        <v>46139</v>
      </c>
      <c r="C992" s="73">
        <v>1152</v>
      </c>
      <c r="D992" s="73" t="s">
        <v>256</v>
      </c>
      <c r="E992" s="73">
        <v>3</v>
      </c>
      <c r="F992" s="75" t="s">
        <v>257</v>
      </c>
      <c r="G992" s="75">
        <v>2.1884000000000001</v>
      </c>
      <c r="H992" s="75">
        <v>13.065799999999999</v>
      </c>
      <c r="I992" s="75">
        <v>5711.3696</v>
      </c>
      <c r="J992" s="73" t="s">
        <v>257</v>
      </c>
      <c r="K992" s="75">
        <v>2005.1315999999999</v>
      </c>
      <c r="L992" s="75" t="s">
        <v>257</v>
      </c>
      <c r="M992" s="73" t="s">
        <v>257</v>
      </c>
      <c r="N992" s="76">
        <v>120.46</v>
      </c>
      <c r="O992" s="73">
        <v>4</v>
      </c>
      <c r="P992" s="73"/>
      <c r="Q992" s="66" t="s">
        <v>258</v>
      </c>
    </row>
    <row r="993" spans="1:17" ht="13.8" customHeight="1" x14ac:dyDescent="0.3">
      <c r="A993" s="70" t="s">
        <v>351</v>
      </c>
      <c r="B993" s="78">
        <v>46139</v>
      </c>
      <c r="C993" s="70">
        <v>1153</v>
      </c>
      <c r="D993" s="70" t="s">
        <v>256</v>
      </c>
      <c r="E993" s="70">
        <v>4</v>
      </c>
      <c r="F993" s="72" t="s">
        <v>257</v>
      </c>
      <c r="G993" s="72">
        <v>16.929300000000001</v>
      </c>
      <c r="H993" s="72">
        <v>11.8104</v>
      </c>
      <c r="I993" s="72">
        <v>46639.148399999998</v>
      </c>
      <c r="J993" s="70">
        <v>431.00069999999999</v>
      </c>
      <c r="K993" s="72">
        <v>5879.9755999999998</v>
      </c>
      <c r="L993" s="72">
        <v>32.884099999999997</v>
      </c>
      <c r="M993" s="70" t="s">
        <v>257</v>
      </c>
      <c r="N993" s="77">
        <v>122.75</v>
      </c>
      <c r="O993" s="70">
        <v>4</v>
      </c>
      <c r="P993" s="70"/>
      <c r="Q993" s="62" t="s">
        <v>258</v>
      </c>
    </row>
    <row r="994" spans="1:17" ht="13.8" customHeight="1" x14ac:dyDescent="0.3">
      <c r="A994" s="73" t="s">
        <v>351</v>
      </c>
      <c r="B994" s="79">
        <v>46139</v>
      </c>
      <c r="C994" s="73">
        <v>1154</v>
      </c>
      <c r="D994" s="73" t="s">
        <v>256</v>
      </c>
      <c r="E994" s="73">
        <v>4</v>
      </c>
      <c r="F994" s="75" t="s">
        <v>257</v>
      </c>
      <c r="G994" s="75">
        <v>23.726299999999998</v>
      </c>
      <c r="H994" s="75">
        <v>10.1014</v>
      </c>
      <c r="I994" s="75">
        <v>49262.593800000002</v>
      </c>
      <c r="J994" s="73">
        <v>426.57760000000002</v>
      </c>
      <c r="K994" s="75">
        <v>4320.0015000000003</v>
      </c>
      <c r="L994" s="75">
        <v>32.437600000000003</v>
      </c>
      <c r="M994" s="73">
        <v>7.6841999999999997</v>
      </c>
      <c r="N994" s="76">
        <v>123.17</v>
      </c>
      <c r="O994" s="73">
        <v>4</v>
      </c>
      <c r="P994" s="73"/>
      <c r="Q994" s="66" t="s">
        <v>258</v>
      </c>
    </row>
    <row r="995" spans="1:17" ht="13.8" customHeight="1" x14ac:dyDescent="0.3">
      <c r="A995" s="70" t="s">
        <v>351</v>
      </c>
      <c r="B995" s="78">
        <v>46139</v>
      </c>
      <c r="C995" s="70">
        <v>1155</v>
      </c>
      <c r="D995" s="70" t="s">
        <v>256</v>
      </c>
      <c r="E995" s="70">
        <v>5</v>
      </c>
      <c r="F995" s="72" t="s">
        <v>257</v>
      </c>
      <c r="G995" s="72">
        <v>1.2190000000000001</v>
      </c>
      <c r="H995" s="72">
        <v>7.0427</v>
      </c>
      <c r="I995" s="72">
        <v>26407.474600000001</v>
      </c>
      <c r="J995" s="70">
        <v>388.69060000000002</v>
      </c>
      <c r="K995" s="72">
        <v>1252.4742000000001</v>
      </c>
      <c r="L995" s="72">
        <v>32.592399999999998</v>
      </c>
      <c r="M995" s="70">
        <v>11.2791</v>
      </c>
      <c r="N995" s="77">
        <v>122.8</v>
      </c>
      <c r="O995" s="70">
        <v>4</v>
      </c>
      <c r="P995" s="70"/>
      <c r="Q995" s="62" t="s">
        <v>258</v>
      </c>
    </row>
    <row r="996" spans="1:17" ht="13.8" customHeight="1" x14ac:dyDescent="0.3">
      <c r="A996" s="73" t="s">
        <v>351</v>
      </c>
      <c r="B996" s="79">
        <v>46139</v>
      </c>
      <c r="C996" s="73">
        <v>1156</v>
      </c>
      <c r="D996" s="73" t="s">
        <v>256</v>
      </c>
      <c r="E996" s="73">
        <v>5</v>
      </c>
      <c r="F996" s="75" t="s">
        <v>257</v>
      </c>
      <c r="G996" s="75">
        <v>6.6067</v>
      </c>
      <c r="H996" s="75">
        <v>8.9481999999999999</v>
      </c>
      <c r="I996" s="75">
        <v>24295.132799999999</v>
      </c>
      <c r="J996" s="73">
        <v>218.47069999999999</v>
      </c>
      <c r="K996" s="75">
        <v>3835.0841999999998</v>
      </c>
      <c r="L996" s="75">
        <v>38.524299999999997</v>
      </c>
      <c r="M996" s="73">
        <v>14.292400000000001</v>
      </c>
      <c r="N996" s="76">
        <v>120.21</v>
      </c>
      <c r="O996" s="73">
        <v>4</v>
      </c>
      <c r="P996" s="73"/>
      <c r="Q996" s="66" t="s">
        <v>258</v>
      </c>
    </row>
    <row r="997" spans="1:17" ht="13.8" customHeight="1" x14ac:dyDescent="0.3">
      <c r="A997" s="70" t="s">
        <v>352</v>
      </c>
      <c r="B997" s="78">
        <v>46139</v>
      </c>
      <c r="C997" s="70">
        <v>1157</v>
      </c>
      <c r="D997" s="70" t="s">
        <v>256</v>
      </c>
      <c r="E997" s="70">
        <v>1</v>
      </c>
      <c r="F997" s="72">
        <v>3.7446000000000002</v>
      </c>
      <c r="G997" s="72">
        <v>31.725999999999999</v>
      </c>
      <c r="H997" s="72">
        <v>41.388199999999998</v>
      </c>
      <c r="I997" s="72">
        <v>80294.210900000005</v>
      </c>
      <c r="J997" s="70" t="s">
        <v>257</v>
      </c>
      <c r="K997" s="72">
        <v>44405.160199999998</v>
      </c>
      <c r="L997" s="72" t="s">
        <v>257</v>
      </c>
      <c r="M997" s="70">
        <v>18.0381</v>
      </c>
      <c r="N997" s="77">
        <v>120.28</v>
      </c>
      <c r="O997" s="70">
        <v>4</v>
      </c>
      <c r="P997" s="70"/>
      <c r="Q997" s="62" t="s">
        <v>258</v>
      </c>
    </row>
    <row r="998" spans="1:17" ht="13.8" customHeight="1" x14ac:dyDescent="0.3">
      <c r="A998" s="73" t="s">
        <v>352</v>
      </c>
      <c r="B998" s="79">
        <v>46139</v>
      </c>
      <c r="C998" s="73">
        <v>1158</v>
      </c>
      <c r="D998" s="73" t="s">
        <v>256</v>
      </c>
      <c r="E998" s="73">
        <v>1</v>
      </c>
      <c r="F998" s="75">
        <v>8.3125999999999998</v>
      </c>
      <c r="G998" s="75">
        <v>36.292099999999998</v>
      </c>
      <c r="H998" s="75">
        <v>32.776600000000002</v>
      </c>
      <c r="I998" s="75">
        <v>66591.953099999999</v>
      </c>
      <c r="J998" s="73" t="s">
        <v>257</v>
      </c>
      <c r="K998" s="75">
        <v>41470.046900000001</v>
      </c>
      <c r="L998" s="75" t="s">
        <v>257</v>
      </c>
      <c r="M998" s="73">
        <v>9.9953000000000003</v>
      </c>
      <c r="N998" s="76">
        <v>120.58</v>
      </c>
      <c r="O998" s="73">
        <v>4</v>
      </c>
      <c r="P998" s="73"/>
      <c r="Q998" s="66" t="s">
        <v>258</v>
      </c>
    </row>
    <row r="999" spans="1:17" ht="13.8" customHeight="1" x14ac:dyDescent="0.3">
      <c r="A999" s="70" t="s">
        <v>352</v>
      </c>
      <c r="B999" s="78">
        <v>46139</v>
      </c>
      <c r="C999" s="70">
        <v>1160</v>
      </c>
      <c r="D999" s="70" t="s">
        <v>256</v>
      </c>
      <c r="E999" s="70">
        <v>2</v>
      </c>
      <c r="F999" s="72" t="s">
        <v>257</v>
      </c>
      <c r="G999" s="72">
        <v>20.247800000000002</v>
      </c>
      <c r="H999" s="72">
        <v>7.0693999999999999</v>
      </c>
      <c r="I999" s="72">
        <v>48047.796900000001</v>
      </c>
      <c r="J999" s="70" t="s">
        <v>257</v>
      </c>
      <c r="K999" s="72">
        <v>10859.043900000001</v>
      </c>
      <c r="L999" s="72" t="s">
        <v>257</v>
      </c>
      <c r="M999" s="70">
        <v>19.322900000000001</v>
      </c>
      <c r="N999" s="77">
        <v>120.14</v>
      </c>
      <c r="O999" s="70">
        <v>4</v>
      </c>
      <c r="P999" s="70"/>
      <c r="Q999" s="62" t="s">
        <v>258</v>
      </c>
    </row>
    <row r="1000" spans="1:17" ht="13.8" customHeight="1" x14ac:dyDescent="0.3">
      <c r="A1000" s="73" t="s">
        <v>352</v>
      </c>
      <c r="B1000" s="79">
        <v>46139</v>
      </c>
      <c r="C1000" s="73">
        <v>1161</v>
      </c>
      <c r="D1000" s="73" t="s">
        <v>256</v>
      </c>
      <c r="E1000" s="73">
        <v>2</v>
      </c>
      <c r="F1000" s="75" t="s">
        <v>257</v>
      </c>
      <c r="G1000" s="75">
        <v>67.441400000000002</v>
      </c>
      <c r="H1000" s="75" t="s">
        <v>257</v>
      </c>
      <c r="I1000" s="75">
        <v>127812.1406</v>
      </c>
      <c r="J1000" s="73" t="s">
        <v>257</v>
      </c>
      <c r="K1000" s="75">
        <v>10614.526400000001</v>
      </c>
      <c r="L1000" s="75" t="s">
        <v>257</v>
      </c>
      <c r="M1000" s="73">
        <v>61.697299999999998</v>
      </c>
      <c r="N1000" s="76">
        <v>120.8</v>
      </c>
      <c r="O1000" s="73">
        <v>4</v>
      </c>
      <c r="P1000" s="73"/>
      <c r="Q1000" s="66" t="s">
        <v>258</v>
      </c>
    </row>
    <row r="1001" spans="1:17" ht="13.8" customHeight="1" x14ac:dyDescent="0.3">
      <c r="A1001" s="70" t="s">
        <v>352</v>
      </c>
      <c r="B1001" s="78">
        <v>46139</v>
      </c>
      <c r="C1001" s="70">
        <v>1162</v>
      </c>
      <c r="D1001" s="70" t="s">
        <v>256</v>
      </c>
      <c r="E1001" s="70">
        <v>3</v>
      </c>
      <c r="F1001" s="72" t="s">
        <v>257</v>
      </c>
      <c r="G1001" s="72">
        <v>17.013400000000001</v>
      </c>
      <c r="H1001" s="72">
        <v>16.7483</v>
      </c>
      <c r="I1001" s="72">
        <v>9952.2324000000008</v>
      </c>
      <c r="J1001" s="70" t="s">
        <v>257</v>
      </c>
      <c r="K1001" s="72">
        <v>8579.5946999999996</v>
      </c>
      <c r="L1001" s="72" t="s">
        <v>257</v>
      </c>
      <c r="M1001" s="70" t="s">
        <v>257</v>
      </c>
      <c r="N1001" s="77">
        <v>122.8</v>
      </c>
      <c r="O1001" s="70">
        <v>4</v>
      </c>
      <c r="P1001" s="70"/>
      <c r="Q1001" s="62" t="s">
        <v>258</v>
      </c>
    </row>
    <row r="1002" spans="1:17" ht="13.8" customHeight="1" x14ac:dyDescent="0.3">
      <c r="A1002" s="73" t="s">
        <v>352</v>
      </c>
      <c r="B1002" s="79">
        <v>46139</v>
      </c>
      <c r="C1002" s="73">
        <v>1163</v>
      </c>
      <c r="D1002" s="73" t="s">
        <v>256</v>
      </c>
      <c r="E1002" s="73">
        <v>3</v>
      </c>
      <c r="F1002" s="75" t="s">
        <v>257</v>
      </c>
      <c r="G1002" s="75">
        <v>19.593499999999999</v>
      </c>
      <c r="H1002" s="75">
        <v>15.558</v>
      </c>
      <c r="I1002" s="75">
        <v>12693.506799999999</v>
      </c>
      <c r="J1002" s="73" t="s">
        <v>257</v>
      </c>
      <c r="K1002" s="75">
        <v>19342.1973</v>
      </c>
      <c r="L1002" s="75" t="s">
        <v>257</v>
      </c>
      <c r="M1002" s="73" t="s">
        <v>257</v>
      </c>
      <c r="N1002" s="76">
        <v>122.71</v>
      </c>
      <c r="O1002" s="73">
        <v>4</v>
      </c>
      <c r="P1002" s="73"/>
      <c r="Q1002" s="66" t="s">
        <v>258</v>
      </c>
    </row>
    <row r="1003" spans="1:17" ht="13.8" customHeight="1" x14ac:dyDescent="0.3">
      <c r="A1003" s="70" t="s">
        <v>352</v>
      </c>
      <c r="B1003" s="78">
        <v>46139</v>
      </c>
      <c r="C1003" s="70">
        <v>1164</v>
      </c>
      <c r="D1003" s="70" t="s">
        <v>256</v>
      </c>
      <c r="E1003" s="70">
        <v>4</v>
      </c>
      <c r="F1003" s="72" t="s">
        <v>257</v>
      </c>
      <c r="G1003" s="72">
        <v>15.587899999999999</v>
      </c>
      <c r="H1003" s="72">
        <v>6.6035000000000004</v>
      </c>
      <c r="I1003" s="72">
        <v>42308.097699999998</v>
      </c>
      <c r="J1003" s="70">
        <v>531.76620000000003</v>
      </c>
      <c r="K1003" s="72">
        <v>17094.853500000001</v>
      </c>
      <c r="L1003" s="72">
        <v>35.039700000000003</v>
      </c>
      <c r="M1003" s="70" t="s">
        <v>257</v>
      </c>
      <c r="N1003" s="77">
        <v>110.36</v>
      </c>
      <c r="O1003" s="70">
        <v>4</v>
      </c>
      <c r="P1003" s="70"/>
      <c r="Q1003" s="62" t="s">
        <v>258</v>
      </c>
    </row>
    <row r="1004" spans="1:17" ht="13.8" customHeight="1" x14ac:dyDescent="0.3">
      <c r="A1004" s="73" t="s">
        <v>352</v>
      </c>
      <c r="B1004" s="79">
        <v>46139</v>
      </c>
      <c r="C1004" s="73">
        <v>1165</v>
      </c>
      <c r="D1004" s="73" t="s">
        <v>256</v>
      </c>
      <c r="E1004" s="73">
        <v>4</v>
      </c>
      <c r="F1004" s="75" t="s">
        <v>257</v>
      </c>
      <c r="G1004" s="75">
        <v>24.192799999999998</v>
      </c>
      <c r="H1004" s="75">
        <v>8.1475000000000009</v>
      </c>
      <c r="I1004" s="75">
        <v>46512.085899999998</v>
      </c>
      <c r="J1004" s="73">
        <v>490.7971</v>
      </c>
      <c r="K1004" s="75">
        <v>61111.316400000003</v>
      </c>
      <c r="L1004" s="75">
        <v>32.246000000000002</v>
      </c>
      <c r="M1004" s="73" t="s">
        <v>257</v>
      </c>
      <c r="N1004" s="76">
        <v>122.74</v>
      </c>
      <c r="O1004" s="73">
        <v>4</v>
      </c>
      <c r="P1004" s="73"/>
      <c r="Q1004" s="66" t="s">
        <v>258</v>
      </c>
    </row>
    <row r="1005" spans="1:17" ht="13.8" customHeight="1" x14ac:dyDescent="0.3">
      <c r="A1005" s="70" t="s">
        <v>352</v>
      </c>
      <c r="B1005" s="78">
        <v>46139</v>
      </c>
      <c r="C1005" s="70">
        <v>1166</v>
      </c>
      <c r="D1005" s="70" t="s">
        <v>256</v>
      </c>
      <c r="E1005" s="70">
        <v>5</v>
      </c>
      <c r="F1005" s="72" t="s">
        <v>257</v>
      </c>
      <c r="G1005" s="72">
        <v>23.393899999999999</v>
      </c>
      <c r="H1005" s="72">
        <v>9.9612999999999996</v>
      </c>
      <c r="I1005" s="72">
        <v>64343.289100000002</v>
      </c>
      <c r="J1005" s="70">
        <v>225.02010000000001</v>
      </c>
      <c r="K1005" s="72">
        <v>32334.179700000001</v>
      </c>
      <c r="L1005" s="72">
        <v>10.9382</v>
      </c>
      <c r="M1005" s="70" t="s">
        <v>257</v>
      </c>
      <c r="N1005" s="77">
        <v>122.77</v>
      </c>
      <c r="O1005" s="70">
        <v>4</v>
      </c>
      <c r="P1005" s="70"/>
      <c r="Q1005" s="62" t="s">
        <v>258</v>
      </c>
    </row>
    <row r="1006" spans="1:17" ht="13.8" customHeight="1" x14ac:dyDescent="0.3">
      <c r="A1006" s="73" t="s">
        <v>352</v>
      </c>
      <c r="B1006" s="79">
        <v>46139</v>
      </c>
      <c r="C1006" s="73">
        <v>1167</v>
      </c>
      <c r="D1006" s="73" t="s">
        <v>256</v>
      </c>
      <c r="E1006" s="73">
        <v>5</v>
      </c>
      <c r="F1006" s="75" t="s">
        <v>257</v>
      </c>
      <c r="G1006" s="75">
        <v>17.2593</v>
      </c>
      <c r="H1006" s="75">
        <v>10.0977</v>
      </c>
      <c r="I1006" s="75">
        <v>43002.367200000001</v>
      </c>
      <c r="J1006" s="73">
        <v>339.45819999999998</v>
      </c>
      <c r="K1006" s="75">
        <v>16237.885700000001</v>
      </c>
      <c r="L1006" s="75">
        <v>19.135999999999999</v>
      </c>
      <c r="M1006" s="73" t="s">
        <v>257</v>
      </c>
      <c r="N1006" s="76">
        <v>123.01</v>
      </c>
      <c r="O1006" s="73">
        <v>4</v>
      </c>
      <c r="P1006" s="73"/>
      <c r="Q1006" s="66" t="s">
        <v>258</v>
      </c>
    </row>
    <row r="1007" spans="1:17" ht="13.8" customHeight="1" x14ac:dyDescent="0.3">
      <c r="A1007" s="70" t="s">
        <v>353</v>
      </c>
      <c r="B1007" s="78">
        <v>46139</v>
      </c>
      <c r="C1007" s="70">
        <v>1168</v>
      </c>
      <c r="D1007" s="70" t="s">
        <v>256</v>
      </c>
      <c r="E1007" s="70">
        <v>1</v>
      </c>
      <c r="F1007" s="72">
        <v>10.915100000000001</v>
      </c>
      <c r="G1007" s="72">
        <v>7.8384</v>
      </c>
      <c r="H1007" s="72">
        <v>11.0075</v>
      </c>
      <c r="I1007" s="72">
        <v>33064.273399999998</v>
      </c>
      <c r="J1007" s="70">
        <v>192.96010000000001</v>
      </c>
      <c r="K1007" s="72">
        <v>6371.9516999999996</v>
      </c>
      <c r="L1007" s="72">
        <v>20.896100000000001</v>
      </c>
      <c r="M1007" s="70">
        <v>11.8108</v>
      </c>
      <c r="N1007" s="77">
        <v>122.68</v>
      </c>
      <c r="O1007" s="70">
        <v>4</v>
      </c>
      <c r="P1007" s="70"/>
      <c r="Q1007" s="62" t="s">
        <v>258</v>
      </c>
    </row>
    <row r="1008" spans="1:17" ht="13.8" customHeight="1" x14ac:dyDescent="0.3">
      <c r="A1008" s="73" t="s">
        <v>353</v>
      </c>
      <c r="B1008" s="79">
        <v>46139</v>
      </c>
      <c r="C1008" s="73">
        <v>1169</v>
      </c>
      <c r="D1008" s="73" t="s">
        <v>256</v>
      </c>
      <c r="E1008" s="73">
        <v>1</v>
      </c>
      <c r="F1008" s="75">
        <v>4.92</v>
      </c>
      <c r="G1008" s="75">
        <v>4.0551000000000004</v>
      </c>
      <c r="H1008" s="75">
        <v>7.1383000000000001</v>
      </c>
      <c r="I1008" s="75">
        <v>30338.210899999998</v>
      </c>
      <c r="J1008" s="73">
        <v>310.52820000000003</v>
      </c>
      <c r="K1008" s="75">
        <v>11588.294900000001</v>
      </c>
      <c r="L1008" s="75">
        <v>25.74</v>
      </c>
      <c r="M1008" s="73">
        <v>7.7342000000000004</v>
      </c>
      <c r="N1008" s="76">
        <v>123.06</v>
      </c>
      <c r="O1008" s="73">
        <v>4</v>
      </c>
      <c r="P1008" s="73"/>
      <c r="Q1008" s="66" t="s">
        <v>258</v>
      </c>
    </row>
    <row r="1009" spans="1:17" ht="13.8" customHeight="1" x14ac:dyDescent="0.3">
      <c r="A1009" s="70" t="s">
        <v>353</v>
      </c>
      <c r="B1009" s="78">
        <v>46139</v>
      </c>
      <c r="C1009" s="70">
        <v>1170</v>
      </c>
      <c r="D1009" s="70" t="s">
        <v>256</v>
      </c>
      <c r="E1009" s="70">
        <v>2</v>
      </c>
      <c r="F1009" s="72">
        <v>24.081800000000001</v>
      </c>
      <c r="G1009" s="72">
        <v>16.596</v>
      </c>
      <c r="H1009" s="72">
        <v>10.211600000000001</v>
      </c>
      <c r="I1009" s="72">
        <v>32531.6855</v>
      </c>
      <c r="J1009" s="70">
        <v>29.140599999999999</v>
      </c>
      <c r="K1009" s="72">
        <v>10079.3467</v>
      </c>
      <c r="L1009" s="72" t="s">
        <v>257</v>
      </c>
      <c r="M1009" s="70">
        <v>4.6375000000000002</v>
      </c>
      <c r="N1009" s="77">
        <v>120.57</v>
      </c>
      <c r="O1009" s="70">
        <v>4</v>
      </c>
      <c r="P1009" s="70"/>
      <c r="Q1009" s="62" t="s">
        <v>258</v>
      </c>
    </row>
    <row r="1010" spans="1:17" ht="13.8" customHeight="1" x14ac:dyDescent="0.3">
      <c r="A1010" s="73" t="s">
        <v>353</v>
      </c>
      <c r="B1010" s="79">
        <v>46139</v>
      </c>
      <c r="C1010" s="73">
        <v>1171</v>
      </c>
      <c r="D1010" s="73" t="s">
        <v>256</v>
      </c>
      <c r="E1010" s="73">
        <v>2</v>
      </c>
      <c r="F1010" s="75">
        <v>30.5244</v>
      </c>
      <c r="G1010" s="75">
        <v>17.488800000000001</v>
      </c>
      <c r="H1010" s="75">
        <v>9.6023999999999994</v>
      </c>
      <c r="I1010" s="75">
        <v>31431.117200000001</v>
      </c>
      <c r="J1010" s="73" t="s">
        <v>257</v>
      </c>
      <c r="K1010" s="75">
        <v>14191.2363</v>
      </c>
      <c r="L1010" s="75">
        <v>3.6309999999999998</v>
      </c>
      <c r="M1010" s="73" t="s">
        <v>257</v>
      </c>
      <c r="N1010" s="76">
        <v>120.28</v>
      </c>
      <c r="O1010" s="73">
        <v>4</v>
      </c>
      <c r="P1010" s="73"/>
      <c r="Q1010" s="66" t="s">
        <v>258</v>
      </c>
    </row>
    <row r="1011" spans="1:17" ht="13.8" customHeight="1" x14ac:dyDescent="0.3">
      <c r="A1011" s="70" t="s">
        <v>353</v>
      </c>
      <c r="B1011" s="78">
        <v>46139</v>
      </c>
      <c r="C1011" s="70">
        <v>1172</v>
      </c>
      <c r="D1011" s="70" t="s">
        <v>256</v>
      </c>
      <c r="E1011" s="70">
        <v>3</v>
      </c>
      <c r="F1011" s="72">
        <v>6.3579999999999997</v>
      </c>
      <c r="G1011" s="72">
        <v>6.7488000000000001</v>
      </c>
      <c r="H1011" s="72">
        <v>18.6327</v>
      </c>
      <c r="I1011" s="72">
        <v>39209.980499999998</v>
      </c>
      <c r="J1011" s="70">
        <v>88.600700000000003</v>
      </c>
      <c r="K1011" s="72">
        <v>9472.7479999999996</v>
      </c>
      <c r="L1011" s="72">
        <v>9.8364999999999991</v>
      </c>
      <c r="M1011" s="70">
        <v>10.9016</v>
      </c>
      <c r="N1011" s="77">
        <v>120.31</v>
      </c>
      <c r="O1011" s="70">
        <v>4</v>
      </c>
      <c r="P1011" s="70"/>
      <c r="Q1011" s="62" t="s">
        <v>258</v>
      </c>
    </row>
    <row r="1012" spans="1:17" ht="13.8" customHeight="1" x14ac:dyDescent="0.3">
      <c r="A1012" s="73" t="s">
        <v>353</v>
      </c>
      <c r="B1012" s="79">
        <v>46139</v>
      </c>
      <c r="C1012" s="73">
        <v>1173</v>
      </c>
      <c r="D1012" s="73" t="s">
        <v>256</v>
      </c>
      <c r="E1012" s="73">
        <v>3</v>
      </c>
      <c r="F1012" s="75">
        <v>7.2587000000000002</v>
      </c>
      <c r="G1012" s="75" t="s">
        <v>257</v>
      </c>
      <c r="H1012" s="75">
        <v>13.4262</v>
      </c>
      <c r="I1012" s="75">
        <v>38746.988299999997</v>
      </c>
      <c r="J1012" s="73">
        <v>270.74310000000003</v>
      </c>
      <c r="K1012" s="75">
        <v>3676.7141000000001</v>
      </c>
      <c r="L1012" s="75">
        <v>22.0351</v>
      </c>
      <c r="M1012" s="73">
        <v>6.1890000000000001</v>
      </c>
      <c r="N1012" s="76">
        <v>123.08</v>
      </c>
      <c r="O1012" s="73">
        <v>4</v>
      </c>
      <c r="P1012" s="73"/>
      <c r="Q1012" s="66" t="s">
        <v>258</v>
      </c>
    </row>
    <row r="1013" spans="1:17" ht="13.8" customHeight="1" x14ac:dyDescent="0.3">
      <c r="A1013" s="70" t="s">
        <v>353</v>
      </c>
      <c r="B1013" s="78">
        <v>46139</v>
      </c>
      <c r="C1013" s="70">
        <v>1174</v>
      </c>
      <c r="D1013" s="70" t="s">
        <v>256</v>
      </c>
      <c r="E1013" s="70">
        <v>4</v>
      </c>
      <c r="F1013" s="72">
        <v>20.274000000000001</v>
      </c>
      <c r="G1013" s="72">
        <v>9.1427999999999994</v>
      </c>
      <c r="H1013" s="72">
        <v>8.7439</v>
      </c>
      <c r="I1013" s="72">
        <v>34760.960899999998</v>
      </c>
      <c r="J1013" s="70">
        <v>243.80500000000001</v>
      </c>
      <c r="K1013" s="72">
        <v>6921.2568000000001</v>
      </c>
      <c r="L1013" s="72">
        <v>21.236899999999999</v>
      </c>
      <c r="M1013" s="70">
        <v>6.6867999999999999</v>
      </c>
      <c r="N1013" s="77">
        <v>120.34</v>
      </c>
      <c r="O1013" s="70">
        <v>4</v>
      </c>
      <c r="P1013" s="70"/>
      <c r="Q1013" s="62" t="s">
        <v>258</v>
      </c>
    </row>
    <row r="1014" spans="1:17" ht="13.8" customHeight="1" x14ac:dyDescent="0.3">
      <c r="A1014" s="73" t="s">
        <v>353</v>
      </c>
      <c r="B1014" s="79">
        <v>46139</v>
      </c>
      <c r="C1014" s="73">
        <v>1176</v>
      </c>
      <c r="D1014" s="73" t="s">
        <v>256</v>
      </c>
      <c r="E1014" s="73">
        <v>4</v>
      </c>
      <c r="F1014" s="75">
        <v>28.542400000000001</v>
      </c>
      <c r="G1014" s="75">
        <v>8.6923999999999992</v>
      </c>
      <c r="H1014" s="75">
        <v>7.4154</v>
      </c>
      <c r="I1014" s="75">
        <v>34340.781199999998</v>
      </c>
      <c r="J1014" s="73">
        <v>218.8192</v>
      </c>
      <c r="K1014" s="75">
        <v>9189.7041000000008</v>
      </c>
      <c r="L1014" s="75">
        <v>13.7944</v>
      </c>
      <c r="M1014" s="73">
        <v>5.7980999999999998</v>
      </c>
      <c r="N1014" s="76">
        <v>120.23</v>
      </c>
      <c r="O1014" s="73">
        <v>4</v>
      </c>
      <c r="P1014" s="73"/>
      <c r="Q1014" s="66" t="s">
        <v>258</v>
      </c>
    </row>
    <row r="1015" spans="1:17" ht="13.8" customHeight="1" x14ac:dyDescent="0.3">
      <c r="A1015" s="70" t="s">
        <v>353</v>
      </c>
      <c r="B1015" s="78">
        <v>46139</v>
      </c>
      <c r="C1015" s="70">
        <v>1177</v>
      </c>
      <c r="D1015" s="70" t="s">
        <v>256</v>
      </c>
      <c r="E1015" s="70">
        <v>5</v>
      </c>
      <c r="F1015" s="72">
        <v>56.5822</v>
      </c>
      <c r="G1015" s="72">
        <v>14.5791</v>
      </c>
      <c r="H1015" s="72">
        <v>31.005299999999998</v>
      </c>
      <c r="I1015" s="72">
        <v>49875.593800000002</v>
      </c>
      <c r="J1015" s="70">
        <v>424.69060000000002</v>
      </c>
      <c r="K1015" s="72">
        <v>39844.156199999998</v>
      </c>
      <c r="L1015" s="72">
        <v>28.992699999999999</v>
      </c>
      <c r="M1015" s="70">
        <v>12.9658</v>
      </c>
      <c r="N1015" s="77">
        <v>122.97</v>
      </c>
      <c r="O1015" s="70">
        <v>4</v>
      </c>
      <c r="P1015" s="70"/>
      <c r="Q1015" s="62" t="s">
        <v>258</v>
      </c>
    </row>
    <row r="1016" spans="1:17" ht="13.8" customHeight="1" x14ac:dyDescent="0.3">
      <c r="A1016" s="73" t="s">
        <v>353</v>
      </c>
      <c r="B1016" s="79">
        <v>46139</v>
      </c>
      <c r="C1016" s="73">
        <v>1178</v>
      </c>
      <c r="D1016" s="73" t="s">
        <v>256</v>
      </c>
      <c r="E1016" s="73">
        <v>5</v>
      </c>
      <c r="F1016" s="75">
        <v>36.106699999999996</v>
      </c>
      <c r="G1016" s="75">
        <v>8.2852999999999994</v>
      </c>
      <c r="H1016" s="75">
        <v>10.757899999999999</v>
      </c>
      <c r="I1016" s="75">
        <v>39272.359400000001</v>
      </c>
      <c r="J1016" s="73">
        <v>476.49540000000002</v>
      </c>
      <c r="K1016" s="75">
        <v>18099.261699999999</v>
      </c>
      <c r="L1016" s="75">
        <v>29.379100000000001</v>
      </c>
      <c r="M1016" s="73">
        <v>15.1957</v>
      </c>
      <c r="N1016" s="76">
        <v>120.18</v>
      </c>
      <c r="O1016" s="73">
        <v>4</v>
      </c>
      <c r="P1016" s="73"/>
      <c r="Q1016" s="66" t="s">
        <v>258</v>
      </c>
    </row>
    <row r="1017" spans="1:17" ht="13.8" customHeight="1" x14ac:dyDescent="0.3">
      <c r="A1017" s="70" t="s">
        <v>354</v>
      </c>
      <c r="B1017" s="78">
        <v>46139</v>
      </c>
      <c r="C1017" s="70">
        <v>1179</v>
      </c>
      <c r="D1017" s="70" t="s">
        <v>256</v>
      </c>
      <c r="E1017" s="70">
        <v>1</v>
      </c>
      <c r="F1017" s="72" t="s">
        <v>257</v>
      </c>
      <c r="G1017" s="72">
        <v>16.119499999999999</v>
      </c>
      <c r="H1017" s="72">
        <v>7.3757999999999999</v>
      </c>
      <c r="I1017" s="72">
        <v>3800.4364999999998</v>
      </c>
      <c r="J1017" s="70" t="s">
        <v>257</v>
      </c>
      <c r="K1017" s="72">
        <v>4337.0698000000002</v>
      </c>
      <c r="L1017" s="72" t="s">
        <v>257</v>
      </c>
      <c r="M1017" s="70" t="s">
        <v>257</v>
      </c>
      <c r="N1017" s="77">
        <v>120.36</v>
      </c>
      <c r="O1017" s="70">
        <v>4</v>
      </c>
      <c r="P1017" s="70"/>
      <c r="Q1017" s="62" t="s">
        <v>258</v>
      </c>
    </row>
    <row r="1018" spans="1:17" ht="13.8" customHeight="1" x14ac:dyDescent="0.3">
      <c r="A1018" s="73" t="s">
        <v>354</v>
      </c>
      <c r="B1018" s="79">
        <v>46139</v>
      </c>
      <c r="C1018" s="73">
        <v>1180</v>
      </c>
      <c r="D1018" s="73" t="s">
        <v>256</v>
      </c>
      <c r="E1018" s="73">
        <v>1</v>
      </c>
      <c r="F1018" s="75" t="s">
        <v>257</v>
      </c>
      <c r="G1018" s="75">
        <v>15.394500000000001</v>
      </c>
      <c r="H1018" s="75">
        <v>8.9890000000000008</v>
      </c>
      <c r="I1018" s="75">
        <v>4136.8500999999997</v>
      </c>
      <c r="J1018" s="73" t="s">
        <v>257</v>
      </c>
      <c r="K1018" s="75">
        <v>3726.7314000000001</v>
      </c>
      <c r="L1018" s="75" t="s">
        <v>257</v>
      </c>
      <c r="M1018" s="73" t="s">
        <v>257</v>
      </c>
      <c r="N1018" s="76">
        <v>122.92</v>
      </c>
      <c r="O1018" s="73">
        <v>4</v>
      </c>
      <c r="P1018" s="73"/>
      <c r="Q1018" s="66" t="s">
        <v>258</v>
      </c>
    </row>
    <row r="1019" spans="1:17" ht="13.8" customHeight="1" x14ac:dyDescent="0.3">
      <c r="A1019" s="70" t="s">
        <v>354</v>
      </c>
      <c r="B1019" s="78">
        <v>46139</v>
      </c>
      <c r="C1019" s="70">
        <v>1181</v>
      </c>
      <c r="D1019" s="70" t="s">
        <v>256</v>
      </c>
      <c r="E1019" s="70">
        <v>2</v>
      </c>
      <c r="F1019" s="72" t="s">
        <v>257</v>
      </c>
      <c r="G1019" s="72">
        <v>3.8125</v>
      </c>
      <c r="H1019" s="72">
        <v>11.879799999999999</v>
      </c>
      <c r="I1019" s="72">
        <v>3072.4395</v>
      </c>
      <c r="J1019" s="70" t="s">
        <v>257</v>
      </c>
      <c r="K1019" s="72">
        <v>466.5675</v>
      </c>
      <c r="L1019" s="72" t="s">
        <v>257</v>
      </c>
      <c r="M1019" s="70" t="s">
        <v>257</v>
      </c>
      <c r="N1019" s="77">
        <v>120.6</v>
      </c>
      <c r="O1019" s="70">
        <v>4</v>
      </c>
      <c r="P1019" s="70"/>
      <c r="Q1019" s="62" t="s">
        <v>258</v>
      </c>
    </row>
    <row r="1020" spans="1:17" ht="13.8" customHeight="1" x14ac:dyDescent="0.3">
      <c r="A1020" s="73" t="s">
        <v>354</v>
      </c>
      <c r="B1020" s="79">
        <v>46139</v>
      </c>
      <c r="C1020" s="73">
        <v>1182</v>
      </c>
      <c r="D1020" s="73" t="s">
        <v>256</v>
      </c>
      <c r="E1020" s="73">
        <v>2</v>
      </c>
      <c r="F1020" s="75" t="s">
        <v>257</v>
      </c>
      <c r="G1020" s="75">
        <v>3.3260999999999998</v>
      </c>
      <c r="H1020" s="75">
        <v>10.4696</v>
      </c>
      <c r="I1020" s="75">
        <v>2862.0563999999999</v>
      </c>
      <c r="J1020" s="73" t="s">
        <v>257</v>
      </c>
      <c r="K1020" s="75">
        <v>381.2953</v>
      </c>
      <c r="L1020" s="75" t="s">
        <v>257</v>
      </c>
      <c r="M1020" s="73" t="s">
        <v>257</v>
      </c>
      <c r="N1020" s="76">
        <v>120.19</v>
      </c>
      <c r="O1020" s="73">
        <v>4</v>
      </c>
      <c r="P1020" s="73"/>
      <c r="Q1020" s="66" t="s">
        <v>258</v>
      </c>
    </row>
    <row r="1021" spans="1:17" ht="13.8" customHeight="1" x14ac:dyDescent="0.3">
      <c r="A1021" s="70" t="s">
        <v>354</v>
      </c>
      <c r="B1021" s="78">
        <v>46139</v>
      </c>
      <c r="C1021" s="70">
        <v>1184</v>
      </c>
      <c r="D1021" s="70" t="s">
        <v>256</v>
      </c>
      <c r="E1021" s="70">
        <v>3</v>
      </c>
      <c r="F1021" s="72" t="s">
        <v>257</v>
      </c>
      <c r="G1021" s="72" t="s">
        <v>257</v>
      </c>
      <c r="H1021" s="72">
        <v>31.515999999999998</v>
      </c>
      <c r="I1021" s="72">
        <v>2849.3098</v>
      </c>
      <c r="J1021" s="70" t="s">
        <v>257</v>
      </c>
      <c r="K1021" s="72">
        <v>5911.3617999999997</v>
      </c>
      <c r="L1021" s="72" t="s">
        <v>257</v>
      </c>
      <c r="M1021" s="70" t="s">
        <v>257</v>
      </c>
      <c r="N1021" s="77">
        <v>120.48</v>
      </c>
      <c r="O1021" s="70">
        <v>4</v>
      </c>
      <c r="P1021" s="70"/>
      <c r="Q1021" s="62" t="s">
        <v>258</v>
      </c>
    </row>
    <row r="1022" spans="1:17" ht="13.8" customHeight="1" x14ac:dyDescent="0.3">
      <c r="A1022" s="73" t="s">
        <v>354</v>
      </c>
      <c r="B1022" s="79">
        <v>46139</v>
      </c>
      <c r="C1022" s="73">
        <v>1185</v>
      </c>
      <c r="D1022" s="73" t="s">
        <v>256</v>
      </c>
      <c r="E1022" s="73">
        <v>3</v>
      </c>
      <c r="F1022" s="75" t="s">
        <v>257</v>
      </c>
      <c r="G1022" s="75" t="s">
        <v>257</v>
      </c>
      <c r="H1022" s="75">
        <v>29.198899999999998</v>
      </c>
      <c r="I1022" s="75">
        <v>2268.5790999999999</v>
      </c>
      <c r="J1022" s="73" t="s">
        <v>257</v>
      </c>
      <c r="K1022" s="75">
        <v>5789.2520000000004</v>
      </c>
      <c r="L1022" s="75" t="s">
        <v>257</v>
      </c>
      <c r="M1022" s="73" t="s">
        <v>257</v>
      </c>
      <c r="N1022" s="76">
        <v>120.16</v>
      </c>
      <c r="O1022" s="73">
        <v>4</v>
      </c>
      <c r="P1022" s="73"/>
      <c r="Q1022" s="66" t="s">
        <v>258</v>
      </c>
    </row>
    <row r="1023" spans="1:17" ht="13.8" customHeight="1" x14ac:dyDescent="0.3">
      <c r="A1023" s="70" t="s">
        <v>354</v>
      </c>
      <c r="B1023" s="78">
        <v>46139</v>
      </c>
      <c r="C1023" s="70">
        <v>1186</v>
      </c>
      <c r="D1023" s="70" t="s">
        <v>256</v>
      </c>
      <c r="E1023" s="70">
        <v>4</v>
      </c>
      <c r="F1023" s="72" t="s">
        <v>257</v>
      </c>
      <c r="G1023" s="72">
        <v>3.0200999999999998</v>
      </c>
      <c r="H1023" s="72">
        <v>39.152799999999999</v>
      </c>
      <c r="I1023" s="72">
        <v>3357.9191999999998</v>
      </c>
      <c r="J1023" s="70" t="s">
        <v>257</v>
      </c>
      <c r="K1023" s="72">
        <v>8549.6309000000001</v>
      </c>
      <c r="L1023" s="72" t="s">
        <v>257</v>
      </c>
      <c r="M1023" s="70" t="s">
        <v>257</v>
      </c>
      <c r="N1023" s="77">
        <v>122.86</v>
      </c>
      <c r="O1023" s="70">
        <v>4</v>
      </c>
      <c r="P1023" s="70"/>
      <c r="Q1023" s="62" t="s">
        <v>258</v>
      </c>
    </row>
    <row r="1024" spans="1:17" ht="13.8" customHeight="1" x14ac:dyDescent="0.3">
      <c r="A1024" s="73" t="s">
        <v>354</v>
      </c>
      <c r="B1024" s="79">
        <v>46139</v>
      </c>
      <c r="C1024" s="73">
        <v>1187</v>
      </c>
      <c r="D1024" s="73" t="s">
        <v>256</v>
      </c>
      <c r="E1024" s="73">
        <v>4</v>
      </c>
      <c r="F1024" s="75" t="s">
        <v>257</v>
      </c>
      <c r="G1024" s="75">
        <v>5.4104999999999999</v>
      </c>
      <c r="H1024" s="75">
        <v>39.428100000000001</v>
      </c>
      <c r="I1024" s="75">
        <v>3396.5916000000002</v>
      </c>
      <c r="J1024" s="73" t="s">
        <v>257</v>
      </c>
      <c r="K1024" s="75">
        <v>14303.0762</v>
      </c>
      <c r="L1024" s="75" t="s">
        <v>257</v>
      </c>
      <c r="M1024" s="73" t="s">
        <v>257</v>
      </c>
      <c r="N1024" s="76">
        <v>122.78</v>
      </c>
      <c r="O1024" s="73">
        <v>4</v>
      </c>
      <c r="P1024" s="73"/>
      <c r="Q1024" s="66" t="s">
        <v>258</v>
      </c>
    </row>
    <row r="1025" spans="1:17" ht="13.8" customHeight="1" x14ac:dyDescent="0.3">
      <c r="A1025" s="70" t="s">
        <v>354</v>
      </c>
      <c r="B1025" s="78">
        <v>46139</v>
      </c>
      <c r="C1025" s="70">
        <v>1188</v>
      </c>
      <c r="D1025" s="70" t="s">
        <v>256</v>
      </c>
      <c r="E1025" s="70">
        <v>5</v>
      </c>
      <c r="F1025" s="72" t="s">
        <v>257</v>
      </c>
      <c r="G1025" s="72">
        <v>8.5115999999999996</v>
      </c>
      <c r="H1025" s="72">
        <v>11.948399999999999</v>
      </c>
      <c r="I1025" s="72">
        <v>3384.3523</v>
      </c>
      <c r="J1025" s="70" t="s">
        <v>257</v>
      </c>
      <c r="K1025" s="72">
        <v>4573.5176000000001</v>
      </c>
      <c r="L1025" s="72" t="s">
        <v>257</v>
      </c>
      <c r="M1025" s="70" t="s">
        <v>257</v>
      </c>
      <c r="N1025" s="77">
        <v>120.23</v>
      </c>
      <c r="O1025" s="70">
        <v>4</v>
      </c>
      <c r="P1025" s="70"/>
      <c r="Q1025" s="62" t="s">
        <v>258</v>
      </c>
    </row>
    <row r="1026" spans="1:17" ht="13.8" customHeight="1" x14ac:dyDescent="0.3">
      <c r="A1026" s="73" t="s">
        <v>354</v>
      </c>
      <c r="B1026" s="79">
        <v>46139</v>
      </c>
      <c r="C1026" s="73">
        <v>1189</v>
      </c>
      <c r="D1026" s="73" t="s">
        <v>256</v>
      </c>
      <c r="E1026" s="73">
        <v>5</v>
      </c>
      <c r="F1026" s="75" t="s">
        <v>257</v>
      </c>
      <c r="G1026" s="75">
        <v>8.3435000000000006</v>
      </c>
      <c r="H1026" s="75">
        <v>10.933999999999999</v>
      </c>
      <c r="I1026" s="75">
        <v>2978.2737000000002</v>
      </c>
      <c r="J1026" s="73" t="s">
        <v>257</v>
      </c>
      <c r="K1026" s="75">
        <v>5189.0015000000003</v>
      </c>
      <c r="L1026" s="75" t="s">
        <v>257</v>
      </c>
      <c r="M1026" s="73" t="s">
        <v>257</v>
      </c>
      <c r="N1026" s="76">
        <v>120.07</v>
      </c>
      <c r="O1026" s="73">
        <v>4</v>
      </c>
      <c r="P1026" s="73"/>
      <c r="Q1026" s="66" t="s">
        <v>258</v>
      </c>
    </row>
    <row r="1027" spans="1:17" ht="13.8" customHeight="1" x14ac:dyDescent="0.3">
      <c r="A1027" s="70" t="s">
        <v>355</v>
      </c>
      <c r="B1027" s="78">
        <v>46139</v>
      </c>
      <c r="C1027" s="70">
        <v>1190</v>
      </c>
      <c r="D1027" s="70" t="s">
        <v>256</v>
      </c>
      <c r="E1027" s="70">
        <v>1</v>
      </c>
      <c r="F1027" s="72">
        <v>3.8140999999999998</v>
      </c>
      <c r="G1027" s="72">
        <v>5.0035999999999996</v>
      </c>
      <c r="H1027" s="72">
        <v>10.7841</v>
      </c>
      <c r="I1027" s="72">
        <v>37112.839800000002</v>
      </c>
      <c r="J1027" s="70">
        <v>628.9067</v>
      </c>
      <c r="K1027" s="72">
        <v>5134.5277999999998</v>
      </c>
      <c r="L1027" s="72">
        <v>45.465800000000002</v>
      </c>
      <c r="M1027" s="70">
        <v>29.962199999999999</v>
      </c>
      <c r="N1027" s="77">
        <v>120.49</v>
      </c>
      <c r="O1027" s="70">
        <v>4</v>
      </c>
      <c r="P1027" s="70"/>
      <c r="Q1027" s="62" t="s">
        <v>258</v>
      </c>
    </row>
    <row r="1028" spans="1:17" ht="13.8" customHeight="1" x14ac:dyDescent="0.3">
      <c r="A1028" s="73" t="s">
        <v>355</v>
      </c>
      <c r="B1028" s="79">
        <v>46139</v>
      </c>
      <c r="C1028" s="73">
        <v>1191</v>
      </c>
      <c r="D1028" s="73" t="s">
        <v>256</v>
      </c>
      <c r="E1028" s="73">
        <v>1</v>
      </c>
      <c r="F1028" s="75" t="s">
        <v>257</v>
      </c>
      <c r="G1028" s="75" t="s">
        <v>257</v>
      </c>
      <c r="H1028" s="75">
        <v>9.9091000000000005</v>
      </c>
      <c r="I1028" s="75">
        <v>35976.492200000001</v>
      </c>
      <c r="J1028" s="73">
        <v>545.25350000000003</v>
      </c>
      <c r="K1028" s="75">
        <v>1330.2936999999999</v>
      </c>
      <c r="L1028" s="75">
        <v>45.4084</v>
      </c>
      <c r="M1028" s="73">
        <v>19.765000000000001</v>
      </c>
      <c r="N1028" s="76">
        <v>120.32</v>
      </c>
      <c r="O1028" s="73">
        <v>4</v>
      </c>
      <c r="P1028" s="73"/>
      <c r="Q1028" s="66" t="s">
        <v>258</v>
      </c>
    </row>
    <row r="1029" spans="1:17" ht="13.8" customHeight="1" x14ac:dyDescent="0.3">
      <c r="A1029" s="70" t="s">
        <v>355</v>
      </c>
      <c r="B1029" s="78">
        <v>46139</v>
      </c>
      <c r="C1029" s="70">
        <v>1192</v>
      </c>
      <c r="D1029" s="70" t="s">
        <v>256</v>
      </c>
      <c r="E1029" s="70">
        <v>2</v>
      </c>
      <c r="F1029" s="72">
        <v>4.3205999999999998</v>
      </c>
      <c r="G1029" s="72" t="s">
        <v>257</v>
      </c>
      <c r="H1029" s="72">
        <v>12.3626</v>
      </c>
      <c r="I1029" s="72">
        <v>34624.148399999998</v>
      </c>
      <c r="J1029" s="70">
        <v>499.67430000000002</v>
      </c>
      <c r="K1029" s="72">
        <v>1147.396</v>
      </c>
      <c r="L1029" s="72">
        <v>44.8369</v>
      </c>
      <c r="M1029" s="70">
        <v>19.493099999999998</v>
      </c>
      <c r="N1029" s="77">
        <v>120.38</v>
      </c>
      <c r="O1029" s="70">
        <v>4</v>
      </c>
      <c r="P1029" s="70"/>
      <c r="Q1029" s="62" t="s">
        <v>258</v>
      </c>
    </row>
    <row r="1030" spans="1:17" ht="13.8" customHeight="1" x14ac:dyDescent="0.3">
      <c r="A1030" s="73" t="s">
        <v>355</v>
      </c>
      <c r="B1030" s="79">
        <v>46139</v>
      </c>
      <c r="C1030" s="73">
        <v>1193</v>
      </c>
      <c r="D1030" s="73" t="s">
        <v>256</v>
      </c>
      <c r="E1030" s="73">
        <v>2</v>
      </c>
      <c r="F1030" s="75" t="s">
        <v>257</v>
      </c>
      <c r="G1030" s="75" t="s">
        <v>257</v>
      </c>
      <c r="H1030" s="75">
        <v>7.6475999999999997</v>
      </c>
      <c r="I1030" s="75">
        <v>33467.625</v>
      </c>
      <c r="J1030" s="73">
        <v>518.23850000000004</v>
      </c>
      <c r="K1030" s="75">
        <v>1033.5513000000001</v>
      </c>
      <c r="L1030" s="75">
        <v>44.253700000000002</v>
      </c>
      <c r="M1030" s="73">
        <v>15.456099999999999</v>
      </c>
      <c r="N1030" s="76">
        <v>120.61</v>
      </c>
      <c r="O1030" s="73">
        <v>4</v>
      </c>
      <c r="P1030" s="73"/>
      <c r="Q1030" s="66" t="s">
        <v>258</v>
      </c>
    </row>
    <row r="1031" spans="1:17" ht="13.8" customHeight="1" x14ac:dyDescent="0.3">
      <c r="A1031" s="70" t="s">
        <v>355</v>
      </c>
      <c r="B1031" s="78">
        <v>46139</v>
      </c>
      <c r="C1031" s="70">
        <v>1194</v>
      </c>
      <c r="D1031" s="70" t="s">
        <v>256</v>
      </c>
      <c r="E1031" s="70">
        <v>3</v>
      </c>
      <c r="F1031" s="72" t="s">
        <v>257</v>
      </c>
      <c r="G1031" s="72" t="s">
        <v>257</v>
      </c>
      <c r="H1031" s="72">
        <v>10.8384</v>
      </c>
      <c r="I1031" s="72">
        <v>32641.728500000001</v>
      </c>
      <c r="J1031" s="70">
        <v>513.36109999999996</v>
      </c>
      <c r="K1031" s="72">
        <v>626.91189999999995</v>
      </c>
      <c r="L1031" s="72">
        <v>50.625399999999999</v>
      </c>
      <c r="M1031" s="70">
        <v>18.932300000000001</v>
      </c>
      <c r="N1031" s="77">
        <v>122.74</v>
      </c>
      <c r="O1031" s="70">
        <v>4</v>
      </c>
      <c r="P1031" s="70"/>
      <c r="Q1031" s="62" t="s">
        <v>258</v>
      </c>
    </row>
    <row r="1032" spans="1:17" ht="13.8" customHeight="1" x14ac:dyDescent="0.3">
      <c r="A1032" s="73" t="s">
        <v>355</v>
      </c>
      <c r="B1032" s="79">
        <v>46139</v>
      </c>
      <c r="C1032" s="73">
        <v>1195</v>
      </c>
      <c r="D1032" s="73" t="s">
        <v>256</v>
      </c>
      <c r="E1032" s="73">
        <v>3</v>
      </c>
      <c r="F1032" s="75" t="s">
        <v>257</v>
      </c>
      <c r="G1032" s="75" t="s">
        <v>257</v>
      </c>
      <c r="H1032" s="75">
        <v>8.1240000000000006</v>
      </c>
      <c r="I1032" s="75">
        <v>35832.796900000001</v>
      </c>
      <c r="J1032" s="73">
        <v>653.93290000000002</v>
      </c>
      <c r="K1032" s="75">
        <v>589.36980000000005</v>
      </c>
      <c r="L1032" s="75">
        <v>59.179099999999998</v>
      </c>
      <c r="M1032" s="73">
        <v>17.256499999999999</v>
      </c>
      <c r="N1032" s="76">
        <v>122.88</v>
      </c>
      <c r="O1032" s="73">
        <v>4</v>
      </c>
      <c r="P1032" s="73"/>
      <c r="Q1032" s="66" t="s">
        <v>258</v>
      </c>
    </row>
    <row r="1033" spans="1:17" ht="13.8" customHeight="1" x14ac:dyDescent="0.3">
      <c r="A1033" s="70" t="s">
        <v>355</v>
      </c>
      <c r="B1033" s="78">
        <v>46139</v>
      </c>
      <c r="C1033" s="70">
        <v>1196</v>
      </c>
      <c r="D1033" s="70" t="s">
        <v>256</v>
      </c>
      <c r="E1033" s="70">
        <v>4</v>
      </c>
      <c r="F1033" s="72" t="s">
        <v>257</v>
      </c>
      <c r="G1033" s="72" t="s">
        <v>257</v>
      </c>
      <c r="H1033" s="72">
        <v>6.2793000000000001</v>
      </c>
      <c r="I1033" s="72">
        <v>42700.9375</v>
      </c>
      <c r="J1033" s="70">
        <v>1183.8284000000001</v>
      </c>
      <c r="K1033" s="72">
        <v>2439.6046999999999</v>
      </c>
      <c r="L1033" s="72">
        <v>41.935099999999998</v>
      </c>
      <c r="M1033" s="70">
        <v>26.3933</v>
      </c>
      <c r="N1033" s="77">
        <v>120.53</v>
      </c>
      <c r="O1033" s="70">
        <v>4</v>
      </c>
      <c r="P1033" s="70"/>
      <c r="Q1033" s="62" t="s">
        <v>258</v>
      </c>
    </row>
    <row r="1034" spans="1:17" ht="13.8" customHeight="1" x14ac:dyDescent="0.3">
      <c r="A1034" s="73" t="s">
        <v>355</v>
      </c>
      <c r="B1034" s="79">
        <v>46139</v>
      </c>
      <c r="C1034" s="73">
        <v>1197</v>
      </c>
      <c r="D1034" s="73" t="s">
        <v>256</v>
      </c>
      <c r="E1034" s="73">
        <v>4</v>
      </c>
      <c r="F1034" s="75" t="s">
        <v>257</v>
      </c>
      <c r="G1034" s="75" t="s">
        <v>257</v>
      </c>
      <c r="H1034" s="75">
        <v>11.5982</v>
      </c>
      <c r="I1034" s="75">
        <v>32995.253900000003</v>
      </c>
      <c r="J1034" s="73">
        <v>431.24329999999998</v>
      </c>
      <c r="K1034" s="75">
        <v>3024.8789000000002</v>
      </c>
      <c r="L1034" s="75">
        <v>39.462699999999998</v>
      </c>
      <c r="M1034" s="73">
        <v>16.7925</v>
      </c>
      <c r="N1034" s="76">
        <v>122.85</v>
      </c>
      <c r="O1034" s="73">
        <v>4</v>
      </c>
      <c r="P1034" s="73"/>
      <c r="Q1034" s="66" t="s">
        <v>258</v>
      </c>
    </row>
    <row r="1035" spans="1:17" ht="13.8" customHeight="1" x14ac:dyDescent="0.3">
      <c r="A1035" s="70" t="s">
        <v>355</v>
      </c>
      <c r="B1035" s="78">
        <v>46139</v>
      </c>
      <c r="C1035" s="70">
        <v>1198</v>
      </c>
      <c r="D1035" s="70" t="s">
        <v>256</v>
      </c>
      <c r="E1035" s="70">
        <v>5</v>
      </c>
      <c r="F1035" s="72">
        <v>4.5537999999999998</v>
      </c>
      <c r="G1035" s="72" t="s">
        <v>257</v>
      </c>
      <c r="H1035" s="72">
        <v>10.8482</v>
      </c>
      <c r="I1035" s="72">
        <v>31338.9512</v>
      </c>
      <c r="J1035" s="70">
        <v>441.49099999999999</v>
      </c>
      <c r="K1035" s="72">
        <v>2963.0796</v>
      </c>
      <c r="L1035" s="72">
        <v>34.9831</v>
      </c>
      <c r="M1035" s="70">
        <v>22.6751</v>
      </c>
      <c r="N1035" s="77">
        <v>120.11</v>
      </c>
      <c r="O1035" s="70">
        <v>4</v>
      </c>
      <c r="P1035" s="70"/>
      <c r="Q1035" s="62" t="s">
        <v>258</v>
      </c>
    </row>
    <row r="1036" spans="1:17" ht="13.8" customHeight="1" x14ac:dyDescent="0.3">
      <c r="A1036" s="73" t="s">
        <v>355</v>
      </c>
      <c r="B1036" s="79">
        <v>46139</v>
      </c>
      <c r="C1036" s="73">
        <v>1199</v>
      </c>
      <c r="D1036" s="73" t="s">
        <v>256</v>
      </c>
      <c r="E1036" s="73">
        <v>5</v>
      </c>
      <c r="F1036" s="75" t="s">
        <v>257</v>
      </c>
      <c r="G1036" s="75" t="s">
        <v>257</v>
      </c>
      <c r="H1036" s="75">
        <v>6.2409999999999997</v>
      </c>
      <c r="I1036" s="75">
        <v>33000.355499999998</v>
      </c>
      <c r="J1036" s="73">
        <v>489.70249999999999</v>
      </c>
      <c r="K1036" s="75">
        <v>2074.2766000000001</v>
      </c>
      <c r="L1036" s="75">
        <v>38.482999999999997</v>
      </c>
      <c r="M1036" s="73">
        <v>14.3874</v>
      </c>
      <c r="N1036" s="76">
        <v>120.54</v>
      </c>
      <c r="O1036" s="73">
        <v>4</v>
      </c>
      <c r="P1036" s="73"/>
      <c r="Q1036" s="66" t="s">
        <v>258</v>
      </c>
    </row>
    <row r="1037" spans="1:17" ht="13.8" customHeight="1" x14ac:dyDescent="0.3">
      <c r="A1037" s="70" t="s">
        <v>356</v>
      </c>
      <c r="B1037" s="78">
        <v>46139</v>
      </c>
      <c r="C1037" s="70">
        <v>1201</v>
      </c>
      <c r="D1037" s="70" t="s">
        <v>256</v>
      </c>
      <c r="E1037" s="70">
        <v>1</v>
      </c>
      <c r="F1037" s="72">
        <v>2.7675999999999998</v>
      </c>
      <c r="G1037" s="72">
        <v>7.7126999999999999</v>
      </c>
      <c r="H1037" s="72">
        <v>13.486499999999999</v>
      </c>
      <c r="I1037" s="72">
        <v>9488.1396000000004</v>
      </c>
      <c r="J1037" s="70" t="s">
        <v>257</v>
      </c>
      <c r="K1037" s="72">
        <v>24924.652300000002</v>
      </c>
      <c r="L1037" s="72" t="s">
        <v>257</v>
      </c>
      <c r="M1037" s="70">
        <v>25.5106</v>
      </c>
      <c r="N1037" s="77">
        <v>122.82</v>
      </c>
      <c r="O1037" s="70">
        <v>4</v>
      </c>
      <c r="P1037" s="70"/>
      <c r="Q1037" s="62" t="s">
        <v>258</v>
      </c>
    </row>
    <row r="1038" spans="1:17" ht="13.8" customHeight="1" x14ac:dyDescent="0.3">
      <c r="A1038" s="73" t="s">
        <v>356</v>
      </c>
      <c r="B1038" s="79">
        <v>46139</v>
      </c>
      <c r="C1038" s="73">
        <v>1202</v>
      </c>
      <c r="D1038" s="73" t="s">
        <v>256</v>
      </c>
      <c r="E1038" s="73">
        <v>1</v>
      </c>
      <c r="F1038" s="75">
        <v>2.7887</v>
      </c>
      <c r="G1038" s="75" t="s">
        <v>257</v>
      </c>
      <c r="H1038" s="75">
        <v>10.5511</v>
      </c>
      <c r="I1038" s="75">
        <v>8701.0156000000006</v>
      </c>
      <c r="J1038" s="73" t="s">
        <v>257</v>
      </c>
      <c r="K1038" s="75">
        <v>10803.332</v>
      </c>
      <c r="L1038" s="75" t="s">
        <v>257</v>
      </c>
      <c r="M1038" s="73">
        <v>17.263300000000001</v>
      </c>
      <c r="N1038" s="76">
        <v>123.14</v>
      </c>
      <c r="O1038" s="73">
        <v>4</v>
      </c>
      <c r="P1038" s="73"/>
      <c r="Q1038" s="66" t="s">
        <v>258</v>
      </c>
    </row>
    <row r="1039" spans="1:17" ht="13.8" customHeight="1" x14ac:dyDescent="0.3">
      <c r="A1039" s="70" t="s">
        <v>356</v>
      </c>
      <c r="B1039" s="78">
        <v>46139</v>
      </c>
      <c r="C1039" s="70">
        <v>1203</v>
      </c>
      <c r="D1039" s="70" t="s">
        <v>256</v>
      </c>
      <c r="E1039" s="70">
        <v>2</v>
      </c>
      <c r="F1039" s="72">
        <v>3.6640000000000001</v>
      </c>
      <c r="G1039" s="72">
        <v>31.5106</v>
      </c>
      <c r="H1039" s="72">
        <v>27.8399</v>
      </c>
      <c r="I1039" s="72">
        <v>11163.3447</v>
      </c>
      <c r="J1039" s="70" t="s">
        <v>257</v>
      </c>
      <c r="K1039" s="72">
        <v>10479.498</v>
      </c>
      <c r="L1039" s="72" t="s">
        <v>257</v>
      </c>
      <c r="M1039" s="70" t="s">
        <v>257</v>
      </c>
      <c r="N1039" s="77">
        <v>122.71</v>
      </c>
      <c r="O1039" s="70">
        <v>4</v>
      </c>
      <c r="P1039" s="70"/>
      <c r="Q1039" s="62" t="s">
        <v>258</v>
      </c>
    </row>
    <row r="1040" spans="1:17" ht="13.8" customHeight="1" x14ac:dyDescent="0.3">
      <c r="A1040" s="73" t="s">
        <v>356</v>
      </c>
      <c r="B1040" s="79">
        <v>46139</v>
      </c>
      <c r="C1040" s="73">
        <v>1204</v>
      </c>
      <c r="D1040" s="73" t="s">
        <v>256</v>
      </c>
      <c r="E1040" s="73">
        <v>2</v>
      </c>
      <c r="F1040" s="75">
        <v>21.659700000000001</v>
      </c>
      <c r="G1040" s="75">
        <v>31.6191</v>
      </c>
      <c r="H1040" s="75">
        <v>38.932200000000002</v>
      </c>
      <c r="I1040" s="75">
        <v>12672.3555</v>
      </c>
      <c r="J1040" s="73" t="s">
        <v>257</v>
      </c>
      <c r="K1040" s="75">
        <v>8442.7139000000006</v>
      </c>
      <c r="L1040" s="75" t="s">
        <v>257</v>
      </c>
      <c r="M1040" s="73" t="s">
        <v>257</v>
      </c>
      <c r="N1040" s="76">
        <v>120.62</v>
      </c>
      <c r="O1040" s="73">
        <v>4</v>
      </c>
      <c r="P1040" s="73"/>
      <c r="Q1040" s="66" t="s">
        <v>258</v>
      </c>
    </row>
    <row r="1041" spans="1:17" ht="13.8" customHeight="1" x14ac:dyDescent="0.3">
      <c r="A1041" s="70" t="s">
        <v>356</v>
      </c>
      <c r="B1041" s="78">
        <v>46139</v>
      </c>
      <c r="C1041" s="70">
        <v>1205</v>
      </c>
      <c r="D1041" s="70" t="s">
        <v>256</v>
      </c>
      <c r="E1041" s="70">
        <v>3</v>
      </c>
      <c r="F1041" s="72" t="s">
        <v>257</v>
      </c>
      <c r="G1041" s="72">
        <v>2.6358999999999999</v>
      </c>
      <c r="H1041" s="72">
        <v>11.984500000000001</v>
      </c>
      <c r="I1041" s="72">
        <v>8988.3379000000004</v>
      </c>
      <c r="J1041" s="70" t="s">
        <v>257</v>
      </c>
      <c r="K1041" s="72">
        <v>38762.203099999999</v>
      </c>
      <c r="L1041" s="72" t="s">
        <v>257</v>
      </c>
      <c r="M1041" s="70">
        <v>9.1343999999999994</v>
      </c>
      <c r="N1041" s="77">
        <v>122.82</v>
      </c>
      <c r="O1041" s="70">
        <v>4</v>
      </c>
      <c r="P1041" s="70"/>
      <c r="Q1041" s="62" t="s">
        <v>258</v>
      </c>
    </row>
    <row r="1042" spans="1:17" ht="13.8" customHeight="1" x14ac:dyDescent="0.3">
      <c r="A1042" s="73" t="s">
        <v>356</v>
      </c>
      <c r="B1042" s="79">
        <v>46139</v>
      </c>
      <c r="C1042" s="73">
        <v>1206</v>
      </c>
      <c r="D1042" s="73" t="s">
        <v>256</v>
      </c>
      <c r="E1042" s="73">
        <v>3</v>
      </c>
      <c r="F1042" s="75" t="s">
        <v>257</v>
      </c>
      <c r="G1042" s="75">
        <v>2.3900999999999999</v>
      </c>
      <c r="H1042" s="75">
        <v>11.304</v>
      </c>
      <c r="I1042" s="75">
        <v>7201.7974000000004</v>
      </c>
      <c r="J1042" s="73" t="s">
        <v>257</v>
      </c>
      <c r="K1042" s="75">
        <v>6209.2870999999996</v>
      </c>
      <c r="L1042" s="75" t="s">
        <v>257</v>
      </c>
      <c r="M1042" s="73">
        <v>18.263200000000001</v>
      </c>
      <c r="N1042" s="76">
        <v>120.45</v>
      </c>
      <c r="O1042" s="73">
        <v>4</v>
      </c>
      <c r="P1042" s="73"/>
      <c r="Q1042" s="66" t="s">
        <v>258</v>
      </c>
    </row>
    <row r="1043" spans="1:17" ht="13.8" customHeight="1" x14ac:dyDescent="0.3">
      <c r="A1043" s="70" t="s">
        <v>356</v>
      </c>
      <c r="B1043" s="78">
        <v>46139</v>
      </c>
      <c r="C1043" s="70">
        <v>1207</v>
      </c>
      <c r="D1043" s="70" t="s">
        <v>256</v>
      </c>
      <c r="E1043" s="70">
        <v>4</v>
      </c>
      <c r="F1043" s="72" t="s">
        <v>257</v>
      </c>
      <c r="G1043" s="72" t="s">
        <v>257</v>
      </c>
      <c r="H1043" s="72">
        <v>7.8971999999999998</v>
      </c>
      <c r="I1043" s="72">
        <v>26334.3145</v>
      </c>
      <c r="J1043" s="70">
        <v>391.16770000000002</v>
      </c>
      <c r="K1043" s="72">
        <v>3635.2746999999999</v>
      </c>
      <c r="L1043" s="72">
        <v>30.488700000000001</v>
      </c>
      <c r="M1043" s="70">
        <v>14.947900000000001</v>
      </c>
      <c r="N1043" s="77">
        <v>120.45</v>
      </c>
      <c r="O1043" s="70">
        <v>4</v>
      </c>
      <c r="P1043" s="70"/>
      <c r="Q1043" s="62" t="s">
        <v>258</v>
      </c>
    </row>
    <row r="1044" spans="1:17" ht="13.8" customHeight="1" x14ac:dyDescent="0.3">
      <c r="A1044" s="73" t="s">
        <v>356</v>
      </c>
      <c r="B1044" s="79">
        <v>46139</v>
      </c>
      <c r="C1044" s="73">
        <v>1208</v>
      </c>
      <c r="D1044" s="73" t="s">
        <v>256</v>
      </c>
      <c r="E1044" s="73">
        <v>4</v>
      </c>
      <c r="F1044" s="75" t="s">
        <v>257</v>
      </c>
      <c r="G1044" s="75" t="s">
        <v>257</v>
      </c>
      <c r="H1044" s="75" t="s">
        <v>257</v>
      </c>
      <c r="I1044" s="75" t="s">
        <v>257</v>
      </c>
      <c r="J1044" s="73">
        <v>647.70699999999999</v>
      </c>
      <c r="K1044" s="75">
        <v>64367.335899999998</v>
      </c>
      <c r="L1044" s="75" t="s">
        <v>257</v>
      </c>
      <c r="M1044" s="73" t="s">
        <v>257</v>
      </c>
      <c r="N1044" s="76">
        <v>123.29</v>
      </c>
      <c r="O1044" s="73">
        <v>4</v>
      </c>
      <c r="P1044" s="73" t="s">
        <v>357</v>
      </c>
      <c r="Q1044" s="66" t="s">
        <v>258</v>
      </c>
    </row>
    <row r="1045" spans="1:17" ht="13.8" customHeight="1" x14ac:dyDescent="0.3">
      <c r="A1045" s="70" t="s">
        <v>356</v>
      </c>
      <c r="B1045" s="78">
        <v>46139</v>
      </c>
      <c r="C1045" s="70">
        <v>1209</v>
      </c>
      <c r="D1045" s="70" t="s">
        <v>256</v>
      </c>
      <c r="E1045" s="70">
        <v>5</v>
      </c>
      <c r="F1045" s="72" t="s">
        <v>257</v>
      </c>
      <c r="G1045" s="72">
        <v>2.6105</v>
      </c>
      <c r="H1045" s="72">
        <v>57.532699999999998</v>
      </c>
      <c r="I1045" s="72">
        <v>3617.9739</v>
      </c>
      <c r="J1045" s="70" t="s">
        <v>257</v>
      </c>
      <c r="K1045" s="72">
        <v>51583.050799999997</v>
      </c>
      <c r="L1045" s="72" t="s">
        <v>257</v>
      </c>
      <c r="M1045" s="70" t="s">
        <v>257</v>
      </c>
      <c r="N1045" s="77">
        <v>123.28</v>
      </c>
      <c r="O1045" s="70">
        <v>4</v>
      </c>
      <c r="P1045" s="70"/>
      <c r="Q1045" s="62" t="s">
        <v>258</v>
      </c>
    </row>
    <row r="1046" spans="1:17" ht="13.8" customHeight="1" x14ac:dyDescent="0.3">
      <c r="A1046" s="73" t="s">
        <v>356</v>
      </c>
      <c r="B1046" s="79">
        <v>46139</v>
      </c>
      <c r="C1046" s="73">
        <v>1210</v>
      </c>
      <c r="D1046" s="73" t="s">
        <v>256</v>
      </c>
      <c r="E1046" s="73">
        <v>5</v>
      </c>
      <c r="F1046" s="75">
        <v>5.7606000000000002</v>
      </c>
      <c r="G1046" s="75">
        <v>2.9599000000000002</v>
      </c>
      <c r="H1046" s="75">
        <v>101.73990000000001</v>
      </c>
      <c r="I1046" s="75">
        <v>16757.392599999999</v>
      </c>
      <c r="J1046" s="73" t="s">
        <v>257</v>
      </c>
      <c r="K1046" s="75">
        <v>47167.488299999997</v>
      </c>
      <c r="L1046" s="75" t="s">
        <v>257</v>
      </c>
      <c r="M1046" s="73">
        <v>8.7466000000000008</v>
      </c>
      <c r="N1046" s="76">
        <v>120.29</v>
      </c>
      <c r="O1046" s="73">
        <v>4</v>
      </c>
      <c r="P1046" s="73"/>
      <c r="Q1046" s="66" t="s">
        <v>258</v>
      </c>
    </row>
    <row r="1047" spans="1:17" ht="13.8" customHeight="1" x14ac:dyDescent="0.3">
      <c r="A1047" s="70" t="s">
        <v>358</v>
      </c>
      <c r="B1047" s="78">
        <v>46139</v>
      </c>
      <c r="C1047" s="70">
        <v>1211</v>
      </c>
      <c r="D1047" s="70" t="s">
        <v>256</v>
      </c>
      <c r="E1047" s="70">
        <v>1</v>
      </c>
      <c r="F1047" s="72" t="s">
        <v>257</v>
      </c>
      <c r="G1047" s="72">
        <v>5.3845999999999998</v>
      </c>
      <c r="H1047" s="72">
        <v>7.9519000000000002</v>
      </c>
      <c r="I1047" s="72">
        <v>18916.6191</v>
      </c>
      <c r="J1047" s="70" t="s">
        <v>257</v>
      </c>
      <c r="K1047" s="72">
        <v>22093.859400000001</v>
      </c>
      <c r="L1047" s="72" t="s">
        <v>257</v>
      </c>
      <c r="M1047" s="70" t="s">
        <v>257</v>
      </c>
      <c r="N1047" s="77">
        <v>123.27</v>
      </c>
      <c r="O1047" s="70">
        <v>4</v>
      </c>
      <c r="P1047" s="70"/>
      <c r="Q1047" s="62" t="s">
        <v>258</v>
      </c>
    </row>
    <row r="1048" spans="1:17" ht="13.8" customHeight="1" x14ac:dyDescent="0.3">
      <c r="A1048" s="73" t="s">
        <v>358</v>
      </c>
      <c r="B1048" s="79">
        <v>46139</v>
      </c>
      <c r="C1048" s="73">
        <v>1212</v>
      </c>
      <c r="D1048" s="73" t="s">
        <v>256</v>
      </c>
      <c r="E1048" s="73">
        <v>1</v>
      </c>
      <c r="F1048" s="75" t="s">
        <v>257</v>
      </c>
      <c r="G1048" s="75">
        <v>5.1708999999999996</v>
      </c>
      <c r="H1048" s="75">
        <v>8.1226000000000003</v>
      </c>
      <c r="I1048" s="75">
        <v>18273.775399999999</v>
      </c>
      <c r="J1048" s="73" t="s">
        <v>257</v>
      </c>
      <c r="K1048" s="75">
        <v>21623.1348</v>
      </c>
      <c r="L1048" s="75" t="s">
        <v>257</v>
      </c>
      <c r="M1048" s="73" t="s">
        <v>257</v>
      </c>
      <c r="N1048" s="76">
        <v>120.21</v>
      </c>
      <c r="O1048" s="73">
        <v>4</v>
      </c>
      <c r="P1048" s="73"/>
      <c r="Q1048" s="66" t="s">
        <v>258</v>
      </c>
    </row>
    <row r="1049" spans="1:17" ht="13.8" customHeight="1" x14ac:dyDescent="0.3">
      <c r="A1049" s="70" t="s">
        <v>358</v>
      </c>
      <c r="B1049" s="78">
        <v>46139</v>
      </c>
      <c r="C1049" s="70">
        <v>1213</v>
      </c>
      <c r="D1049" s="70" t="s">
        <v>256</v>
      </c>
      <c r="E1049" s="70">
        <v>2</v>
      </c>
      <c r="F1049" s="72">
        <v>3.9729999999999999</v>
      </c>
      <c r="G1049" s="72" t="s">
        <v>257</v>
      </c>
      <c r="H1049" s="72">
        <v>8.3002000000000002</v>
      </c>
      <c r="I1049" s="72">
        <v>55120.214800000002</v>
      </c>
      <c r="J1049" s="70">
        <v>878.11940000000004</v>
      </c>
      <c r="K1049" s="72">
        <v>15855.043</v>
      </c>
      <c r="L1049" s="72">
        <v>64.428100000000001</v>
      </c>
      <c r="M1049" s="70">
        <v>26.302700000000002</v>
      </c>
      <c r="N1049" s="77">
        <v>120.28</v>
      </c>
      <c r="O1049" s="70">
        <v>4</v>
      </c>
      <c r="P1049" s="70"/>
      <c r="Q1049" s="62" t="s">
        <v>258</v>
      </c>
    </row>
    <row r="1050" spans="1:17" ht="13.8" customHeight="1" x14ac:dyDescent="0.3">
      <c r="A1050" s="73" t="s">
        <v>358</v>
      </c>
      <c r="B1050" s="79">
        <v>46139</v>
      </c>
      <c r="C1050" s="73">
        <v>1214</v>
      </c>
      <c r="D1050" s="73" t="s">
        <v>256</v>
      </c>
      <c r="E1050" s="73">
        <v>2</v>
      </c>
      <c r="F1050" s="75">
        <v>6.1596000000000002</v>
      </c>
      <c r="G1050" s="75" t="s">
        <v>257</v>
      </c>
      <c r="H1050" s="75">
        <v>10.0456</v>
      </c>
      <c r="I1050" s="75">
        <v>54451.1875</v>
      </c>
      <c r="J1050" s="73">
        <v>855.32759999999996</v>
      </c>
      <c r="K1050" s="75">
        <v>16518.1777</v>
      </c>
      <c r="L1050" s="75">
        <v>63.353999999999999</v>
      </c>
      <c r="M1050" s="73">
        <v>26.728000000000002</v>
      </c>
      <c r="N1050" s="76">
        <v>120.42</v>
      </c>
      <c r="O1050" s="73">
        <v>4</v>
      </c>
      <c r="P1050" s="73"/>
      <c r="Q1050" s="66" t="s">
        <v>258</v>
      </c>
    </row>
    <row r="1051" spans="1:17" ht="13.8" customHeight="1" x14ac:dyDescent="0.3">
      <c r="A1051" s="70" t="s">
        <v>358</v>
      </c>
      <c r="B1051" s="78">
        <v>46139</v>
      </c>
      <c r="C1051" s="70">
        <v>1215</v>
      </c>
      <c r="D1051" s="70" t="s">
        <v>256</v>
      </c>
      <c r="E1051" s="70">
        <v>3</v>
      </c>
      <c r="F1051" s="72" t="s">
        <v>257</v>
      </c>
      <c r="G1051" s="72">
        <v>3.6619999999999999</v>
      </c>
      <c r="H1051" s="72">
        <v>16.682500000000001</v>
      </c>
      <c r="I1051" s="72">
        <v>8004.5438999999997</v>
      </c>
      <c r="J1051" s="70" t="s">
        <v>257</v>
      </c>
      <c r="K1051" s="72">
        <v>11927.7637</v>
      </c>
      <c r="L1051" s="72" t="s">
        <v>257</v>
      </c>
      <c r="M1051" s="70" t="s">
        <v>257</v>
      </c>
      <c r="N1051" s="77">
        <v>120.05</v>
      </c>
      <c r="O1051" s="70">
        <v>4</v>
      </c>
      <c r="P1051" s="70"/>
      <c r="Q1051" s="62" t="s">
        <v>258</v>
      </c>
    </row>
    <row r="1052" spans="1:17" ht="13.8" customHeight="1" x14ac:dyDescent="0.3">
      <c r="A1052" s="73" t="s">
        <v>358</v>
      </c>
      <c r="B1052" s="79">
        <v>46139</v>
      </c>
      <c r="C1052" s="73">
        <v>1216</v>
      </c>
      <c r="D1052" s="73" t="s">
        <v>256</v>
      </c>
      <c r="E1052" s="73">
        <v>3</v>
      </c>
      <c r="F1052" s="75" t="s">
        <v>257</v>
      </c>
      <c r="G1052" s="75">
        <v>5.0065999999999997</v>
      </c>
      <c r="H1052" s="75">
        <v>16.3461</v>
      </c>
      <c r="I1052" s="75">
        <v>7372.4989999999998</v>
      </c>
      <c r="J1052" s="73" t="s">
        <v>257</v>
      </c>
      <c r="K1052" s="75">
        <v>11819.830099999999</v>
      </c>
      <c r="L1052" s="75" t="s">
        <v>257</v>
      </c>
      <c r="M1052" s="73" t="s">
        <v>257</v>
      </c>
      <c r="N1052" s="76">
        <v>120.14</v>
      </c>
      <c r="O1052" s="73">
        <v>4</v>
      </c>
      <c r="P1052" s="73"/>
      <c r="Q1052" s="66" t="s">
        <v>258</v>
      </c>
    </row>
    <row r="1053" spans="1:17" ht="13.8" customHeight="1" x14ac:dyDescent="0.3">
      <c r="A1053" s="70" t="s">
        <v>358</v>
      </c>
      <c r="B1053" s="78">
        <v>46139</v>
      </c>
      <c r="C1053" s="70">
        <v>1217</v>
      </c>
      <c r="D1053" s="70" t="s">
        <v>256</v>
      </c>
      <c r="E1053" s="70">
        <v>4</v>
      </c>
      <c r="F1053" s="72" t="s">
        <v>257</v>
      </c>
      <c r="G1053" s="72" t="s">
        <v>257</v>
      </c>
      <c r="H1053" s="72">
        <v>11.262700000000001</v>
      </c>
      <c r="I1053" s="72">
        <v>4327.9321</v>
      </c>
      <c r="J1053" s="70">
        <v>24.499099999999999</v>
      </c>
      <c r="K1053" s="72">
        <v>8371.1054999999997</v>
      </c>
      <c r="L1053" s="72" t="s">
        <v>257</v>
      </c>
      <c r="M1053" s="70" t="s">
        <v>257</v>
      </c>
      <c r="N1053" s="77">
        <v>123.07</v>
      </c>
      <c r="O1053" s="70">
        <v>4</v>
      </c>
      <c r="P1053" s="70"/>
      <c r="Q1053" s="62" t="s">
        <v>258</v>
      </c>
    </row>
    <row r="1054" spans="1:17" ht="13.8" customHeight="1" x14ac:dyDescent="0.3">
      <c r="A1054" s="73" t="s">
        <v>358</v>
      </c>
      <c r="B1054" s="79">
        <v>46139</v>
      </c>
      <c r="C1054" s="73">
        <v>1218</v>
      </c>
      <c r="D1054" s="73" t="s">
        <v>256</v>
      </c>
      <c r="E1054" s="73">
        <v>4</v>
      </c>
      <c r="F1054" s="75" t="s">
        <v>257</v>
      </c>
      <c r="G1054" s="75" t="s">
        <v>257</v>
      </c>
      <c r="H1054" s="75">
        <v>9.1527999999999992</v>
      </c>
      <c r="I1054" s="75">
        <v>5022.5541999999996</v>
      </c>
      <c r="J1054" s="73">
        <v>56.068100000000001</v>
      </c>
      <c r="K1054" s="75">
        <v>9912.3320000000003</v>
      </c>
      <c r="L1054" s="75" t="s">
        <v>257</v>
      </c>
      <c r="M1054" s="73" t="s">
        <v>257</v>
      </c>
      <c r="N1054" s="76">
        <v>122.76</v>
      </c>
      <c r="O1054" s="73">
        <v>4</v>
      </c>
      <c r="P1054" s="73"/>
      <c r="Q1054" s="66" t="s">
        <v>258</v>
      </c>
    </row>
    <row r="1055" spans="1:17" ht="13.8" customHeight="1" x14ac:dyDescent="0.3">
      <c r="A1055" s="70" t="s">
        <v>358</v>
      </c>
      <c r="B1055" s="78">
        <v>46139</v>
      </c>
      <c r="C1055" s="70">
        <v>1219</v>
      </c>
      <c r="D1055" s="70" t="s">
        <v>256</v>
      </c>
      <c r="E1055" s="70">
        <v>5</v>
      </c>
      <c r="F1055" s="72" t="s">
        <v>257</v>
      </c>
      <c r="G1055" s="72" t="s">
        <v>257</v>
      </c>
      <c r="H1055" s="72">
        <v>18.5519</v>
      </c>
      <c r="I1055" s="72">
        <v>3159.7964000000002</v>
      </c>
      <c r="J1055" s="70">
        <v>356.14670000000001</v>
      </c>
      <c r="K1055" s="72">
        <v>35837.847699999998</v>
      </c>
      <c r="L1055" s="72">
        <v>29.765499999999999</v>
      </c>
      <c r="M1055" s="70">
        <v>3.8043999999999998</v>
      </c>
      <c r="N1055" s="77">
        <v>120.59</v>
      </c>
      <c r="O1055" s="70">
        <v>4</v>
      </c>
      <c r="P1055" s="70"/>
      <c r="Q1055" s="62" t="s">
        <v>258</v>
      </c>
    </row>
    <row r="1056" spans="1:17" ht="13.8" customHeight="1" x14ac:dyDescent="0.3">
      <c r="A1056" s="73" t="s">
        <v>358</v>
      </c>
      <c r="B1056" s="79">
        <v>46139</v>
      </c>
      <c r="C1056" s="73">
        <v>1220</v>
      </c>
      <c r="D1056" s="73" t="s">
        <v>256</v>
      </c>
      <c r="E1056" s="73">
        <v>5</v>
      </c>
      <c r="F1056" s="75" t="s">
        <v>257</v>
      </c>
      <c r="G1056" s="75" t="s">
        <v>257</v>
      </c>
      <c r="H1056" s="75">
        <v>20.1126</v>
      </c>
      <c r="I1056" s="75">
        <v>3170.4252999999999</v>
      </c>
      <c r="J1056" s="73">
        <v>348.49979999999999</v>
      </c>
      <c r="K1056" s="75">
        <v>35813.957000000002</v>
      </c>
      <c r="L1056" s="75">
        <v>30.8094</v>
      </c>
      <c r="M1056" s="73">
        <v>6.0038</v>
      </c>
      <c r="N1056" s="76">
        <v>123.15</v>
      </c>
      <c r="O1056" s="73">
        <v>4</v>
      </c>
      <c r="P1056" s="73"/>
      <c r="Q1056" s="66" t="s">
        <v>258</v>
      </c>
    </row>
    <row r="1057" spans="1:17" ht="13.8" customHeight="1" x14ac:dyDescent="0.3">
      <c r="A1057" s="70" t="s">
        <v>359</v>
      </c>
      <c r="B1057" s="78">
        <v>46139</v>
      </c>
      <c r="C1057" s="70">
        <v>12</v>
      </c>
      <c r="D1057" s="70" t="s">
        <v>256</v>
      </c>
      <c r="E1057" s="70">
        <v>1</v>
      </c>
      <c r="F1057" s="72">
        <v>4.9047000000000001</v>
      </c>
      <c r="G1057" s="72" t="s">
        <v>257</v>
      </c>
      <c r="H1057" s="72">
        <v>8.3339999999999996</v>
      </c>
      <c r="I1057" s="72">
        <v>32468.291000000001</v>
      </c>
      <c r="J1057" s="70">
        <v>250.86959999999999</v>
      </c>
      <c r="K1057" s="72">
        <v>9126.5995999999996</v>
      </c>
      <c r="L1057" s="72">
        <v>9.8896999999999995</v>
      </c>
      <c r="M1057" s="70" t="s">
        <v>257</v>
      </c>
      <c r="N1057" s="77">
        <v>120.42</v>
      </c>
      <c r="O1057" s="70">
        <v>4</v>
      </c>
      <c r="P1057" s="70"/>
      <c r="Q1057" s="62" t="s">
        <v>360</v>
      </c>
    </row>
    <row r="1058" spans="1:17" ht="13.8" customHeight="1" x14ac:dyDescent="0.3">
      <c r="A1058" s="73" t="s">
        <v>359</v>
      </c>
      <c r="B1058" s="79">
        <v>46139</v>
      </c>
      <c r="C1058" s="73">
        <v>13</v>
      </c>
      <c r="D1058" s="73" t="s">
        <v>256</v>
      </c>
      <c r="E1058" s="73">
        <v>1</v>
      </c>
      <c r="F1058" s="75">
        <v>17.0823</v>
      </c>
      <c r="G1058" s="75">
        <v>1.4783999999999999</v>
      </c>
      <c r="H1058" s="75">
        <v>8.3618000000000006</v>
      </c>
      <c r="I1058" s="75">
        <v>62616.699200000003</v>
      </c>
      <c r="J1058" s="73">
        <v>229.62010000000001</v>
      </c>
      <c r="K1058" s="75">
        <v>31628.8145</v>
      </c>
      <c r="L1058" s="75">
        <v>13.5154</v>
      </c>
      <c r="M1058" s="73">
        <v>12.194100000000001</v>
      </c>
      <c r="N1058" s="76">
        <v>120.58</v>
      </c>
      <c r="O1058" s="73">
        <v>4</v>
      </c>
      <c r="P1058" s="73"/>
      <c r="Q1058" s="66" t="s">
        <v>360</v>
      </c>
    </row>
    <row r="1059" spans="1:17" ht="13.8" customHeight="1" x14ac:dyDescent="0.3">
      <c r="A1059" s="70" t="s">
        <v>359</v>
      </c>
      <c r="B1059" s="78">
        <v>46139</v>
      </c>
      <c r="C1059" s="70">
        <v>14</v>
      </c>
      <c r="D1059" s="70" t="s">
        <v>256</v>
      </c>
      <c r="E1059" s="70">
        <v>1</v>
      </c>
      <c r="F1059" s="72">
        <v>26.152999999999999</v>
      </c>
      <c r="G1059" s="72" t="s">
        <v>257</v>
      </c>
      <c r="H1059" s="72">
        <v>12.425800000000001</v>
      </c>
      <c r="I1059" s="72">
        <v>40337.410199999998</v>
      </c>
      <c r="J1059" s="70">
        <v>230.3723</v>
      </c>
      <c r="K1059" s="72">
        <v>11192.6016</v>
      </c>
      <c r="L1059" s="72">
        <v>16.334199999999999</v>
      </c>
      <c r="M1059" s="70">
        <v>19.127800000000001</v>
      </c>
      <c r="N1059" s="77">
        <v>127.99</v>
      </c>
      <c r="O1059" s="70">
        <v>4</v>
      </c>
      <c r="P1059" s="70"/>
      <c r="Q1059" s="62" t="s">
        <v>360</v>
      </c>
    </row>
    <row r="1060" spans="1:17" ht="13.8" customHeight="1" x14ac:dyDescent="0.3">
      <c r="A1060" s="73" t="s">
        <v>359</v>
      </c>
      <c r="B1060" s="79">
        <v>46139</v>
      </c>
      <c r="C1060" s="73">
        <v>15</v>
      </c>
      <c r="D1060" s="73" t="s">
        <v>256</v>
      </c>
      <c r="E1060" s="73">
        <v>2</v>
      </c>
      <c r="F1060" s="75" t="s">
        <v>257</v>
      </c>
      <c r="G1060" s="75" t="s">
        <v>257</v>
      </c>
      <c r="H1060" s="75">
        <v>7.7633000000000001</v>
      </c>
      <c r="I1060" s="75">
        <v>34863.492200000001</v>
      </c>
      <c r="J1060" s="73">
        <v>522.08010000000002</v>
      </c>
      <c r="K1060" s="75">
        <v>9859.6074000000008</v>
      </c>
      <c r="L1060" s="75">
        <v>22.927600000000002</v>
      </c>
      <c r="M1060" s="73">
        <v>5.9138000000000002</v>
      </c>
      <c r="N1060" s="76">
        <v>120.77</v>
      </c>
      <c r="O1060" s="73">
        <v>4</v>
      </c>
      <c r="P1060" s="73"/>
      <c r="Q1060" s="66" t="s">
        <v>360</v>
      </c>
    </row>
    <row r="1061" spans="1:17" ht="13.8" customHeight="1" x14ac:dyDescent="0.3">
      <c r="A1061" s="70" t="s">
        <v>359</v>
      </c>
      <c r="B1061" s="78">
        <v>46139</v>
      </c>
      <c r="C1061" s="70">
        <v>16</v>
      </c>
      <c r="D1061" s="70" t="s">
        <v>256</v>
      </c>
      <c r="E1061" s="70">
        <v>2</v>
      </c>
      <c r="F1061" s="72" t="s">
        <v>257</v>
      </c>
      <c r="G1061" s="72" t="s">
        <v>257</v>
      </c>
      <c r="H1061" s="72" t="s">
        <v>257</v>
      </c>
      <c r="I1061" s="72" t="s">
        <v>257</v>
      </c>
      <c r="J1061" s="70">
        <v>591.55250000000001</v>
      </c>
      <c r="K1061" s="72">
        <v>27598.929700000001</v>
      </c>
      <c r="L1061" s="72" t="s">
        <v>257</v>
      </c>
      <c r="M1061" s="70" t="s">
        <v>257</v>
      </c>
      <c r="N1061" s="77">
        <v>126.17</v>
      </c>
      <c r="O1061" s="70">
        <v>4</v>
      </c>
      <c r="P1061" s="70" t="s">
        <v>357</v>
      </c>
      <c r="Q1061" s="62" t="s">
        <v>360</v>
      </c>
    </row>
    <row r="1062" spans="1:17" ht="13.8" customHeight="1" x14ac:dyDescent="0.3">
      <c r="A1062" s="73" t="s">
        <v>359</v>
      </c>
      <c r="B1062" s="79">
        <v>46139</v>
      </c>
      <c r="C1062" s="73">
        <v>17</v>
      </c>
      <c r="D1062" s="73" t="s">
        <v>256</v>
      </c>
      <c r="E1062" s="73">
        <v>3</v>
      </c>
      <c r="F1062" s="75">
        <v>3.0547</v>
      </c>
      <c r="G1062" s="75" t="s">
        <v>257</v>
      </c>
      <c r="H1062" s="75">
        <v>9.3701000000000008</v>
      </c>
      <c r="I1062" s="75">
        <v>42319.457000000002</v>
      </c>
      <c r="J1062" s="73">
        <v>555.87919999999997</v>
      </c>
      <c r="K1062" s="75">
        <v>8122.4174999999996</v>
      </c>
      <c r="L1062" s="75">
        <v>36.433900000000001</v>
      </c>
      <c r="M1062" s="73">
        <v>5.6562000000000001</v>
      </c>
      <c r="N1062" s="76">
        <v>130.43</v>
      </c>
      <c r="O1062" s="73">
        <v>4</v>
      </c>
      <c r="P1062" s="73"/>
      <c r="Q1062" s="66" t="s">
        <v>360</v>
      </c>
    </row>
    <row r="1063" spans="1:17" ht="13.8" customHeight="1" x14ac:dyDescent="0.3">
      <c r="A1063" s="70" t="s">
        <v>359</v>
      </c>
      <c r="B1063" s="78">
        <v>46139</v>
      </c>
      <c r="C1063" s="70">
        <v>18</v>
      </c>
      <c r="D1063" s="70" t="s">
        <v>256</v>
      </c>
      <c r="E1063" s="70">
        <v>3</v>
      </c>
      <c r="F1063" s="72" t="s">
        <v>257</v>
      </c>
      <c r="G1063" s="72" t="s">
        <v>257</v>
      </c>
      <c r="H1063" s="72" t="s">
        <v>257</v>
      </c>
      <c r="I1063" s="72" t="s">
        <v>257</v>
      </c>
      <c r="J1063" s="70">
        <v>476.05250000000001</v>
      </c>
      <c r="K1063" s="72">
        <v>9701.3798999999999</v>
      </c>
      <c r="L1063" s="72" t="s">
        <v>257</v>
      </c>
      <c r="M1063" s="70" t="s">
        <v>257</v>
      </c>
      <c r="N1063" s="77">
        <v>125.96</v>
      </c>
      <c r="O1063" s="70">
        <v>4</v>
      </c>
      <c r="P1063" s="70" t="s">
        <v>357</v>
      </c>
      <c r="Q1063" s="62" t="s">
        <v>360</v>
      </c>
    </row>
    <row r="1064" spans="1:17" ht="13.8" customHeight="1" x14ac:dyDescent="0.3">
      <c r="A1064" s="73" t="s">
        <v>359</v>
      </c>
      <c r="B1064" s="79">
        <v>46139</v>
      </c>
      <c r="C1064" s="73">
        <v>19</v>
      </c>
      <c r="D1064" s="73" t="s">
        <v>256</v>
      </c>
      <c r="E1064" s="73">
        <v>4</v>
      </c>
      <c r="F1064" s="75" t="s">
        <v>257</v>
      </c>
      <c r="G1064" s="75" t="s">
        <v>257</v>
      </c>
      <c r="H1064" s="75">
        <v>8.7750000000000004</v>
      </c>
      <c r="I1064" s="75">
        <v>32735.910199999998</v>
      </c>
      <c r="J1064" s="73">
        <v>529.79</v>
      </c>
      <c r="K1064" s="75">
        <v>5320.8729999999996</v>
      </c>
      <c r="L1064" s="75">
        <v>30.358000000000001</v>
      </c>
      <c r="M1064" s="73" t="s">
        <v>257</v>
      </c>
      <c r="N1064" s="76">
        <v>120.86</v>
      </c>
      <c r="O1064" s="73">
        <v>4</v>
      </c>
      <c r="P1064" s="73"/>
      <c r="Q1064" s="66" t="s">
        <v>360</v>
      </c>
    </row>
    <row r="1065" spans="1:17" ht="13.8" customHeight="1" x14ac:dyDescent="0.3">
      <c r="A1065" s="70" t="s">
        <v>359</v>
      </c>
      <c r="B1065" s="78">
        <v>46139</v>
      </c>
      <c r="C1065" s="70">
        <v>20</v>
      </c>
      <c r="D1065" s="70" t="s">
        <v>256</v>
      </c>
      <c r="E1065" s="70">
        <v>4</v>
      </c>
      <c r="F1065" s="72" t="s">
        <v>257</v>
      </c>
      <c r="G1065" s="72" t="s">
        <v>257</v>
      </c>
      <c r="H1065" s="72">
        <v>6.8357999999999999</v>
      </c>
      <c r="I1065" s="72">
        <v>50360.308599999997</v>
      </c>
      <c r="J1065" s="70">
        <v>330.834</v>
      </c>
      <c r="K1065" s="72">
        <v>10053.5</v>
      </c>
      <c r="L1065" s="72">
        <v>26.240600000000001</v>
      </c>
      <c r="M1065" s="70">
        <v>6.8148</v>
      </c>
      <c r="N1065" s="77">
        <v>120.89</v>
      </c>
      <c r="O1065" s="70">
        <v>4</v>
      </c>
      <c r="P1065" s="70"/>
      <c r="Q1065" s="62" t="s">
        <v>360</v>
      </c>
    </row>
    <row r="1066" spans="1:17" ht="13.8" customHeight="1" x14ac:dyDescent="0.3">
      <c r="A1066" s="73" t="s">
        <v>359</v>
      </c>
      <c r="B1066" s="79">
        <v>46139</v>
      </c>
      <c r="C1066" s="73">
        <v>21</v>
      </c>
      <c r="D1066" s="73" t="s">
        <v>256</v>
      </c>
      <c r="E1066" s="73">
        <v>5</v>
      </c>
      <c r="F1066" s="75">
        <v>4.5010000000000003</v>
      </c>
      <c r="G1066" s="75" t="s">
        <v>257</v>
      </c>
      <c r="H1066" s="75">
        <v>8.6998999999999995</v>
      </c>
      <c r="I1066" s="75">
        <v>41057.410199999998</v>
      </c>
      <c r="J1066" s="73">
        <v>509.10550000000001</v>
      </c>
      <c r="K1066" s="75">
        <v>9848.5303000000004</v>
      </c>
      <c r="L1066" s="75">
        <v>31.111899999999999</v>
      </c>
      <c r="M1066" s="73">
        <v>6.5521000000000003</v>
      </c>
      <c r="N1066" s="76">
        <v>126.03</v>
      </c>
      <c r="O1066" s="73">
        <v>4</v>
      </c>
      <c r="P1066" s="73"/>
      <c r="Q1066" s="66" t="s">
        <v>360</v>
      </c>
    </row>
    <row r="1067" spans="1:17" ht="13.8" customHeight="1" x14ac:dyDescent="0.3">
      <c r="A1067" s="70" t="s">
        <v>359</v>
      </c>
      <c r="B1067" s="78">
        <v>46139</v>
      </c>
      <c r="C1067" s="70">
        <v>22</v>
      </c>
      <c r="D1067" s="70" t="s">
        <v>256</v>
      </c>
      <c r="E1067" s="70">
        <v>5</v>
      </c>
      <c r="F1067" s="72">
        <v>4.7713999999999999</v>
      </c>
      <c r="G1067" s="72" t="s">
        <v>257</v>
      </c>
      <c r="H1067" s="72">
        <v>8.5061</v>
      </c>
      <c r="I1067" s="72">
        <v>40483.824200000003</v>
      </c>
      <c r="J1067" s="70">
        <v>431.51819999999998</v>
      </c>
      <c r="K1067" s="72">
        <v>13315.0371</v>
      </c>
      <c r="L1067" s="72">
        <v>29.5838</v>
      </c>
      <c r="M1067" s="70">
        <v>7.8434999999999997</v>
      </c>
      <c r="N1067" s="77">
        <v>120.77</v>
      </c>
      <c r="O1067" s="70">
        <v>4</v>
      </c>
      <c r="P1067" s="70"/>
      <c r="Q1067" s="62" t="s">
        <v>360</v>
      </c>
    </row>
    <row r="1068" spans="1:17" ht="13.8" customHeight="1" x14ac:dyDescent="0.3">
      <c r="A1068" s="73" t="s">
        <v>361</v>
      </c>
      <c r="B1068" s="79">
        <v>46139</v>
      </c>
      <c r="C1068" s="73">
        <v>23</v>
      </c>
      <c r="D1068" s="73" t="s">
        <v>256</v>
      </c>
      <c r="E1068" s="73">
        <v>1</v>
      </c>
      <c r="F1068" s="75" t="s">
        <v>257</v>
      </c>
      <c r="G1068" s="75" t="s">
        <v>257</v>
      </c>
      <c r="H1068" s="75">
        <v>9.3946000000000005</v>
      </c>
      <c r="I1068" s="75">
        <v>13499.198200000001</v>
      </c>
      <c r="J1068" s="73" t="s">
        <v>257</v>
      </c>
      <c r="K1068" s="75">
        <v>8902.3281000000006</v>
      </c>
      <c r="L1068" s="75" t="s">
        <v>257</v>
      </c>
      <c r="M1068" s="73" t="s">
        <v>257</v>
      </c>
      <c r="N1068" s="76">
        <v>120.81</v>
      </c>
      <c r="O1068" s="73">
        <v>4</v>
      </c>
      <c r="P1068" s="73"/>
      <c r="Q1068" s="66" t="s">
        <v>360</v>
      </c>
    </row>
    <row r="1069" spans="1:17" ht="13.8" customHeight="1" x14ac:dyDescent="0.3">
      <c r="A1069" s="70" t="s">
        <v>361</v>
      </c>
      <c r="B1069" s="78">
        <v>46139</v>
      </c>
      <c r="C1069" s="70">
        <v>24</v>
      </c>
      <c r="D1069" s="70" t="s">
        <v>256</v>
      </c>
      <c r="E1069" s="70">
        <v>1</v>
      </c>
      <c r="F1069" s="72" t="s">
        <v>257</v>
      </c>
      <c r="G1069" s="72" t="s">
        <v>257</v>
      </c>
      <c r="H1069" s="72">
        <v>16.707100000000001</v>
      </c>
      <c r="I1069" s="72">
        <v>15487.8691</v>
      </c>
      <c r="J1069" s="70" t="s">
        <v>257</v>
      </c>
      <c r="K1069" s="72">
        <v>8201.9892999999993</v>
      </c>
      <c r="L1069" s="72" t="s">
        <v>257</v>
      </c>
      <c r="M1069" s="70" t="s">
        <v>257</v>
      </c>
      <c r="N1069" s="77">
        <v>120.61</v>
      </c>
      <c r="O1069" s="70">
        <v>4</v>
      </c>
      <c r="P1069" s="70"/>
      <c r="Q1069" s="62" t="s">
        <v>360</v>
      </c>
    </row>
    <row r="1070" spans="1:17" ht="13.8" customHeight="1" x14ac:dyDescent="0.3">
      <c r="A1070" s="73" t="s">
        <v>361</v>
      </c>
      <c r="B1070" s="79">
        <v>46139</v>
      </c>
      <c r="C1070" s="73">
        <v>25</v>
      </c>
      <c r="D1070" s="73" t="s">
        <v>256</v>
      </c>
      <c r="E1070" s="73">
        <v>2</v>
      </c>
      <c r="F1070" s="75">
        <v>3.863</v>
      </c>
      <c r="G1070" s="75" t="s">
        <v>257</v>
      </c>
      <c r="H1070" s="75">
        <v>9.8817000000000004</v>
      </c>
      <c r="I1070" s="75">
        <v>18720.1289</v>
      </c>
      <c r="J1070" s="73" t="s">
        <v>257</v>
      </c>
      <c r="K1070" s="75">
        <v>9040.2402000000002</v>
      </c>
      <c r="L1070" s="75" t="s">
        <v>257</v>
      </c>
      <c r="M1070" s="73">
        <v>6.7807000000000004</v>
      </c>
      <c r="N1070" s="76">
        <v>120.66</v>
      </c>
      <c r="O1070" s="73">
        <v>4</v>
      </c>
      <c r="P1070" s="73"/>
      <c r="Q1070" s="66" t="s">
        <v>360</v>
      </c>
    </row>
    <row r="1071" spans="1:17" ht="13.8" customHeight="1" x14ac:dyDescent="0.3">
      <c r="A1071" s="70" t="s">
        <v>361</v>
      </c>
      <c r="B1071" s="78">
        <v>46139</v>
      </c>
      <c r="C1071" s="70">
        <v>26</v>
      </c>
      <c r="D1071" s="70" t="s">
        <v>256</v>
      </c>
      <c r="E1071" s="70">
        <v>2</v>
      </c>
      <c r="F1071" s="72">
        <v>2.2511000000000001</v>
      </c>
      <c r="G1071" s="72" t="s">
        <v>257</v>
      </c>
      <c r="H1071" s="72">
        <v>7.4085999999999999</v>
      </c>
      <c r="I1071" s="72">
        <v>7823.1377000000002</v>
      </c>
      <c r="J1071" s="70" t="s">
        <v>257</v>
      </c>
      <c r="K1071" s="72">
        <v>4443.9395000000004</v>
      </c>
      <c r="L1071" s="72" t="s">
        <v>257</v>
      </c>
      <c r="M1071" s="70" t="s">
        <v>257</v>
      </c>
      <c r="N1071" s="77">
        <v>120.65</v>
      </c>
      <c r="O1071" s="70">
        <v>4</v>
      </c>
      <c r="P1071" s="70"/>
      <c r="Q1071" s="62" t="s">
        <v>360</v>
      </c>
    </row>
    <row r="1072" spans="1:17" ht="13.8" customHeight="1" x14ac:dyDescent="0.3">
      <c r="A1072" s="73" t="s">
        <v>361</v>
      </c>
      <c r="B1072" s="79">
        <v>46139</v>
      </c>
      <c r="C1072" s="73">
        <v>27</v>
      </c>
      <c r="D1072" s="73" t="s">
        <v>256</v>
      </c>
      <c r="E1072" s="73">
        <v>3</v>
      </c>
      <c r="F1072" s="75">
        <v>6.6532</v>
      </c>
      <c r="G1072" s="75" t="s">
        <v>257</v>
      </c>
      <c r="H1072" s="75">
        <v>8.2697000000000003</v>
      </c>
      <c r="I1072" s="75">
        <v>33872.316400000003</v>
      </c>
      <c r="J1072" s="73">
        <v>582.73379999999997</v>
      </c>
      <c r="K1072" s="75">
        <v>2928.8811000000001</v>
      </c>
      <c r="L1072" s="75">
        <v>32.5124</v>
      </c>
      <c r="M1072" s="73">
        <v>14.042400000000001</v>
      </c>
      <c r="N1072" s="76">
        <v>120.6</v>
      </c>
      <c r="O1072" s="73">
        <v>4</v>
      </c>
      <c r="P1072" s="73"/>
      <c r="Q1072" s="66" t="s">
        <v>360</v>
      </c>
    </row>
    <row r="1073" spans="1:17" ht="13.8" customHeight="1" x14ac:dyDescent="0.3">
      <c r="A1073" s="70" t="s">
        <v>361</v>
      </c>
      <c r="B1073" s="78">
        <v>46139</v>
      </c>
      <c r="C1073" s="70">
        <v>28</v>
      </c>
      <c r="D1073" s="70" t="s">
        <v>256</v>
      </c>
      <c r="E1073" s="70">
        <v>3</v>
      </c>
      <c r="F1073" s="72" t="s">
        <v>257</v>
      </c>
      <c r="G1073" s="72" t="s">
        <v>257</v>
      </c>
      <c r="H1073" s="72">
        <v>8.0673999999999992</v>
      </c>
      <c r="I1073" s="72">
        <v>25949.8086</v>
      </c>
      <c r="J1073" s="70">
        <v>417.90969999999999</v>
      </c>
      <c r="K1073" s="72">
        <v>2238.0774000000001</v>
      </c>
      <c r="L1073" s="72">
        <v>22.451599999999999</v>
      </c>
      <c r="M1073" s="70">
        <v>13.882999999999999</v>
      </c>
      <c r="N1073" s="77">
        <v>120.57</v>
      </c>
      <c r="O1073" s="70">
        <v>4</v>
      </c>
      <c r="P1073" s="70"/>
      <c r="Q1073" s="62" t="s">
        <v>360</v>
      </c>
    </row>
    <row r="1074" spans="1:17" ht="13.8" customHeight="1" x14ac:dyDescent="0.3">
      <c r="A1074" s="73" t="s">
        <v>361</v>
      </c>
      <c r="B1074" s="79">
        <v>46139</v>
      </c>
      <c r="C1074" s="73">
        <v>29</v>
      </c>
      <c r="D1074" s="73" t="s">
        <v>256</v>
      </c>
      <c r="E1074" s="73">
        <v>4</v>
      </c>
      <c r="F1074" s="75">
        <v>2.3833000000000002</v>
      </c>
      <c r="G1074" s="75">
        <v>1.2253000000000001</v>
      </c>
      <c r="H1074" s="75">
        <v>8.7731999999999992</v>
      </c>
      <c r="I1074" s="75">
        <v>12455.8174</v>
      </c>
      <c r="J1074" s="73" t="s">
        <v>257</v>
      </c>
      <c r="K1074" s="75">
        <v>4252.8247000000001</v>
      </c>
      <c r="L1074" s="75" t="s">
        <v>257</v>
      </c>
      <c r="M1074" s="73">
        <v>3.3374000000000001</v>
      </c>
      <c r="N1074" s="76">
        <v>127.9</v>
      </c>
      <c r="O1074" s="73">
        <v>4</v>
      </c>
      <c r="P1074" s="73"/>
      <c r="Q1074" s="66" t="s">
        <v>360</v>
      </c>
    </row>
    <row r="1075" spans="1:17" ht="13.8" customHeight="1" x14ac:dyDescent="0.3">
      <c r="A1075" s="70" t="s">
        <v>361</v>
      </c>
      <c r="B1075" s="78">
        <v>46139</v>
      </c>
      <c r="C1075" s="70">
        <v>30</v>
      </c>
      <c r="D1075" s="70" t="s">
        <v>256</v>
      </c>
      <c r="E1075" s="70">
        <v>4</v>
      </c>
      <c r="F1075" s="72" t="s">
        <v>257</v>
      </c>
      <c r="G1075" s="72" t="s">
        <v>257</v>
      </c>
      <c r="H1075" s="72">
        <v>6.7346000000000004</v>
      </c>
      <c r="I1075" s="72">
        <v>5294.5181000000002</v>
      </c>
      <c r="J1075" s="70" t="s">
        <v>257</v>
      </c>
      <c r="K1075" s="72">
        <v>2400.8915999999999</v>
      </c>
      <c r="L1075" s="72" t="s">
        <v>257</v>
      </c>
      <c r="M1075" s="70" t="s">
        <v>257</v>
      </c>
      <c r="N1075" s="77">
        <v>126.12</v>
      </c>
      <c r="O1075" s="70">
        <v>4</v>
      </c>
      <c r="P1075" s="70"/>
      <c r="Q1075" s="62" t="s">
        <v>360</v>
      </c>
    </row>
    <row r="1076" spans="1:17" ht="13.8" customHeight="1" x14ac:dyDescent="0.3">
      <c r="A1076" s="73" t="s">
        <v>361</v>
      </c>
      <c r="B1076" s="79">
        <v>46139</v>
      </c>
      <c r="C1076" s="73">
        <v>31</v>
      </c>
      <c r="D1076" s="73" t="s">
        <v>256</v>
      </c>
      <c r="E1076" s="73">
        <v>5</v>
      </c>
      <c r="F1076" s="75" t="s">
        <v>257</v>
      </c>
      <c r="G1076" s="75" t="s">
        <v>257</v>
      </c>
      <c r="H1076" s="75" t="s">
        <v>257</v>
      </c>
      <c r="I1076" s="75">
        <v>29.3565</v>
      </c>
      <c r="J1076" s="73">
        <v>1096.9779000000001</v>
      </c>
      <c r="K1076" s="75">
        <v>26569.580099999999</v>
      </c>
      <c r="L1076" s="75" t="s">
        <v>257</v>
      </c>
      <c r="M1076" s="73" t="s">
        <v>257</v>
      </c>
      <c r="N1076" s="76">
        <v>126.22</v>
      </c>
      <c r="O1076" s="73">
        <v>4</v>
      </c>
      <c r="P1076" s="73" t="s">
        <v>362</v>
      </c>
      <c r="Q1076" s="66" t="s">
        <v>360</v>
      </c>
    </row>
    <row r="1077" spans="1:17" ht="13.8" customHeight="1" x14ac:dyDescent="0.3">
      <c r="A1077" s="70" t="s">
        <v>361</v>
      </c>
      <c r="B1077" s="78">
        <v>46139</v>
      </c>
      <c r="C1077" s="70">
        <v>32</v>
      </c>
      <c r="D1077" s="70" t="s">
        <v>256</v>
      </c>
      <c r="E1077" s="70">
        <v>5</v>
      </c>
      <c r="F1077" s="72">
        <v>1.9056999999999999</v>
      </c>
      <c r="G1077" s="72">
        <v>4.5008999999999997</v>
      </c>
      <c r="H1077" s="72">
        <v>24.004100000000001</v>
      </c>
      <c r="I1077" s="72">
        <v>38825.246099999997</v>
      </c>
      <c r="J1077" s="70" t="s">
        <v>257</v>
      </c>
      <c r="K1077" s="72">
        <v>9433.2675999999992</v>
      </c>
      <c r="L1077" s="72" t="s">
        <v>257</v>
      </c>
      <c r="M1077" s="70" t="s">
        <v>257</v>
      </c>
      <c r="N1077" s="77">
        <v>132.35</v>
      </c>
      <c r="O1077" s="70">
        <v>4</v>
      </c>
      <c r="P1077" s="70"/>
      <c r="Q1077" s="62" t="s">
        <v>360</v>
      </c>
    </row>
    <row r="1078" spans="1:17" ht="13.8" customHeight="1" x14ac:dyDescent="0.3">
      <c r="A1078" s="73" t="s">
        <v>361</v>
      </c>
      <c r="B1078" s="79">
        <v>46139</v>
      </c>
      <c r="C1078" s="73">
        <v>33</v>
      </c>
      <c r="D1078" s="73" t="s">
        <v>256</v>
      </c>
      <c r="E1078" s="73">
        <v>5</v>
      </c>
      <c r="F1078" s="75" t="s">
        <v>257</v>
      </c>
      <c r="G1078" s="75">
        <v>3.2212000000000001</v>
      </c>
      <c r="H1078" s="75">
        <v>27.238900000000001</v>
      </c>
      <c r="I1078" s="75">
        <v>30986.156200000001</v>
      </c>
      <c r="J1078" s="73" t="s">
        <v>257</v>
      </c>
      <c r="K1078" s="75">
        <v>5733.6000999999997</v>
      </c>
      <c r="L1078" s="75" t="s">
        <v>257</v>
      </c>
      <c r="M1078" s="73">
        <v>7.8367000000000004</v>
      </c>
      <c r="N1078" s="76">
        <v>126.41</v>
      </c>
      <c r="O1078" s="73">
        <v>4</v>
      </c>
      <c r="P1078" s="73"/>
      <c r="Q1078" s="66" t="s">
        <v>360</v>
      </c>
    </row>
    <row r="1079" spans="1:17" ht="13.8" customHeight="1" x14ac:dyDescent="0.3">
      <c r="A1079" s="70" t="s">
        <v>363</v>
      </c>
      <c r="B1079" s="78">
        <v>46139</v>
      </c>
      <c r="C1079" s="70">
        <v>34</v>
      </c>
      <c r="D1079" s="70" t="s">
        <v>256</v>
      </c>
      <c r="E1079" s="70">
        <v>1</v>
      </c>
      <c r="F1079" s="72" t="s">
        <v>257</v>
      </c>
      <c r="G1079" s="72" t="s">
        <v>257</v>
      </c>
      <c r="H1079" s="72">
        <v>10.271800000000001</v>
      </c>
      <c r="I1079" s="72">
        <v>33942.058599999997</v>
      </c>
      <c r="J1079" s="70">
        <v>1188.6519000000001</v>
      </c>
      <c r="K1079" s="72">
        <v>742.03330000000005</v>
      </c>
      <c r="L1079" s="72">
        <v>63.826500000000003</v>
      </c>
      <c r="M1079" s="70">
        <v>10.246</v>
      </c>
      <c r="N1079" s="77">
        <v>144.35</v>
      </c>
      <c r="O1079" s="70">
        <v>4</v>
      </c>
      <c r="P1079" s="70"/>
      <c r="Q1079" s="62" t="s">
        <v>360</v>
      </c>
    </row>
    <row r="1080" spans="1:17" ht="13.8" customHeight="1" x14ac:dyDescent="0.3">
      <c r="A1080" s="73" t="s">
        <v>363</v>
      </c>
      <c r="B1080" s="79">
        <v>46139</v>
      </c>
      <c r="C1080" s="73">
        <v>35</v>
      </c>
      <c r="D1080" s="73" t="s">
        <v>256</v>
      </c>
      <c r="E1080" s="73">
        <v>1</v>
      </c>
      <c r="F1080" s="75" t="s">
        <v>257</v>
      </c>
      <c r="G1080" s="75" t="s">
        <v>257</v>
      </c>
      <c r="H1080" s="75">
        <v>14.3207</v>
      </c>
      <c r="I1080" s="75">
        <v>36779.128900000003</v>
      </c>
      <c r="J1080" s="73">
        <v>1259.3324</v>
      </c>
      <c r="K1080" s="75">
        <v>1527.7909999999999</v>
      </c>
      <c r="L1080" s="75">
        <v>50.115600000000001</v>
      </c>
      <c r="M1080" s="73">
        <v>19.183599999999998</v>
      </c>
      <c r="N1080" s="76">
        <v>120.57</v>
      </c>
      <c r="O1080" s="73">
        <v>4</v>
      </c>
      <c r="P1080" s="73"/>
      <c r="Q1080" s="66" t="s">
        <v>360</v>
      </c>
    </row>
    <row r="1081" spans="1:17" ht="13.8" customHeight="1" x14ac:dyDescent="0.3">
      <c r="A1081" s="70" t="s">
        <v>363</v>
      </c>
      <c r="B1081" s="78">
        <v>46139</v>
      </c>
      <c r="C1081" s="70">
        <v>36</v>
      </c>
      <c r="D1081" s="70" t="s">
        <v>256</v>
      </c>
      <c r="E1081" s="70">
        <v>2</v>
      </c>
      <c r="F1081" s="72">
        <v>3.5708000000000002</v>
      </c>
      <c r="G1081" s="72" t="s">
        <v>257</v>
      </c>
      <c r="H1081" s="72">
        <v>26.040700000000001</v>
      </c>
      <c r="I1081" s="72">
        <v>42862.386700000003</v>
      </c>
      <c r="J1081" s="70">
        <v>437.28120000000001</v>
      </c>
      <c r="K1081" s="72">
        <v>1097.8056999999999</v>
      </c>
      <c r="L1081" s="72">
        <v>55.018700000000003</v>
      </c>
      <c r="M1081" s="70">
        <v>31.851700000000001</v>
      </c>
      <c r="N1081" s="77">
        <v>120.88</v>
      </c>
      <c r="O1081" s="70">
        <v>4</v>
      </c>
      <c r="P1081" s="70"/>
      <c r="Q1081" s="62" t="s">
        <v>360</v>
      </c>
    </row>
    <row r="1082" spans="1:17" ht="13.8" customHeight="1" x14ac:dyDescent="0.3">
      <c r="A1082" s="73" t="s">
        <v>363</v>
      </c>
      <c r="B1082" s="79">
        <v>46139</v>
      </c>
      <c r="C1082" s="73">
        <v>37</v>
      </c>
      <c r="D1082" s="73" t="s">
        <v>256</v>
      </c>
      <c r="E1082" s="73">
        <v>2</v>
      </c>
      <c r="F1082" s="75" t="s">
        <v>257</v>
      </c>
      <c r="G1082" s="75">
        <v>2.0074000000000001</v>
      </c>
      <c r="H1082" s="75">
        <v>16.831099999999999</v>
      </c>
      <c r="I1082" s="75">
        <v>41164.601600000002</v>
      </c>
      <c r="J1082" s="73">
        <v>679.33119999999997</v>
      </c>
      <c r="K1082" s="75">
        <v>1238.4829</v>
      </c>
      <c r="L1082" s="75">
        <v>54.362099999999998</v>
      </c>
      <c r="M1082" s="73">
        <v>25.821899999999999</v>
      </c>
      <c r="N1082" s="76">
        <v>135.85</v>
      </c>
      <c r="O1082" s="73">
        <v>4</v>
      </c>
      <c r="P1082" s="73"/>
      <c r="Q1082" s="66" t="s">
        <v>360</v>
      </c>
    </row>
    <row r="1083" spans="1:17" ht="13.8" customHeight="1" x14ac:dyDescent="0.3">
      <c r="A1083" s="70" t="s">
        <v>363</v>
      </c>
      <c r="B1083" s="78">
        <v>46139</v>
      </c>
      <c r="C1083" s="70">
        <v>38</v>
      </c>
      <c r="D1083" s="70" t="s">
        <v>256</v>
      </c>
      <c r="E1083" s="70">
        <v>3</v>
      </c>
      <c r="F1083" s="72">
        <v>13.724</v>
      </c>
      <c r="G1083" s="72">
        <v>8.9626000000000001</v>
      </c>
      <c r="H1083" s="72">
        <v>39.1327</v>
      </c>
      <c r="I1083" s="72">
        <v>43128.441400000003</v>
      </c>
      <c r="J1083" s="70">
        <v>1444.0636</v>
      </c>
      <c r="K1083" s="72">
        <v>13303.924800000001</v>
      </c>
      <c r="L1083" s="72">
        <v>69.842699999999994</v>
      </c>
      <c r="M1083" s="70">
        <v>63.374400000000001</v>
      </c>
      <c r="N1083" s="77">
        <v>150.51</v>
      </c>
      <c r="O1083" s="70">
        <v>4</v>
      </c>
      <c r="P1083" s="70"/>
      <c r="Q1083" s="62" t="s">
        <v>360</v>
      </c>
    </row>
    <row r="1084" spans="1:17" ht="13.8" customHeight="1" x14ac:dyDescent="0.3">
      <c r="A1084" s="73" t="s">
        <v>363</v>
      </c>
      <c r="B1084" s="79">
        <v>46139</v>
      </c>
      <c r="C1084" s="73">
        <v>39</v>
      </c>
      <c r="D1084" s="73" t="s">
        <v>256</v>
      </c>
      <c r="E1084" s="73">
        <v>3</v>
      </c>
      <c r="F1084" s="75">
        <v>6.4809000000000001</v>
      </c>
      <c r="G1084" s="75">
        <v>20.4255</v>
      </c>
      <c r="H1084" s="75">
        <v>92.428399999999996</v>
      </c>
      <c r="I1084" s="75">
        <v>39427.832000000002</v>
      </c>
      <c r="J1084" s="73">
        <v>1541.2091</v>
      </c>
      <c r="K1084" s="75">
        <v>24347.1816</v>
      </c>
      <c r="L1084" s="75">
        <v>75.727900000000005</v>
      </c>
      <c r="M1084" s="73">
        <v>97.173000000000002</v>
      </c>
      <c r="N1084" s="76">
        <v>132.52000000000001</v>
      </c>
      <c r="O1084" s="73">
        <v>4</v>
      </c>
      <c r="P1084" s="73"/>
      <c r="Q1084" s="66" t="s">
        <v>360</v>
      </c>
    </row>
    <row r="1085" spans="1:17" ht="13.8" customHeight="1" x14ac:dyDescent="0.3">
      <c r="A1085" s="70" t="s">
        <v>363</v>
      </c>
      <c r="B1085" s="78">
        <v>46139</v>
      </c>
      <c r="C1085" s="70">
        <v>40</v>
      </c>
      <c r="D1085" s="70" t="s">
        <v>256</v>
      </c>
      <c r="E1085" s="70">
        <v>4</v>
      </c>
      <c r="F1085" s="72">
        <v>12.835699999999999</v>
      </c>
      <c r="G1085" s="72">
        <v>2.2198000000000002</v>
      </c>
      <c r="H1085" s="72">
        <v>15.113200000000001</v>
      </c>
      <c r="I1085" s="72">
        <v>43448.394500000002</v>
      </c>
      <c r="J1085" s="70">
        <v>1027.2325000000001</v>
      </c>
      <c r="K1085" s="72">
        <v>6326.9399000000003</v>
      </c>
      <c r="L1085" s="72">
        <v>56.761899999999997</v>
      </c>
      <c r="M1085" s="70">
        <v>35.426099999999998</v>
      </c>
      <c r="N1085" s="77">
        <v>120.65</v>
      </c>
      <c r="O1085" s="70">
        <v>4</v>
      </c>
      <c r="P1085" s="70"/>
      <c r="Q1085" s="62" t="s">
        <v>360</v>
      </c>
    </row>
    <row r="1086" spans="1:17" ht="13.8" customHeight="1" x14ac:dyDescent="0.3">
      <c r="A1086" s="73" t="s">
        <v>363</v>
      </c>
      <c r="B1086" s="79">
        <v>46139</v>
      </c>
      <c r="C1086" s="73">
        <v>41</v>
      </c>
      <c r="D1086" s="73" t="s">
        <v>256</v>
      </c>
      <c r="E1086" s="73">
        <v>4</v>
      </c>
      <c r="F1086" s="75">
        <v>31.504100000000001</v>
      </c>
      <c r="G1086" s="75" t="s">
        <v>257</v>
      </c>
      <c r="H1086" s="75">
        <v>10.2455</v>
      </c>
      <c r="I1086" s="75">
        <v>40787.621099999997</v>
      </c>
      <c r="J1086" s="73">
        <v>356.9563</v>
      </c>
      <c r="K1086" s="75">
        <v>14506.915999999999</v>
      </c>
      <c r="L1086" s="75">
        <v>25.1022</v>
      </c>
      <c r="M1086" s="73">
        <v>27.6159</v>
      </c>
      <c r="N1086" s="76">
        <v>120.25</v>
      </c>
      <c r="O1086" s="73">
        <v>4</v>
      </c>
      <c r="P1086" s="73"/>
      <c r="Q1086" s="66" t="s">
        <v>360</v>
      </c>
    </row>
    <row r="1087" spans="1:17" ht="13.8" customHeight="1" x14ac:dyDescent="0.3">
      <c r="A1087" s="70" t="s">
        <v>363</v>
      </c>
      <c r="B1087" s="78">
        <v>46139</v>
      </c>
      <c r="C1087" s="70">
        <v>42</v>
      </c>
      <c r="D1087" s="70" t="s">
        <v>256</v>
      </c>
      <c r="E1087" s="70">
        <v>5</v>
      </c>
      <c r="F1087" s="72" t="s">
        <v>257</v>
      </c>
      <c r="G1087" s="72" t="s">
        <v>257</v>
      </c>
      <c r="H1087" s="72">
        <v>8.1408000000000005</v>
      </c>
      <c r="I1087" s="72">
        <v>30483.460899999998</v>
      </c>
      <c r="J1087" s="70">
        <v>336.7527</v>
      </c>
      <c r="K1087" s="72">
        <v>8879.3701000000001</v>
      </c>
      <c r="L1087" s="72">
        <v>26.688099999999999</v>
      </c>
      <c r="M1087" s="70">
        <v>14.938499999999999</v>
      </c>
      <c r="N1087" s="77">
        <v>120.68</v>
      </c>
      <c r="O1087" s="70">
        <v>4</v>
      </c>
      <c r="P1087" s="70"/>
      <c r="Q1087" s="62" t="s">
        <v>360</v>
      </c>
    </row>
    <row r="1088" spans="1:17" ht="13.8" customHeight="1" x14ac:dyDescent="0.3">
      <c r="A1088" s="73" t="s">
        <v>363</v>
      </c>
      <c r="B1088" s="79">
        <v>46139</v>
      </c>
      <c r="C1088" s="73">
        <v>43</v>
      </c>
      <c r="D1088" s="73" t="s">
        <v>256</v>
      </c>
      <c r="E1088" s="73">
        <v>5</v>
      </c>
      <c r="F1088" s="75" t="s">
        <v>257</v>
      </c>
      <c r="G1088" s="75" t="s">
        <v>257</v>
      </c>
      <c r="H1088" s="75">
        <v>7.4157000000000002</v>
      </c>
      <c r="I1088" s="75">
        <v>33692.273399999998</v>
      </c>
      <c r="J1088" s="73">
        <v>388.44560000000001</v>
      </c>
      <c r="K1088" s="75">
        <v>13498.498</v>
      </c>
      <c r="L1088" s="75">
        <v>23.2377</v>
      </c>
      <c r="M1088" s="73">
        <v>6.3579999999999997</v>
      </c>
      <c r="N1088" s="76">
        <v>120.8</v>
      </c>
      <c r="O1088" s="73">
        <v>4</v>
      </c>
      <c r="P1088" s="73"/>
      <c r="Q1088" s="66" t="s">
        <v>360</v>
      </c>
    </row>
    <row r="1089" spans="1:17" ht="13.8" customHeight="1" x14ac:dyDescent="0.3">
      <c r="A1089" s="70" t="s">
        <v>363</v>
      </c>
      <c r="B1089" s="78">
        <v>46139</v>
      </c>
      <c r="C1089" s="70">
        <v>44</v>
      </c>
      <c r="D1089" s="70" t="s">
        <v>256</v>
      </c>
      <c r="E1089" s="70">
        <v>5</v>
      </c>
      <c r="F1089" s="72">
        <v>5.6723999999999997</v>
      </c>
      <c r="G1089" s="72">
        <v>3.0727000000000002</v>
      </c>
      <c r="H1089" s="72">
        <v>12.4223</v>
      </c>
      <c r="I1089" s="72">
        <v>39666.656199999998</v>
      </c>
      <c r="J1089" s="70">
        <v>429.05130000000003</v>
      </c>
      <c r="K1089" s="72">
        <v>20784.283200000002</v>
      </c>
      <c r="L1089" s="72">
        <v>26.3002</v>
      </c>
      <c r="M1089" s="70">
        <v>20.187200000000001</v>
      </c>
      <c r="N1089" s="77">
        <v>120.42</v>
      </c>
      <c r="O1089" s="70">
        <v>4</v>
      </c>
      <c r="P1089" s="70"/>
      <c r="Q1089" s="62" t="s">
        <v>360</v>
      </c>
    </row>
    <row r="1090" spans="1:17" ht="13.8" customHeight="1" x14ac:dyDescent="0.3">
      <c r="A1090" s="73" t="s">
        <v>363</v>
      </c>
      <c r="B1090" s="79">
        <v>46139</v>
      </c>
      <c r="C1090" s="73">
        <v>45</v>
      </c>
      <c r="D1090" s="73" t="s">
        <v>256</v>
      </c>
      <c r="E1090" s="73">
        <v>5</v>
      </c>
      <c r="F1090" s="75">
        <v>3.3412000000000002</v>
      </c>
      <c r="G1090" s="75" t="s">
        <v>257</v>
      </c>
      <c r="H1090" s="75">
        <v>8.6187000000000005</v>
      </c>
      <c r="I1090" s="75">
        <v>38968.464800000002</v>
      </c>
      <c r="J1090" s="73">
        <v>409.20760000000001</v>
      </c>
      <c r="K1090" s="75">
        <v>21876.070299999999</v>
      </c>
      <c r="L1090" s="75">
        <v>27.186599999999999</v>
      </c>
      <c r="M1090" s="73">
        <v>12.617800000000001</v>
      </c>
      <c r="N1090" s="76">
        <v>120.63</v>
      </c>
      <c r="O1090" s="73">
        <v>4</v>
      </c>
      <c r="P1090" s="73"/>
      <c r="Q1090" s="66" t="s">
        <v>360</v>
      </c>
    </row>
    <row r="1091" spans="1:17" ht="13.8" customHeight="1" x14ac:dyDescent="0.3">
      <c r="A1091" s="70" t="s">
        <v>364</v>
      </c>
      <c r="B1091" s="78">
        <v>46139</v>
      </c>
      <c r="C1091" s="70">
        <v>46</v>
      </c>
      <c r="D1091" s="70" t="s">
        <v>256</v>
      </c>
      <c r="E1091" s="70">
        <v>1</v>
      </c>
      <c r="F1091" s="72">
        <v>19.514099999999999</v>
      </c>
      <c r="G1091" s="72" t="s">
        <v>257</v>
      </c>
      <c r="H1091" s="72">
        <v>18.180800000000001</v>
      </c>
      <c r="I1091" s="72">
        <v>2355.2750999999998</v>
      </c>
      <c r="J1091" s="70" t="s">
        <v>257</v>
      </c>
      <c r="K1091" s="72">
        <v>4701.5698000000002</v>
      </c>
      <c r="L1091" s="72" t="s">
        <v>257</v>
      </c>
      <c r="M1091" s="70" t="s">
        <v>257</v>
      </c>
      <c r="N1091" s="77">
        <v>120.92</v>
      </c>
      <c r="O1091" s="70">
        <v>4</v>
      </c>
      <c r="P1091" s="70"/>
      <c r="Q1091" s="62" t="s">
        <v>360</v>
      </c>
    </row>
    <row r="1092" spans="1:17" ht="13.8" customHeight="1" x14ac:dyDescent="0.3">
      <c r="A1092" s="73" t="s">
        <v>364</v>
      </c>
      <c r="B1092" s="79">
        <v>46139</v>
      </c>
      <c r="C1092" s="73">
        <v>47</v>
      </c>
      <c r="D1092" s="73" t="s">
        <v>256</v>
      </c>
      <c r="E1092" s="73">
        <v>1</v>
      </c>
      <c r="F1092" s="75">
        <v>11.882099999999999</v>
      </c>
      <c r="G1092" s="75" t="s">
        <v>257</v>
      </c>
      <c r="H1092" s="75">
        <v>11.629099999999999</v>
      </c>
      <c r="I1092" s="75">
        <v>2175.4625999999998</v>
      </c>
      <c r="J1092" s="73" t="s">
        <v>257</v>
      </c>
      <c r="K1092" s="75">
        <v>5842.1176999999998</v>
      </c>
      <c r="L1092" s="75" t="s">
        <v>257</v>
      </c>
      <c r="M1092" s="73" t="s">
        <v>257</v>
      </c>
      <c r="N1092" s="76">
        <v>120.31</v>
      </c>
      <c r="O1092" s="73">
        <v>4</v>
      </c>
      <c r="P1092" s="73"/>
      <c r="Q1092" s="66" t="s">
        <v>360</v>
      </c>
    </row>
    <row r="1093" spans="1:17" ht="13.8" customHeight="1" x14ac:dyDescent="0.3">
      <c r="A1093" s="70" t="s">
        <v>364</v>
      </c>
      <c r="B1093" s="78">
        <v>46139</v>
      </c>
      <c r="C1093" s="70">
        <v>48</v>
      </c>
      <c r="D1093" s="70" t="s">
        <v>256</v>
      </c>
      <c r="E1093" s="70">
        <v>2</v>
      </c>
      <c r="F1093" s="72">
        <v>33.203800000000001</v>
      </c>
      <c r="G1093" s="72" t="s">
        <v>257</v>
      </c>
      <c r="H1093" s="72">
        <v>19.206399999999999</v>
      </c>
      <c r="I1093" s="72">
        <v>4132.1117999999997</v>
      </c>
      <c r="J1093" s="70" t="s">
        <v>257</v>
      </c>
      <c r="K1093" s="72">
        <v>4724.9619000000002</v>
      </c>
      <c r="L1093" s="72" t="s">
        <v>257</v>
      </c>
      <c r="M1093" s="70" t="s">
        <v>257</v>
      </c>
      <c r="N1093" s="77">
        <v>131.21</v>
      </c>
      <c r="O1093" s="70">
        <v>4</v>
      </c>
      <c r="P1093" s="70"/>
      <c r="Q1093" s="62" t="s">
        <v>360</v>
      </c>
    </row>
    <row r="1094" spans="1:17" ht="13.8" customHeight="1" x14ac:dyDescent="0.3">
      <c r="A1094" s="73" t="s">
        <v>364</v>
      </c>
      <c r="B1094" s="79">
        <v>46139</v>
      </c>
      <c r="C1094" s="73">
        <v>49</v>
      </c>
      <c r="D1094" s="73" t="s">
        <v>256</v>
      </c>
      <c r="E1094" s="73">
        <v>2</v>
      </c>
      <c r="F1094" s="75">
        <v>7.0930999999999997</v>
      </c>
      <c r="G1094" s="75" t="s">
        <v>257</v>
      </c>
      <c r="H1094" s="75">
        <v>16.760999999999999</v>
      </c>
      <c r="I1094" s="75">
        <v>4632.8579</v>
      </c>
      <c r="J1094" s="73" t="s">
        <v>257</v>
      </c>
      <c r="K1094" s="75">
        <v>2088.4438</v>
      </c>
      <c r="L1094" s="75" t="s">
        <v>257</v>
      </c>
      <c r="M1094" s="73" t="s">
        <v>257</v>
      </c>
      <c r="N1094" s="76">
        <v>128.5</v>
      </c>
      <c r="O1094" s="73">
        <v>4</v>
      </c>
      <c r="P1094" s="73"/>
      <c r="Q1094" s="66" t="s">
        <v>360</v>
      </c>
    </row>
    <row r="1095" spans="1:17" ht="13.8" customHeight="1" x14ac:dyDescent="0.3">
      <c r="A1095" s="70" t="s">
        <v>364</v>
      </c>
      <c r="B1095" s="78">
        <v>46139</v>
      </c>
      <c r="C1095" s="70">
        <v>50</v>
      </c>
      <c r="D1095" s="70" t="s">
        <v>256</v>
      </c>
      <c r="E1095" s="70">
        <v>2</v>
      </c>
      <c r="F1095" s="72">
        <v>3.1631</v>
      </c>
      <c r="G1095" s="72" t="s">
        <v>257</v>
      </c>
      <c r="H1095" s="72">
        <v>15.9429</v>
      </c>
      <c r="I1095" s="72">
        <v>4632.3804</v>
      </c>
      <c r="J1095" s="70" t="s">
        <v>257</v>
      </c>
      <c r="K1095" s="72">
        <v>2228.9575</v>
      </c>
      <c r="L1095" s="72" t="s">
        <v>257</v>
      </c>
      <c r="M1095" s="70" t="s">
        <v>257</v>
      </c>
      <c r="N1095" s="77">
        <v>120.71</v>
      </c>
      <c r="O1095" s="70">
        <v>4</v>
      </c>
      <c r="P1095" s="70"/>
      <c r="Q1095" s="62" t="s">
        <v>360</v>
      </c>
    </row>
    <row r="1096" spans="1:17" ht="13.8" customHeight="1" x14ac:dyDescent="0.3">
      <c r="A1096" s="73" t="s">
        <v>364</v>
      </c>
      <c r="B1096" s="79">
        <v>46139</v>
      </c>
      <c r="C1096" s="73">
        <v>51</v>
      </c>
      <c r="D1096" s="73" t="s">
        <v>256</v>
      </c>
      <c r="E1096" s="73">
        <v>3</v>
      </c>
      <c r="F1096" s="75">
        <v>6.0275999999999996</v>
      </c>
      <c r="G1096" s="75" t="s">
        <v>257</v>
      </c>
      <c r="H1096" s="75">
        <v>22.827200000000001</v>
      </c>
      <c r="I1096" s="75">
        <v>3635.7573000000002</v>
      </c>
      <c r="J1096" s="73" t="s">
        <v>257</v>
      </c>
      <c r="K1096" s="75">
        <v>2839.7226999999998</v>
      </c>
      <c r="L1096" s="75" t="s">
        <v>257</v>
      </c>
      <c r="M1096" s="73" t="s">
        <v>257</v>
      </c>
      <c r="N1096" s="76">
        <v>120.49</v>
      </c>
      <c r="O1096" s="73">
        <v>4</v>
      </c>
      <c r="P1096" s="73"/>
      <c r="Q1096" s="66" t="s">
        <v>360</v>
      </c>
    </row>
    <row r="1097" spans="1:17" ht="13.8" customHeight="1" x14ac:dyDescent="0.3">
      <c r="A1097" s="70" t="s">
        <v>364</v>
      </c>
      <c r="B1097" s="78">
        <v>46139</v>
      </c>
      <c r="C1097" s="70">
        <v>52</v>
      </c>
      <c r="D1097" s="70" t="s">
        <v>256</v>
      </c>
      <c r="E1097" s="70">
        <v>3</v>
      </c>
      <c r="F1097" s="72">
        <v>5.5465999999999998</v>
      </c>
      <c r="G1097" s="72" t="s">
        <v>257</v>
      </c>
      <c r="H1097" s="72">
        <v>27.6372</v>
      </c>
      <c r="I1097" s="72">
        <v>4921.9902000000002</v>
      </c>
      <c r="J1097" s="70" t="s">
        <v>257</v>
      </c>
      <c r="K1097" s="72">
        <v>6053.6377000000002</v>
      </c>
      <c r="L1097" s="72" t="s">
        <v>257</v>
      </c>
      <c r="M1097" s="70" t="s">
        <v>257</v>
      </c>
      <c r="N1097" s="77">
        <v>120.83</v>
      </c>
      <c r="O1097" s="70">
        <v>4</v>
      </c>
      <c r="P1097" s="70"/>
      <c r="Q1097" s="62" t="s">
        <v>360</v>
      </c>
    </row>
    <row r="1098" spans="1:17" ht="13.8" customHeight="1" x14ac:dyDescent="0.3">
      <c r="A1098" s="73" t="s">
        <v>364</v>
      </c>
      <c r="B1098" s="79">
        <v>46139</v>
      </c>
      <c r="C1098" s="73">
        <v>53</v>
      </c>
      <c r="D1098" s="73" t="s">
        <v>256</v>
      </c>
      <c r="E1098" s="73">
        <v>4</v>
      </c>
      <c r="F1098" s="75">
        <v>2.0371000000000001</v>
      </c>
      <c r="G1098" s="75">
        <v>1.3214999999999999</v>
      </c>
      <c r="H1098" s="75">
        <v>14.6533</v>
      </c>
      <c r="I1098" s="75">
        <v>6378.0448999999999</v>
      </c>
      <c r="J1098" s="73" t="s">
        <v>257</v>
      </c>
      <c r="K1098" s="75">
        <v>3260.6179000000002</v>
      </c>
      <c r="L1098" s="75" t="s">
        <v>257</v>
      </c>
      <c r="M1098" s="73" t="s">
        <v>257</v>
      </c>
      <c r="N1098" s="76">
        <v>120.44</v>
      </c>
      <c r="O1098" s="73">
        <v>4</v>
      </c>
      <c r="P1098" s="73"/>
      <c r="Q1098" s="66" t="s">
        <v>360</v>
      </c>
    </row>
    <row r="1099" spans="1:17" ht="13.8" customHeight="1" x14ac:dyDescent="0.3">
      <c r="A1099" s="70" t="s">
        <v>364</v>
      </c>
      <c r="B1099" s="78">
        <v>46139</v>
      </c>
      <c r="C1099" s="70">
        <v>54</v>
      </c>
      <c r="D1099" s="70" t="s">
        <v>256</v>
      </c>
      <c r="E1099" s="70">
        <v>4</v>
      </c>
      <c r="F1099" s="72">
        <v>2.7443</v>
      </c>
      <c r="G1099" s="72">
        <v>1.964</v>
      </c>
      <c r="H1099" s="72">
        <v>13.4757</v>
      </c>
      <c r="I1099" s="72">
        <v>6148.0122000000001</v>
      </c>
      <c r="J1099" s="70" t="s">
        <v>257</v>
      </c>
      <c r="K1099" s="72">
        <v>2726.0349000000001</v>
      </c>
      <c r="L1099" s="72" t="s">
        <v>257</v>
      </c>
      <c r="M1099" s="70" t="s">
        <v>257</v>
      </c>
      <c r="N1099" s="77">
        <v>120.79</v>
      </c>
      <c r="O1099" s="70">
        <v>4</v>
      </c>
      <c r="P1099" s="70"/>
      <c r="Q1099" s="62" t="s">
        <v>360</v>
      </c>
    </row>
    <row r="1100" spans="1:17" ht="13.8" customHeight="1" x14ac:dyDescent="0.3">
      <c r="A1100" s="73" t="s">
        <v>364</v>
      </c>
      <c r="B1100" s="79">
        <v>46139</v>
      </c>
      <c r="C1100" s="73">
        <v>55</v>
      </c>
      <c r="D1100" s="73" t="s">
        <v>256</v>
      </c>
      <c r="E1100" s="73">
        <v>5</v>
      </c>
      <c r="F1100" s="75">
        <v>2.4413</v>
      </c>
      <c r="G1100" s="75" t="s">
        <v>257</v>
      </c>
      <c r="H1100" s="75">
        <v>14.0389</v>
      </c>
      <c r="I1100" s="75">
        <v>2985.9247999999998</v>
      </c>
      <c r="J1100" s="73">
        <v>188.0744</v>
      </c>
      <c r="K1100" s="75">
        <v>14372.1816</v>
      </c>
      <c r="L1100" s="75" t="s">
        <v>257</v>
      </c>
      <c r="M1100" s="73" t="s">
        <v>257</v>
      </c>
      <c r="N1100" s="76">
        <v>120.48</v>
      </c>
      <c r="O1100" s="73">
        <v>4</v>
      </c>
      <c r="P1100" s="73"/>
      <c r="Q1100" s="66" t="s">
        <v>360</v>
      </c>
    </row>
    <row r="1101" spans="1:17" ht="13.8" customHeight="1" x14ac:dyDescent="0.3">
      <c r="A1101" s="70" t="s">
        <v>364</v>
      </c>
      <c r="B1101" s="78">
        <v>46139</v>
      </c>
      <c r="C1101" s="70">
        <v>56</v>
      </c>
      <c r="D1101" s="70" t="s">
        <v>256</v>
      </c>
      <c r="E1101" s="70">
        <v>5</v>
      </c>
      <c r="F1101" s="72">
        <v>18.386199999999999</v>
      </c>
      <c r="G1101" s="72" t="s">
        <v>257</v>
      </c>
      <c r="H1101" s="72">
        <v>17.043199999999999</v>
      </c>
      <c r="I1101" s="72">
        <v>4465.2587999999996</v>
      </c>
      <c r="J1101" s="70">
        <v>185.98570000000001</v>
      </c>
      <c r="K1101" s="72">
        <v>14283.983399999999</v>
      </c>
      <c r="L1101" s="72" t="s">
        <v>257</v>
      </c>
      <c r="M1101" s="70" t="s">
        <v>257</v>
      </c>
      <c r="N1101" s="77">
        <v>132.69999999999999</v>
      </c>
      <c r="O1101" s="70">
        <v>4</v>
      </c>
      <c r="P1101" s="70"/>
      <c r="Q1101" s="62" t="s">
        <v>360</v>
      </c>
    </row>
    <row r="1102" spans="1:17" ht="13.8" customHeight="1" x14ac:dyDescent="0.3">
      <c r="A1102" s="73" t="s">
        <v>364</v>
      </c>
      <c r="B1102" s="79">
        <v>46139</v>
      </c>
      <c r="C1102" s="73">
        <v>57</v>
      </c>
      <c r="D1102" s="73" t="s">
        <v>256</v>
      </c>
      <c r="E1102" s="73">
        <v>5</v>
      </c>
      <c r="F1102" s="75">
        <v>15.1434</v>
      </c>
      <c r="G1102" s="75" t="s">
        <v>257</v>
      </c>
      <c r="H1102" s="75">
        <v>13.317</v>
      </c>
      <c r="I1102" s="75">
        <v>4388.0272999999997</v>
      </c>
      <c r="J1102" s="73">
        <v>173.05629999999999</v>
      </c>
      <c r="K1102" s="75">
        <v>13774.4336</v>
      </c>
      <c r="L1102" s="75" t="s">
        <v>257</v>
      </c>
      <c r="M1102" s="73" t="s">
        <v>257</v>
      </c>
      <c r="N1102" s="76">
        <v>120.53</v>
      </c>
      <c r="O1102" s="73">
        <v>4</v>
      </c>
      <c r="P1102" s="73"/>
      <c r="Q1102" s="66" t="s">
        <v>360</v>
      </c>
    </row>
    <row r="1103" spans="1:17" ht="13.8" customHeight="1" x14ac:dyDescent="0.3">
      <c r="A1103" s="70" t="s">
        <v>365</v>
      </c>
      <c r="B1103" s="78">
        <v>46140</v>
      </c>
      <c r="C1103" s="70">
        <v>1225</v>
      </c>
      <c r="D1103" s="70" t="s">
        <v>256</v>
      </c>
      <c r="E1103" s="70">
        <v>1</v>
      </c>
      <c r="F1103" s="72" t="s">
        <v>257</v>
      </c>
      <c r="G1103" s="72" t="s">
        <v>257</v>
      </c>
      <c r="H1103" s="72">
        <v>7.0841000000000003</v>
      </c>
      <c r="I1103" s="72">
        <v>19514.5566</v>
      </c>
      <c r="J1103" s="70">
        <v>68.293000000000006</v>
      </c>
      <c r="K1103" s="72">
        <v>13314.482400000001</v>
      </c>
      <c r="L1103" s="72">
        <v>7.9020000000000001</v>
      </c>
      <c r="M1103" s="70">
        <v>38.584600000000002</v>
      </c>
      <c r="N1103" s="77">
        <v>122.87</v>
      </c>
      <c r="O1103" s="70">
        <v>4</v>
      </c>
      <c r="P1103" s="70"/>
      <c r="Q1103" s="62" t="s">
        <v>258</v>
      </c>
    </row>
    <row r="1104" spans="1:17" ht="13.8" customHeight="1" x14ac:dyDescent="0.3">
      <c r="A1104" s="73" t="s">
        <v>365</v>
      </c>
      <c r="B1104" s="79">
        <v>46140</v>
      </c>
      <c r="C1104" s="73">
        <v>1226</v>
      </c>
      <c r="D1104" s="73" t="s">
        <v>256</v>
      </c>
      <c r="E1104" s="73">
        <v>1</v>
      </c>
      <c r="F1104" s="75" t="s">
        <v>257</v>
      </c>
      <c r="G1104" s="75" t="s">
        <v>257</v>
      </c>
      <c r="H1104" s="75">
        <v>7.5884999999999998</v>
      </c>
      <c r="I1104" s="75">
        <v>20787.156200000001</v>
      </c>
      <c r="J1104" s="73">
        <v>74.196799999999996</v>
      </c>
      <c r="K1104" s="75">
        <v>11292.9766</v>
      </c>
      <c r="L1104" s="75">
        <v>9.6037999999999997</v>
      </c>
      <c r="M1104" s="73">
        <v>34.739199999999997</v>
      </c>
      <c r="N1104" s="76">
        <v>122.93</v>
      </c>
      <c r="O1104" s="73">
        <v>4</v>
      </c>
      <c r="P1104" s="73"/>
      <c r="Q1104" s="66" t="s">
        <v>258</v>
      </c>
    </row>
    <row r="1105" spans="1:17" ht="13.8" customHeight="1" x14ac:dyDescent="0.3">
      <c r="A1105" s="70" t="s">
        <v>365</v>
      </c>
      <c r="B1105" s="78">
        <v>46140</v>
      </c>
      <c r="C1105" s="70">
        <v>1227</v>
      </c>
      <c r="D1105" s="70" t="s">
        <v>256</v>
      </c>
      <c r="E1105" s="70">
        <v>2</v>
      </c>
      <c r="F1105" s="72" t="s">
        <v>257</v>
      </c>
      <c r="G1105" s="72" t="s">
        <v>257</v>
      </c>
      <c r="H1105" s="72">
        <v>6.8517000000000001</v>
      </c>
      <c r="I1105" s="72">
        <v>32370.341799999998</v>
      </c>
      <c r="J1105" s="70">
        <v>518.28459999999995</v>
      </c>
      <c r="K1105" s="72">
        <v>6595.8456999999999</v>
      </c>
      <c r="L1105" s="72">
        <v>38.146599999999999</v>
      </c>
      <c r="M1105" s="70">
        <v>45.189900000000002</v>
      </c>
      <c r="N1105" s="77">
        <v>120.57</v>
      </c>
      <c r="O1105" s="70">
        <v>4</v>
      </c>
      <c r="P1105" s="70"/>
      <c r="Q1105" s="62" t="s">
        <v>258</v>
      </c>
    </row>
    <row r="1106" spans="1:17" ht="13.8" customHeight="1" x14ac:dyDescent="0.3">
      <c r="A1106" s="73" t="s">
        <v>365</v>
      </c>
      <c r="B1106" s="79">
        <v>46140</v>
      </c>
      <c r="C1106" s="73">
        <v>1229</v>
      </c>
      <c r="D1106" s="73" t="s">
        <v>256</v>
      </c>
      <c r="E1106" s="73">
        <v>2</v>
      </c>
      <c r="F1106" s="75" t="s">
        <v>257</v>
      </c>
      <c r="G1106" s="75" t="s">
        <v>257</v>
      </c>
      <c r="H1106" s="75">
        <v>6.7786</v>
      </c>
      <c r="I1106" s="75">
        <v>29154.224600000001</v>
      </c>
      <c r="J1106" s="73">
        <v>357.35419999999999</v>
      </c>
      <c r="K1106" s="75">
        <v>7385.7597999999998</v>
      </c>
      <c r="L1106" s="75">
        <v>28.7729</v>
      </c>
      <c r="M1106" s="73">
        <v>35.618899999999996</v>
      </c>
      <c r="N1106" s="76">
        <v>120.33</v>
      </c>
      <c r="O1106" s="73">
        <v>4</v>
      </c>
      <c r="P1106" s="73"/>
      <c r="Q1106" s="66" t="s">
        <v>258</v>
      </c>
    </row>
    <row r="1107" spans="1:17" ht="13.8" customHeight="1" x14ac:dyDescent="0.3">
      <c r="A1107" s="70" t="s">
        <v>365</v>
      </c>
      <c r="B1107" s="78">
        <v>46140</v>
      </c>
      <c r="C1107" s="70">
        <v>1231</v>
      </c>
      <c r="D1107" s="70" t="s">
        <v>256</v>
      </c>
      <c r="E1107" s="70">
        <v>3</v>
      </c>
      <c r="F1107" s="72" t="s">
        <v>257</v>
      </c>
      <c r="G1107" s="72" t="s">
        <v>257</v>
      </c>
      <c r="H1107" s="72">
        <v>8.3333999999999993</v>
      </c>
      <c r="I1107" s="72">
        <v>28566.671900000001</v>
      </c>
      <c r="J1107" s="70">
        <v>271.92180000000002</v>
      </c>
      <c r="K1107" s="72">
        <v>4257.7676000000001</v>
      </c>
      <c r="L1107" s="72">
        <v>24.223800000000001</v>
      </c>
      <c r="M1107" s="70">
        <v>26.7088</v>
      </c>
      <c r="N1107" s="77">
        <v>120.58</v>
      </c>
      <c r="O1107" s="70">
        <v>4</v>
      </c>
      <c r="P1107" s="70"/>
      <c r="Q1107" s="62" t="s">
        <v>258</v>
      </c>
    </row>
    <row r="1108" spans="1:17" ht="13.8" customHeight="1" x14ac:dyDescent="0.3">
      <c r="A1108" s="73" t="s">
        <v>365</v>
      </c>
      <c r="B1108" s="79">
        <v>46140</v>
      </c>
      <c r="C1108" s="73">
        <v>1233</v>
      </c>
      <c r="D1108" s="73" t="s">
        <v>256</v>
      </c>
      <c r="E1108" s="73">
        <v>3</v>
      </c>
      <c r="F1108" s="75" t="s">
        <v>257</v>
      </c>
      <c r="G1108" s="75" t="s">
        <v>257</v>
      </c>
      <c r="H1108" s="75">
        <v>7.4861000000000004</v>
      </c>
      <c r="I1108" s="75">
        <v>31011.421900000001</v>
      </c>
      <c r="J1108" s="73">
        <v>371.24900000000002</v>
      </c>
      <c r="K1108" s="75">
        <v>5038.8130000000001</v>
      </c>
      <c r="L1108" s="75">
        <v>33.602400000000003</v>
      </c>
      <c r="M1108" s="73">
        <v>34.590899999999998</v>
      </c>
      <c r="N1108" s="76">
        <v>123</v>
      </c>
      <c r="O1108" s="73">
        <v>4</v>
      </c>
      <c r="P1108" s="73"/>
      <c r="Q1108" s="66" t="s">
        <v>258</v>
      </c>
    </row>
    <row r="1109" spans="1:17" ht="13.8" customHeight="1" x14ac:dyDescent="0.3">
      <c r="A1109" s="70" t="s">
        <v>365</v>
      </c>
      <c r="B1109" s="78">
        <v>46140</v>
      </c>
      <c r="C1109" s="70">
        <v>1234</v>
      </c>
      <c r="D1109" s="70" t="s">
        <v>256</v>
      </c>
      <c r="E1109" s="70">
        <v>4</v>
      </c>
      <c r="F1109" s="72" t="s">
        <v>257</v>
      </c>
      <c r="G1109" s="72" t="s">
        <v>257</v>
      </c>
      <c r="H1109" s="72">
        <v>7.8316999999999997</v>
      </c>
      <c r="I1109" s="72">
        <v>26146.748</v>
      </c>
      <c r="J1109" s="70">
        <v>313.41219999999998</v>
      </c>
      <c r="K1109" s="72">
        <v>7940.8140000000003</v>
      </c>
      <c r="L1109" s="72">
        <v>22.777999999999999</v>
      </c>
      <c r="M1109" s="70">
        <v>32.663899999999998</v>
      </c>
      <c r="N1109" s="77">
        <v>120.32</v>
      </c>
      <c r="O1109" s="70">
        <v>4</v>
      </c>
      <c r="P1109" s="70"/>
      <c r="Q1109" s="62" t="s">
        <v>258</v>
      </c>
    </row>
    <row r="1110" spans="1:17" ht="13.8" customHeight="1" x14ac:dyDescent="0.3">
      <c r="A1110" s="73" t="s">
        <v>365</v>
      </c>
      <c r="B1110" s="79">
        <v>46140</v>
      </c>
      <c r="C1110" s="73">
        <v>1236</v>
      </c>
      <c r="D1110" s="73" t="s">
        <v>256</v>
      </c>
      <c r="E1110" s="73">
        <v>4</v>
      </c>
      <c r="F1110" s="75">
        <v>2.8420000000000001</v>
      </c>
      <c r="G1110" s="75" t="s">
        <v>257</v>
      </c>
      <c r="H1110" s="75">
        <v>8.1639999999999997</v>
      </c>
      <c r="I1110" s="75">
        <v>31963.8652</v>
      </c>
      <c r="J1110" s="73">
        <v>431.1771</v>
      </c>
      <c r="K1110" s="75">
        <v>5744.4237999999996</v>
      </c>
      <c r="L1110" s="75">
        <v>28.066700000000001</v>
      </c>
      <c r="M1110" s="73">
        <v>34.717399999999998</v>
      </c>
      <c r="N1110" s="76">
        <v>120.51</v>
      </c>
      <c r="O1110" s="73">
        <v>4</v>
      </c>
      <c r="P1110" s="73"/>
      <c r="Q1110" s="66" t="s">
        <v>258</v>
      </c>
    </row>
    <row r="1111" spans="1:17" ht="13.8" customHeight="1" x14ac:dyDescent="0.3">
      <c r="A1111" s="70" t="s">
        <v>365</v>
      </c>
      <c r="B1111" s="78">
        <v>46140</v>
      </c>
      <c r="C1111" s="70">
        <v>1237</v>
      </c>
      <c r="D1111" s="70" t="s">
        <v>256</v>
      </c>
      <c r="E1111" s="70">
        <v>5</v>
      </c>
      <c r="F1111" s="72" t="s">
        <v>257</v>
      </c>
      <c r="G1111" s="72" t="s">
        <v>257</v>
      </c>
      <c r="H1111" s="72">
        <v>8.1440000000000001</v>
      </c>
      <c r="I1111" s="72">
        <v>35815.761700000003</v>
      </c>
      <c r="J1111" s="70">
        <v>499.60579999999999</v>
      </c>
      <c r="K1111" s="72">
        <v>5274.0684000000001</v>
      </c>
      <c r="L1111" s="72">
        <v>44.215299999999999</v>
      </c>
      <c r="M1111" s="70">
        <v>40.389299999999999</v>
      </c>
      <c r="N1111" s="77">
        <v>122.75</v>
      </c>
      <c r="O1111" s="70">
        <v>4</v>
      </c>
      <c r="P1111" s="70"/>
      <c r="Q1111" s="62" t="s">
        <v>258</v>
      </c>
    </row>
    <row r="1112" spans="1:17" ht="13.8" customHeight="1" x14ac:dyDescent="0.3">
      <c r="A1112" s="73" t="s">
        <v>365</v>
      </c>
      <c r="B1112" s="79">
        <v>46140</v>
      </c>
      <c r="C1112" s="73">
        <v>1238</v>
      </c>
      <c r="D1112" s="73" t="s">
        <v>256</v>
      </c>
      <c r="E1112" s="73">
        <v>5</v>
      </c>
      <c r="F1112" s="75" t="s">
        <v>257</v>
      </c>
      <c r="G1112" s="75" t="s">
        <v>257</v>
      </c>
      <c r="H1112" s="75">
        <v>7.0758000000000001</v>
      </c>
      <c r="I1112" s="75">
        <v>32479.0625</v>
      </c>
      <c r="J1112" s="73">
        <v>530.19269999999995</v>
      </c>
      <c r="K1112" s="75">
        <v>12240.0293</v>
      </c>
      <c r="L1112" s="75">
        <v>38.2943</v>
      </c>
      <c r="M1112" s="73">
        <v>25.672699999999999</v>
      </c>
      <c r="N1112" s="76">
        <v>120.34</v>
      </c>
      <c r="O1112" s="73">
        <v>4</v>
      </c>
      <c r="P1112" s="73"/>
      <c r="Q1112" s="66" t="s">
        <v>258</v>
      </c>
    </row>
    <row r="1113" spans="1:17" ht="13.8" customHeight="1" x14ac:dyDescent="0.3">
      <c r="A1113" s="70" t="s">
        <v>366</v>
      </c>
      <c r="B1113" s="78">
        <v>46140</v>
      </c>
      <c r="C1113" s="70">
        <v>1239</v>
      </c>
      <c r="D1113" s="70" t="s">
        <v>256</v>
      </c>
      <c r="E1113" s="70">
        <v>1</v>
      </c>
      <c r="F1113" s="72" t="s">
        <v>257</v>
      </c>
      <c r="G1113" s="72" t="s">
        <v>257</v>
      </c>
      <c r="H1113" s="72">
        <v>6.7641</v>
      </c>
      <c r="I1113" s="72">
        <v>7067.9893000000002</v>
      </c>
      <c r="J1113" s="70" t="s">
        <v>257</v>
      </c>
      <c r="K1113" s="72">
        <v>10434.074199999999</v>
      </c>
      <c r="L1113" s="72" t="s">
        <v>257</v>
      </c>
      <c r="M1113" s="70" t="s">
        <v>257</v>
      </c>
      <c r="N1113" s="77">
        <v>123</v>
      </c>
      <c r="O1113" s="70">
        <v>4</v>
      </c>
      <c r="P1113" s="70"/>
      <c r="Q1113" s="62" t="s">
        <v>258</v>
      </c>
    </row>
    <row r="1114" spans="1:17" ht="13.8" customHeight="1" x14ac:dyDescent="0.3">
      <c r="A1114" s="73" t="s">
        <v>366</v>
      </c>
      <c r="B1114" s="79">
        <v>46140</v>
      </c>
      <c r="C1114" s="73">
        <v>1240</v>
      </c>
      <c r="D1114" s="73" t="s">
        <v>256</v>
      </c>
      <c r="E1114" s="73">
        <v>1</v>
      </c>
      <c r="F1114" s="75" t="s">
        <v>257</v>
      </c>
      <c r="G1114" s="75" t="s">
        <v>257</v>
      </c>
      <c r="H1114" s="75">
        <v>7.3367000000000004</v>
      </c>
      <c r="I1114" s="75">
        <v>6723.4277000000002</v>
      </c>
      <c r="J1114" s="73" t="s">
        <v>257</v>
      </c>
      <c r="K1114" s="75">
        <v>13508.418</v>
      </c>
      <c r="L1114" s="75" t="s">
        <v>257</v>
      </c>
      <c r="M1114" s="73">
        <v>3.5983999999999998</v>
      </c>
      <c r="N1114" s="76">
        <v>122.87</v>
      </c>
      <c r="O1114" s="73">
        <v>4</v>
      </c>
      <c r="P1114" s="73"/>
      <c r="Q1114" s="66" t="s">
        <v>258</v>
      </c>
    </row>
    <row r="1115" spans="1:17" ht="13.8" customHeight="1" x14ac:dyDescent="0.3">
      <c r="A1115" s="70" t="s">
        <v>366</v>
      </c>
      <c r="B1115" s="78">
        <v>46140</v>
      </c>
      <c r="C1115" s="70">
        <v>1241</v>
      </c>
      <c r="D1115" s="70" t="s">
        <v>256</v>
      </c>
      <c r="E1115" s="70">
        <v>2</v>
      </c>
      <c r="F1115" s="72" t="s">
        <v>257</v>
      </c>
      <c r="G1115" s="72" t="s">
        <v>257</v>
      </c>
      <c r="H1115" s="72">
        <v>5.7126000000000001</v>
      </c>
      <c r="I1115" s="72">
        <v>44150.710899999998</v>
      </c>
      <c r="J1115" s="70" t="s">
        <v>257</v>
      </c>
      <c r="K1115" s="72">
        <v>15537.132799999999</v>
      </c>
      <c r="L1115" s="72" t="s">
        <v>257</v>
      </c>
      <c r="M1115" s="70">
        <v>27.726600000000001</v>
      </c>
      <c r="N1115" s="77">
        <v>120.25</v>
      </c>
      <c r="O1115" s="70">
        <v>4</v>
      </c>
      <c r="P1115" s="70"/>
      <c r="Q1115" s="62" t="s">
        <v>258</v>
      </c>
    </row>
    <row r="1116" spans="1:17" ht="13.8" customHeight="1" x14ac:dyDescent="0.3">
      <c r="A1116" s="73" t="s">
        <v>366</v>
      </c>
      <c r="B1116" s="79">
        <v>46140</v>
      </c>
      <c r="C1116" s="73">
        <v>1242</v>
      </c>
      <c r="D1116" s="73" t="s">
        <v>256</v>
      </c>
      <c r="E1116" s="73">
        <v>2</v>
      </c>
      <c r="F1116" s="75" t="s">
        <v>257</v>
      </c>
      <c r="G1116" s="75" t="s">
        <v>257</v>
      </c>
      <c r="H1116" s="75">
        <v>6.7110000000000003</v>
      </c>
      <c r="I1116" s="75">
        <v>40081.609400000001</v>
      </c>
      <c r="J1116" s="73" t="s">
        <v>257</v>
      </c>
      <c r="K1116" s="75">
        <v>26411.929700000001</v>
      </c>
      <c r="L1116" s="75" t="s">
        <v>257</v>
      </c>
      <c r="M1116" s="73">
        <v>22.5807</v>
      </c>
      <c r="N1116" s="76">
        <v>122.9</v>
      </c>
      <c r="O1116" s="73">
        <v>4</v>
      </c>
      <c r="P1116" s="73"/>
      <c r="Q1116" s="66" t="s">
        <v>258</v>
      </c>
    </row>
    <row r="1117" spans="1:17" ht="13.8" customHeight="1" x14ac:dyDescent="0.3">
      <c r="A1117" s="70" t="s">
        <v>366</v>
      </c>
      <c r="B1117" s="78">
        <v>46140</v>
      </c>
      <c r="C1117" s="70">
        <v>1243</v>
      </c>
      <c r="D1117" s="70" t="s">
        <v>256</v>
      </c>
      <c r="E1117" s="70">
        <v>3</v>
      </c>
      <c r="F1117" s="72" t="s">
        <v>257</v>
      </c>
      <c r="G1117" s="72" t="s">
        <v>257</v>
      </c>
      <c r="H1117" s="72">
        <v>5.1886000000000001</v>
      </c>
      <c r="I1117" s="72">
        <v>5991.8262000000004</v>
      </c>
      <c r="J1117" s="70" t="s">
        <v>257</v>
      </c>
      <c r="K1117" s="72">
        <v>5324.5663999999997</v>
      </c>
      <c r="L1117" s="72" t="s">
        <v>257</v>
      </c>
      <c r="M1117" s="70" t="s">
        <v>257</v>
      </c>
      <c r="N1117" s="77">
        <v>120.14</v>
      </c>
      <c r="O1117" s="70">
        <v>4</v>
      </c>
      <c r="P1117" s="70"/>
      <c r="Q1117" s="62" t="s">
        <v>258</v>
      </c>
    </row>
    <row r="1118" spans="1:17" ht="13.8" customHeight="1" x14ac:dyDescent="0.3">
      <c r="A1118" s="73" t="s">
        <v>366</v>
      </c>
      <c r="B1118" s="79">
        <v>46140</v>
      </c>
      <c r="C1118" s="73">
        <v>1244</v>
      </c>
      <c r="D1118" s="73" t="s">
        <v>256</v>
      </c>
      <c r="E1118" s="73">
        <v>3</v>
      </c>
      <c r="F1118" s="75" t="s">
        <v>257</v>
      </c>
      <c r="G1118" s="75" t="s">
        <v>257</v>
      </c>
      <c r="H1118" s="75">
        <v>4.4932999999999996</v>
      </c>
      <c r="I1118" s="75">
        <v>6325.0171</v>
      </c>
      <c r="J1118" s="73" t="s">
        <v>257</v>
      </c>
      <c r="K1118" s="75">
        <v>13620.1299</v>
      </c>
      <c r="L1118" s="75" t="s">
        <v>257</v>
      </c>
      <c r="M1118" s="73" t="s">
        <v>257</v>
      </c>
      <c r="N1118" s="76">
        <v>120.31</v>
      </c>
      <c r="O1118" s="73">
        <v>4</v>
      </c>
      <c r="P1118" s="73"/>
      <c r="Q1118" s="66" t="s">
        <v>258</v>
      </c>
    </row>
    <row r="1119" spans="1:17" ht="13.8" customHeight="1" x14ac:dyDescent="0.3">
      <c r="A1119" s="70" t="s">
        <v>366</v>
      </c>
      <c r="B1119" s="78">
        <v>46140</v>
      </c>
      <c r="C1119" s="70">
        <v>1246</v>
      </c>
      <c r="D1119" s="70" t="s">
        <v>256</v>
      </c>
      <c r="E1119" s="70">
        <v>4</v>
      </c>
      <c r="F1119" s="72" t="s">
        <v>257</v>
      </c>
      <c r="G1119" s="72" t="s">
        <v>257</v>
      </c>
      <c r="H1119" s="72">
        <v>6.6501000000000001</v>
      </c>
      <c r="I1119" s="72">
        <v>28428.796900000001</v>
      </c>
      <c r="J1119" s="70">
        <v>375.7396</v>
      </c>
      <c r="K1119" s="72">
        <v>2398.2891</v>
      </c>
      <c r="L1119" s="72">
        <v>36.870100000000001</v>
      </c>
      <c r="M1119" s="70">
        <v>39.365699999999997</v>
      </c>
      <c r="N1119" s="77">
        <v>120.54</v>
      </c>
      <c r="O1119" s="70">
        <v>4</v>
      </c>
      <c r="P1119" s="70"/>
      <c r="Q1119" s="62" t="s">
        <v>258</v>
      </c>
    </row>
    <row r="1120" spans="1:17" ht="13.8" customHeight="1" x14ac:dyDescent="0.3">
      <c r="A1120" s="73" t="s">
        <v>366</v>
      </c>
      <c r="B1120" s="79">
        <v>46140</v>
      </c>
      <c r="C1120" s="73">
        <v>1247</v>
      </c>
      <c r="D1120" s="73" t="s">
        <v>256</v>
      </c>
      <c r="E1120" s="73">
        <v>4</v>
      </c>
      <c r="F1120" s="75" t="s">
        <v>257</v>
      </c>
      <c r="G1120" s="75" t="s">
        <v>257</v>
      </c>
      <c r="H1120" s="75">
        <v>7.7689000000000004</v>
      </c>
      <c r="I1120" s="75">
        <v>33544.234400000001</v>
      </c>
      <c r="J1120" s="73">
        <v>511.48939999999999</v>
      </c>
      <c r="K1120" s="75">
        <v>1533.2384</v>
      </c>
      <c r="L1120" s="75">
        <v>49.381599999999999</v>
      </c>
      <c r="M1120" s="73">
        <v>50.295400000000001</v>
      </c>
      <c r="N1120" s="76">
        <v>120.8</v>
      </c>
      <c r="O1120" s="73">
        <v>4</v>
      </c>
      <c r="P1120" s="73"/>
      <c r="Q1120" s="66" t="s">
        <v>258</v>
      </c>
    </row>
    <row r="1121" spans="1:17" ht="13.8" customHeight="1" x14ac:dyDescent="0.3">
      <c r="A1121" s="70" t="s">
        <v>366</v>
      </c>
      <c r="B1121" s="78">
        <v>46140</v>
      </c>
      <c r="C1121" s="70">
        <v>1248</v>
      </c>
      <c r="D1121" s="70" t="s">
        <v>256</v>
      </c>
      <c r="E1121" s="70">
        <v>4</v>
      </c>
      <c r="F1121" s="72" t="s">
        <v>257</v>
      </c>
      <c r="G1121" s="72" t="s">
        <v>257</v>
      </c>
      <c r="H1121" s="72">
        <v>6.0811000000000002</v>
      </c>
      <c r="I1121" s="72">
        <v>49886.839800000002</v>
      </c>
      <c r="J1121" s="70">
        <v>462.4101</v>
      </c>
      <c r="K1121" s="72">
        <v>7217.9951000000001</v>
      </c>
      <c r="L1121" s="72">
        <v>53.628700000000002</v>
      </c>
      <c r="M1121" s="70">
        <v>23.0425</v>
      </c>
      <c r="N1121" s="77">
        <v>122.76</v>
      </c>
      <c r="O1121" s="70">
        <v>4</v>
      </c>
      <c r="P1121" s="70"/>
      <c r="Q1121" s="62" t="s">
        <v>258</v>
      </c>
    </row>
    <row r="1122" spans="1:17" ht="13.8" customHeight="1" x14ac:dyDescent="0.3">
      <c r="A1122" s="73" t="s">
        <v>366</v>
      </c>
      <c r="B1122" s="79">
        <v>46140</v>
      </c>
      <c r="C1122" s="73">
        <v>1249</v>
      </c>
      <c r="D1122" s="73" t="s">
        <v>256</v>
      </c>
      <c r="E1122" s="73">
        <v>5</v>
      </c>
      <c r="F1122" s="75" t="s">
        <v>257</v>
      </c>
      <c r="G1122" s="75" t="s">
        <v>257</v>
      </c>
      <c r="H1122" s="75">
        <v>7.2427000000000001</v>
      </c>
      <c r="I1122" s="75">
        <v>43819.636700000003</v>
      </c>
      <c r="J1122" s="73">
        <v>537.07650000000001</v>
      </c>
      <c r="K1122" s="75">
        <v>3626.8391000000001</v>
      </c>
      <c r="L1122" s="75">
        <v>53.124400000000001</v>
      </c>
      <c r="M1122" s="73">
        <v>17.729900000000001</v>
      </c>
      <c r="N1122" s="76">
        <v>120.33</v>
      </c>
      <c r="O1122" s="73">
        <v>4</v>
      </c>
      <c r="P1122" s="73"/>
      <c r="Q1122" s="66" t="s">
        <v>258</v>
      </c>
    </row>
    <row r="1123" spans="1:17" ht="13.8" customHeight="1" x14ac:dyDescent="0.3">
      <c r="A1123" s="70" t="s">
        <v>366</v>
      </c>
      <c r="B1123" s="78">
        <v>46140</v>
      </c>
      <c r="C1123" s="70">
        <v>1250</v>
      </c>
      <c r="D1123" s="70" t="s">
        <v>256</v>
      </c>
      <c r="E1123" s="70">
        <v>5</v>
      </c>
      <c r="F1123" s="72" t="s">
        <v>257</v>
      </c>
      <c r="G1123" s="72" t="s">
        <v>257</v>
      </c>
      <c r="H1123" s="72">
        <v>7.5212000000000003</v>
      </c>
      <c r="I1123" s="72">
        <v>56280.292999999998</v>
      </c>
      <c r="J1123" s="70">
        <v>495.70760000000001</v>
      </c>
      <c r="K1123" s="72">
        <v>1949.7896000000001</v>
      </c>
      <c r="L1123" s="72">
        <v>46.155999999999999</v>
      </c>
      <c r="M1123" s="70">
        <v>18.555299999999999</v>
      </c>
      <c r="N1123" s="77">
        <v>123.12</v>
      </c>
      <c r="O1123" s="70">
        <v>4</v>
      </c>
      <c r="P1123" s="70"/>
      <c r="Q1123" s="62" t="s">
        <v>258</v>
      </c>
    </row>
    <row r="1124" spans="1:17" ht="13.8" customHeight="1" x14ac:dyDescent="0.3">
      <c r="A1124" s="73" t="s">
        <v>367</v>
      </c>
      <c r="B1124" s="79">
        <v>46140</v>
      </c>
      <c r="C1124" s="73">
        <v>1251</v>
      </c>
      <c r="D1124" s="73" t="s">
        <v>256</v>
      </c>
      <c r="E1124" s="73">
        <v>1</v>
      </c>
      <c r="F1124" s="75">
        <v>4.9973999999999998</v>
      </c>
      <c r="G1124" s="75">
        <v>1.7687999999999999</v>
      </c>
      <c r="H1124" s="75">
        <v>13.3125</v>
      </c>
      <c r="I1124" s="75">
        <v>46365.316400000003</v>
      </c>
      <c r="J1124" s="73" t="s">
        <v>257</v>
      </c>
      <c r="K1124" s="75">
        <v>29875.230500000001</v>
      </c>
      <c r="L1124" s="75">
        <v>6.0137</v>
      </c>
      <c r="M1124" s="73">
        <v>18.962399999999999</v>
      </c>
      <c r="N1124" s="76">
        <v>120.6</v>
      </c>
      <c r="O1124" s="73">
        <v>4</v>
      </c>
      <c r="P1124" s="73"/>
      <c r="Q1124" s="66" t="s">
        <v>258</v>
      </c>
    </row>
    <row r="1125" spans="1:17" ht="13.8" customHeight="1" x14ac:dyDescent="0.3">
      <c r="A1125" s="70" t="s">
        <v>367</v>
      </c>
      <c r="B1125" s="78">
        <v>46140</v>
      </c>
      <c r="C1125" s="70">
        <v>1252</v>
      </c>
      <c r="D1125" s="70" t="s">
        <v>256</v>
      </c>
      <c r="E1125" s="70">
        <v>1</v>
      </c>
      <c r="F1125" s="72">
        <v>4.2808000000000002</v>
      </c>
      <c r="G1125" s="72" t="s">
        <v>257</v>
      </c>
      <c r="H1125" s="72">
        <v>8.9753000000000007</v>
      </c>
      <c r="I1125" s="72">
        <v>107670.8906</v>
      </c>
      <c r="J1125" s="70" t="s">
        <v>257</v>
      </c>
      <c r="K1125" s="72">
        <v>56620.648399999998</v>
      </c>
      <c r="L1125" s="72">
        <v>10.866300000000001</v>
      </c>
      <c r="M1125" s="70">
        <v>12.8056</v>
      </c>
      <c r="N1125" s="77">
        <v>122.92</v>
      </c>
      <c r="O1125" s="70">
        <v>4</v>
      </c>
      <c r="P1125" s="70"/>
      <c r="Q1125" s="62" t="s">
        <v>258</v>
      </c>
    </row>
    <row r="1126" spans="1:17" ht="13.8" customHeight="1" x14ac:dyDescent="0.3">
      <c r="A1126" s="73" t="s">
        <v>367</v>
      </c>
      <c r="B1126" s="79">
        <v>46140</v>
      </c>
      <c r="C1126" s="73">
        <v>1253</v>
      </c>
      <c r="D1126" s="73" t="s">
        <v>256</v>
      </c>
      <c r="E1126" s="73">
        <v>2</v>
      </c>
      <c r="F1126" s="75">
        <v>2.7700999999999998</v>
      </c>
      <c r="G1126" s="75" t="s">
        <v>257</v>
      </c>
      <c r="H1126" s="75">
        <v>9.2353000000000005</v>
      </c>
      <c r="I1126" s="75">
        <v>74597.132800000007</v>
      </c>
      <c r="J1126" s="73">
        <v>38.778700000000001</v>
      </c>
      <c r="K1126" s="75">
        <v>42916.585899999998</v>
      </c>
      <c r="L1126" s="75">
        <v>4.7267000000000001</v>
      </c>
      <c r="M1126" s="73">
        <v>12.8024</v>
      </c>
      <c r="N1126" s="76">
        <v>120.22</v>
      </c>
      <c r="O1126" s="73">
        <v>4</v>
      </c>
      <c r="P1126" s="73"/>
      <c r="Q1126" s="66" t="s">
        <v>258</v>
      </c>
    </row>
    <row r="1127" spans="1:17" ht="13.8" customHeight="1" x14ac:dyDescent="0.3">
      <c r="A1127" s="70" t="s">
        <v>367</v>
      </c>
      <c r="B1127" s="78">
        <v>46140</v>
      </c>
      <c r="C1127" s="70">
        <v>1254</v>
      </c>
      <c r="D1127" s="70" t="s">
        <v>256</v>
      </c>
      <c r="E1127" s="70">
        <v>2</v>
      </c>
      <c r="F1127" s="72">
        <v>3.5421999999999998</v>
      </c>
      <c r="G1127" s="72" t="s">
        <v>257</v>
      </c>
      <c r="H1127" s="72">
        <v>12.994</v>
      </c>
      <c r="I1127" s="72">
        <v>80303.429699999993</v>
      </c>
      <c r="J1127" s="70" t="s">
        <v>257</v>
      </c>
      <c r="K1127" s="72">
        <v>44601.726600000002</v>
      </c>
      <c r="L1127" s="72" t="s">
        <v>257</v>
      </c>
      <c r="M1127" s="70">
        <v>14.003399999999999</v>
      </c>
      <c r="N1127" s="77">
        <v>122.81</v>
      </c>
      <c r="O1127" s="70">
        <v>4</v>
      </c>
      <c r="P1127" s="70"/>
      <c r="Q1127" s="62" t="s">
        <v>258</v>
      </c>
    </row>
    <row r="1128" spans="1:17" ht="13.8" customHeight="1" x14ac:dyDescent="0.3">
      <c r="A1128" s="73" t="s">
        <v>367</v>
      </c>
      <c r="B1128" s="79">
        <v>46140</v>
      </c>
      <c r="C1128" s="73">
        <v>1255</v>
      </c>
      <c r="D1128" s="73" t="s">
        <v>256</v>
      </c>
      <c r="E1128" s="73">
        <v>3</v>
      </c>
      <c r="F1128" s="75" t="s">
        <v>257</v>
      </c>
      <c r="G1128" s="75" t="s">
        <v>257</v>
      </c>
      <c r="H1128" s="75">
        <v>7.5781999999999998</v>
      </c>
      <c r="I1128" s="75">
        <v>45901.433599999997</v>
      </c>
      <c r="J1128" s="73" t="s">
        <v>257</v>
      </c>
      <c r="K1128" s="75">
        <v>16336.742200000001</v>
      </c>
      <c r="L1128" s="75" t="s">
        <v>257</v>
      </c>
      <c r="M1128" s="73">
        <v>5.0056000000000003</v>
      </c>
      <c r="N1128" s="76">
        <v>120.4</v>
      </c>
      <c r="O1128" s="73">
        <v>4</v>
      </c>
      <c r="P1128" s="73"/>
      <c r="Q1128" s="66" t="s">
        <v>258</v>
      </c>
    </row>
    <row r="1129" spans="1:17" ht="13.8" customHeight="1" x14ac:dyDescent="0.3">
      <c r="A1129" s="70" t="s">
        <v>367</v>
      </c>
      <c r="B1129" s="78">
        <v>46140</v>
      </c>
      <c r="C1129" s="70">
        <v>1256</v>
      </c>
      <c r="D1129" s="70" t="s">
        <v>256</v>
      </c>
      <c r="E1129" s="70">
        <v>3</v>
      </c>
      <c r="F1129" s="72">
        <v>2.0789</v>
      </c>
      <c r="G1129" s="72" t="s">
        <v>257</v>
      </c>
      <c r="H1129" s="72">
        <v>10.898400000000001</v>
      </c>
      <c r="I1129" s="72">
        <v>23302.982400000001</v>
      </c>
      <c r="J1129" s="70" t="s">
        <v>257</v>
      </c>
      <c r="K1129" s="72">
        <v>16259.4473</v>
      </c>
      <c r="L1129" s="72" t="s">
        <v>257</v>
      </c>
      <c r="M1129" s="70">
        <v>5.1428000000000003</v>
      </c>
      <c r="N1129" s="77">
        <v>123.12</v>
      </c>
      <c r="O1129" s="70">
        <v>4</v>
      </c>
      <c r="P1129" s="70"/>
      <c r="Q1129" s="62" t="s">
        <v>258</v>
      </c>
    </row>
    <row r="1130" spans="1:17" ht="13.8" customHeight="1" x14ac:dyDescent="0.3">
      <c r="A1130" s="73" t="s">
        <v>367</v>
      </c>
      <c r="B1130" s="79">
        <v>46140</v>
      </c>
      <c r="C1130" s="73">
        <v>1257</v>
      </c>
      <c r="D1130" s="73" t="s">
        <v>256</v>
      </c>
      <c r="E1130" s="73">
        <v>4</v>
      </c>
      <c r="F1130" s="75" t="s">
        <v>257</v>
      </c>
      <c r="G1130" s="75" t="s">
        <v>257</v>
      </c>
      <c r="H1130" s="75">
        <v>10.5761</v>
      </c>
      <c r="I1130" s="75">
        <v>45980.972699999998</v>
      </c>
      <c r="J1130" s="73" t="s">
        <v>257</v>
      </c>
      <c r="K1130" s="75">
        <v>15045.392599999999</v>
      </c>
      <c r="L1130" s="75" t="s">
        <v>257</v>
      </c>
      <c r="M1130" s="73">
        <v>9.5366</v>
      </c>
      <c r="N1130" s="76">
        <v>94.36</v>
      </c>
      <c r="O1130" s="73">
        <v>4</v>
      </c>
      <c r="P1130" s="73"/>
      <c r="Q1130" s="66" t="s">
        <v>258</v>
      </c>
    </row>
    <row r="1131" spans="1:17" ht="13.8" customHeight="1" x14ac:dyDescent="0.3">
      <c r="A1131" s="70" t="s">
        <v>367</v>
      </c>
      <c r="B1131" s="78">
        <v>46140</v>
      </c>
      <c r="C1131" s="70">
        <v>1258</v>
      </c>
      <c r="D1131" s="70" t="s">
        <v>256</v>
      </c>
      <c r="E1131" s="70">
        <v>4</v>
      </c>
      <c r="F1131" s="72" t="s">
        <v>257</v>
      </c>
      <c r="G1131" s="72" t="s">
        <v>257</v>
      </c>
      <c r="H1131" s="72">
        <v>8.8293999999999997</v>
      </c>
      <c r="I1131" s="72">
        <v>46664.796900000001</v>
      </c>
      <c r="J1131" s="70">
        <v>154.0652</v>
      </c>
      <c r="K1131" s="72">
        <v>22167.718799999999</v>
      </c>
      <c r="L1131" s="72">
        <v>29.682300000000001</v>
      </c>
      <c r="M1131" s="70">
        <v>10.0204</v>
      </c>
      <c r="N1131" s="77">
        <v>123.21</v>
      </c>
      <c r="O1131" s="70">
        <v>4</v>
      </c>
      <c r="P1131" s="70"/>
      <c r="Q1131" s="62" t="s">
        <v>258</v>
      </c>
    </row>
    <row r="1132" spans="1:17" ht="13.8" customHeight="1" x14ac:dyDescent="0.3">
      <c r="A1132" s="73" t="s">
        <v>367</v>
      </c>
      <c r="B1132" s="79">
        <v>46140</v>
      </c>
      <c r="C1132" s="73">
        <v>1259</v>
      </c>
      <c r="D1132" s="73" t="s">
        <v>256</v>
      </c>
      <c r="E1132" s="73">
        <v>5</v>
      </c>
      <c r="F1132" s="75" t="s">
        <v>257</v>
      </c>
      <c r="G1132" s="75" t="s">
        <v>257</v>
      </c>
      <c r="H1132" s="75">
        <v>7.1426999999999996</v>
      </c>
      <c r="I1132" s="75">
        <v>38677.078099999999</v>
      </c>
      <c r="J1132" s="73">
        <v>279.64190000000002</v>
      </c>
      <c r="K1132" s="75">
        <v>15056.049800000001</v>
      </c>
      <c r="L1132" s="75">
        <v>49.018300000000004</v>
      </c>
      <c r="M1132" s="73">
        <v>13.877000000000001</v>
      </c>
      <c r="N1132" s="76">
        <v>120.36</v>
      </c>
      <c r="O1132" s="73">
        <v>4</v>
      </c>
      <c r="P1132" s="73"/>
      <c r="Q1132" s="66" t="s">
        <v>258</v>
      </c>
    </row>
    <row r="1133" spans="1:17" ht="13.8" customHeight="1" x14ac:dyDescent="0.3">
      <c r="A1133" s="70" t="s">
        <v>367</v>
      </c>
      <c r="B1133" s="78">
        <v>46140</v>
      </c>
      <c r="C1133" s="70">
        <v>1260</v>
      </c>
      <c r="D1133" s="70" t="s">
        <v>256</v>
      </c>
      <c r="E1133" s="70">
        <v>5</v>
      </c>
      <c r="F1133" s="72">
        <v>3.1406000000000001</v>
      </c>
      <c r="G1133" s="72" t="s">
        <v>257</v>
      </c>
      <c r="H1133" s="72">
        <v>8.3803000000000001</v>
      </c>
      <c r="I1133" s="72">
        <v>30970.7363</v>
      </c>
      <c r="J1133" s="70">
        <v>402.7688</v>
      </c>
      <c r="K1133" s="72">
        <v>7904.7793000000001</v>
      </c>
      <c r="L1133" s="72">
        <v>48.201099999999997</v>
      </c>
      <c r="M1133" s="70">
        <v>16.194400000000002</v>
      </c>
      <c r="N1133" s="77">
        <v>122.94</v>
      </c>
      <c r="O1133" s="70">
        <v>4</v>
      </c>
      <c r="P1133" s="70"/>
      <c r="Q1133" s="62" t="s">
        <v>258</v>
      </c>
    </row>
    <row r="1134" spans="1:17" ht="13.8" customHeight="1" x14ac:dyDescent="0.3">
      <c r="A1134" s="73" t="s">
        <v>367</v>
      </c>
      <c r="B1134" s="79">
        <v>46140</v>
      </c>
      <c r="C1134" s="73">
        <v>1261</v>
      </c>
      <c r="D1134" s="73" t="s">
        <v>256</v>
      </c>
      <c r="E1134" s="73">
        <v>5</v>
      </c>
      <c r="F1134" s="75">
        <v>3.8555000000000001</v>
      </c>
      <c r="G1134" s="75" t="s">
        <v>257</v>
      </c>
      <c r="H1134" s="75">
        <v>11.1257</v>
      </c>
      <c r="I1134" s="75">
        <v>28815.353500000001</v>
      </c>
      <c r="J1134" s="73">
        <v>198.11340000000001</v>
      </c>
      <c r="K1134" s="75">
        <v>13643.9072</v>
      </c>
      <c r="L1134" s="75">
        <v>28.4406</v>
      </c>
      <c r="M1134" s="73">
        <v>13.2072</v>
      </c>
      <c r="N1134" s="76">
        <v>120.31</v>
      </c>
      <c r="O1134" s="73">
        <v>4</v>
      </c>
      <c r="P1134" s="73"/>
      <c r="Q1134" s="66" t="s">
        <v>258</v>
      </c>
    </row>
    <row r="1135" spans="1:17" ht="13.8" customHeight="1" x14ac:dyDescent="0.3">
      <c r="A1135" s="70" t="s">
        <v>368</v>
      </c>
      <c r="B1135" s="78">
        <v>46140</v>
      </c>
      <c r="C1135" s="70">
        <v>1262</v>
      </c>
      <c r="D1135" s="70" t="s">
        <v>256</v>
      </c>
      <c r="E1135" s="70">
        <v>1</v>
      </c>
      <c r="F1135" s="72">
        <v>7.9398</v>
      </c>
      <c r="G1135" s="72" t="s">
        <v>257</v>
      </c>
      <c r="H1135" s="72">
        <v>6.1985999999999999</v>
      </c>
      <c r="I1135" s="72">
        <v>2363.895</v>
      </c>
      <c r="J1135" s="70" t="s">
        <v>257</v>
      </c>
      <c r="K1135" s="72">
        <v>14600.8184</v>
      </c>
      <c r="L1135" s="72" t="s">
        <v>257</v>
      </c>
      <c r="M1135" s="70" t="s">
        <v>257</v>
      </c>
      <c r="N1135" s="77">
        <v>122.92</v>
      </c>
      <c r="O1135" s="70">
        <v>4</v>
      </c>
      <c r="P1135" s="70"/>
      <c r="Q1135" s="62" t="s">
        <v>258</v>
      </c>
    </row>
    <row r="1136" spans="1:17" ht="13.8" customHeight="1" x14ac:dyDescent="0.3">
      <c r="A1136" s="73" t="s">
        <v>368</v>
      </c>
      <c r="B1136" s="79">
        <v>46140</v>
      </c>
      <c r="C1136" s="73">
        <v>1263</v>
      </c>
      <c r="D1136" s="73" t="s">
        <v>256</v>
      </c>
      <c r="E1136" s="73">
        <v>1</v>
      </c>
      <c r="F1136" s="75">
        <v>4.2268999999999997</v>
      </c>
      <c r="G1136" s="75" t="s">
        <v>257</v>
      </c>
      <c r="H1136" s="75">
        <v>6.8570000000000002</v>
      </c>
      <c r="I1136" s="75">
        <v>2561.9114</v>
      </c>
      <c r="J1136" s="73" t="s">
        <v>257</v>
      </c>
      <c r="K1136" s="75">
        <v>12495.200199999999</v>
      </c>
      <c r="L1136" s="75" t="s">
        <v>257</v>
      </c>
      <c r="M1136" s="73" t="s">
        <v>257</v>
      </c>
      <c r="N1136" s="76">
        <v>120.16</v>
      </c>
      <c r="O1136" s="73">
        <v>4</v>
      </c>
      <c r="P1136" s="73"/>
      <c r="Q1136" s="66" t="s">
        <v>258</v>
      </c>
    </row>
    <row r="1137" spans="1:17" ht="13.8" customHeight="1" x14ac:dyDescent="0.3">
      <c r="A1137" s="70" t="s">
        <v>368</v>
      </c>
      <c r="B1137" s="78">
        <v>46140</v>
      </c>
      <c r="C1137" s="70">
        <v>1264</v>
      </c>
      <c r="D1137" s="70" t="s">
        <v>256</v>
      </c>
      <c r="E1137" s="70">
        <v>2</v>
      </c>
      <c r="F1137" s="72" t="s">
        <v>257</v>
      </c>
      <c r="G1137" s="72" t="s">
        <v>257</v>
      </c>
      <c r="H1137" s="72">
        <v>4.3155999999999999</v>
      </c>
      <c r="I1137" s="72">
        <v>1591.5061000000001</v>
      </c>
      <c r="J1137" s="70" t="s">
        <v>257</v>
      </c>
      <c r="K1137" s="72">
        <v>28386.339800000002</v>
      </c>
      <c r="L1137" s="72" t="s">
        <v>257</v>
      </c>
      <c r="M1137" s="70" t="s">
        <v>257</v>
      </c>
      <c r="N1137" s="77">
        <v>122.92</v>
      </c>
      <c r="O1137" s="70">
        <v>4</v>
      </c>
      <c r="P1137" s="70"/>
      <c r="Q1137" s="62" t="s">
        <v>258</v>
      </c>
    </row>
    <row r="1138" spans="1:17" ht="13.8" customHeight="1" x14ac:dyDescent="0.3">
      <c r="A1138" s="73" t="s">
        <v>368</v>
      </c>
      <c r="B1138" s="79">
        <v>46140</v>
      </c>
      <c r="C1138" s="73">
        <v>1265</v>
      </c>
      <c r="D1138" s="73" t="s">
        <v>256</v>
      </c>
      <c r="E1138" s="73">
        <v>2</v>
      </c>
      <c r="F1138" s="75">
        <v>7.3432000000000004</v>
      </c>
      <c r="G1138" s="75" t="s">
        <v>257</v>
      </c>
      <c r="H1138" s="75">
        <v>4.1788999999999996</v>
      </c>
      <c r="I1138" s="75">
        <v>2012.1912</v>
      </c>
      <c r="J1138" s="73" t="s">
        <v>257</v>
      </c>
      <c r="K1138" s="75">
        <v>11689.0908</v>
      </c>
      <c r="L1138" s="75">
        <v>17.918500000000002</v>
      </c>
      <c r="M1138" s="73" t="s">
        <v>257</v>
      </c>
      <c r="N1138" s="76">
        <v>120.47</v>
      </c>
      <c r="O1138" s="73">
        <v>4</v>
      </c>
      <c r="P1138" s="73"/>
      <c r="Q1138" s="66" t="s">
        <v>258</v>
      </c>
    </row>
    <row r="1139" spans="1:17" ht="13.8" customHeight="1" x14ac:dyDescent="0.3">
      <c r="A1139" s="70" t="s">
        <v>368</v>
      </c>
      <c r="B1139" s="78">
        <v>46140</v>
      </c>
      <c r="C1139" s="70">
        <v>1266</v>
      </c>
      <c r="D1139" s="70" t="s">
        <v>256</v>
      </c>
      <c r="E1139" s="70">
        <v>2</v>
      </c>
      <c r="F1139" s="72">
        <v>10.365</v>
      </c>
      <c r="G1139" s="72" t="s">
        <v>257</v>
      </c>
      <c r="H1139" s="72">
        <v>4.7525000000000004</v>
      </c>
      <c r="I1139" s="72">
        <v>2437.1889999999999</v>
      </c>
      <c r="J1139" s="70" t="s">
        <v>257</v>
      </c>
      <c r="K1139" s="72">
        <v>14082.992200000001</v>
      </c>
      <c r="L1139" s="72">
        <v>3.2705000000000002</v>
      </c>
      <c r="M1139" s="70" t="s">
        <v>257</v>
      </c>
      <c r="N1139" s="77">
        <v>123.15</v>
      </c>
      <c r="O1139" s="70">
        <v>4</v>
      </c>
      <c r="P1139" s="70"/>
      <c r="Q1139" s="62" t="s">
        <v>258</v>
      </c>
    </row>
    <row r="1140" spans="1:17" ht="13.8" customHeight="1" x14ac:dyDescent="0.3">
      <c r="A1140" s="73" t="s">
        <v>368</v>
      </c>
      <c r="B1140" s="79">
        <v>46140</v>
      </c>
      <c r="C1140" s="73">
        <v>1267</v>
      </c>
      <c r="D1140" s="73" t="s">
        <v>256</v>
      </c>
      <c r="E1140" s="73">
        <v>2</v>
      </c>
      <c r="F1140" s="75">
        <v>76.125299999999996</v>
      </c>
      <c r="G1140" s="75" t="s">
        <v>257</v>
      </c>
      <c r="H1140" s="75">
        <v>2.8704000000000001</v>
      </c>
      <c r="I1140" s="75">
        <v>1823.5864999999999</v>
      </c>
      <c r="J1140" s="73" t="s">
        <v>257</v>
      </c>
      <c r="K1140" s="75">
        <v>10279.3994</v>
      </c>
      <c r="L1140" s="75" t="s">
        <v>257</v>
      </c>
      <c r="M1140" s="73" t="s">
        <v>257</v>
      </c>
      <c r="N1140" s="76">
        <v>122.88</v>
      </c>
      <c r="O1140" s="73">
        <v>4</v>
      </c>
      <c r="P1140" s="73"/>
      <c r="Q1140" s="66" t="s">
        <v>258</v>
      </c>
    </row>
    <row r="1141" spans="1:17" ht="13.8" customHeight="1" x14ac:dyDescent="0.3">
      <c r="A1141" s="70" t="s">
        <v>368</v>
      </c>
      <c r="B1141" s="78">
        <v>46140</v>
      </c>
      <c r="C1141" s="70">
        <v>1268</v>
      </c>
      <c r="D1141" s="70" t="s">
        <v>256</v>
      </c>
      <c r="E1141" s="70">
        <v>3</v>
      </c>
      <c r="F1141" s="72" t="s">
        <v>257</v>
      </c>
      <c r="G1141" s="72" t="s">
        <v>257</v>
      </c>
      <c r="H1141" s="72" t="s">
        <v>257</v>
      </c>
      <c r="I1141" s="72" t="s">
        <v>257</v>
      </c>
      <c r="J1141" s="70">
        <v>1052.2811999999999</v>
      </c>
      <c r="K1141" s="72">
        <v>52487.636700000003</v>
      </c>
      <c r="L1141" s="72" t="s">
        <v>257</v>
      </c>
      <c r="M1141" s="70" t="s">
        <v>257</v>
      </c>
      <c r="N1141" s="77">
        <v>123.29</v>
      </c>
      <c r="O1141" s="70">
        <v>4</v>
      </c>
      <c r="P1141" s="70" t="s">
        <v>357</v>
      </c>
      <c r="Q1141" s="62" t="s">
        <v>258</v>
      </c>
    </row>
    <row r="1142" spans="1:17" ht="13.8" customHeight="1" x14ac:dyDescent="0.3">
      <c r="A1142" s="73" t="s">
        <v>368</v>
      </c>
      <c r="B1142" s="79">
        <v>46140</v>
      </c>
      <c r="C1142" s="73">
        <v>1269</v>
      </c>
      <c r="D1142" s="73" t="s">
        <v>256</v>
      </c>
      <c r="E1142" s="73">
        <v>3</v>
      </c>
      <c r="F1142" s="75" t="s">
        <v>257</v>
      </c>
      <c r="G1142" s="75" t="s">
        <v>257</v>
      </c>
      <c r="H1142" s="75" t="s">
        <v>257</v>
      </c>
      <c r="I1142" s="75" t="s">
        <v>257</v>
      </c>
      <c r="J1142" s="73">
        <v>1205.1492000000001</v>
      </c>
      <c r="K1142" s="75">
        <v>54834.113299999997</v>
      </c>
      <c r="L1142" s="75" t="s">
        <v>257</v>
      </c>
      <c r="M1142" s="73" t="s">
        <v>257</v>
      </c>
      <c r="N1142" s="76">
        <v>123.04</v>
      </c>
      <c r="O1142" s="73">
        <v>4</v>
      </c>
      <c r="P1142" s="73" t="s">
        <v>357</v>
      </c>
      <c r="Q1142" s="66" t="s">
        <v>258</v>
      </c>
    </row>
    <row r="1143" spans="1:17" ht="13.8" customHeight="1" x14ac:dyDescent="0.3">
      <c r="A1143" s="70" t="s">
        <v>368</v>
      </c>
      <c r="B1143" s="78">
        <v>46140</v>
      </c>
      <c r="C1143" s="70">
        <v>1270</v>
      </c>
      <c r="D1143" s="70" t="s">
        <v>256</v>
      </c>
      <c r="E1143" s="70">
        <v>4</v>
      </c>
      <c r="F1143" s="72">
        <v>9.7218</v>
      </c>
      <c r="G1143" s="72" t="s">
        <v>257</v>
      </c>
      <c r="H1143" s="72">
        <v>3.5495000000000001</v>
      </c>
      <c r="I1143" s="72">
        <v>2184.0718000000002</v>
      </c>
      <c r="J1143" s="70" t="s">
        <v>257</v>
      </c>
      <c r="K1143" s="72">
        <v>5047.1127999999999</v>
      </c>
      <c r="L1143" s="72" t="s">
        <v>257</v>
      </c>
      <c r="M1143" s="70" t="s">
        <v>257</v>
      </c>
      <c r="N1143" s="77">
        <v>122.91</v>
      </c>
      <c r="O1143" s="70">
        <v>4</v>
      </c>
      <c r="P1143" s="70"/>
      <c r="Q1143" s="62" t="s">
        <v>258</v>
      </c>
    </row>
    <row r="1144" spans="1:17" ht="13.8" customHeight="1" x14ac:dyDescent="0.3">
      <c r="A1144" s="73" t="s">
        <v>368</v>
      </c>
      <c r="B1144" s="79">
        <v>46140</v>
      </c>
      <c r="C1144" s="73">
        <v>1271</v>
      </c>
      <c r="D1144" s="73" t="s">
        <v>256</v>
      </c>
      <c r="E1144" s="73">
        <v>4</v>
      </c>
      <c r="F1144" s="75">
        <v>2.5491999999999999</v>
      </c>
      <c r="G1144" s="75" t="s">
        <v>257</v>
      </c>
      <c r="H1144" s="75">
        <v>3.7058</v>
      </c>
      <c r="I1144" s="75">
        <v>2031.7119</v>
      </c>
      <c r="J1144" s="73" t="s">
        <v>257</v>
      </c>
      <c r="K1144" s="75">
        <v>3404.5749999999998</v>
      </c>
      <c r="L1144" s="75" t="s">
        <v>257</v>
      </c>
      <c r="M1144" s="73" t="s">
        <v>257</v>
      </c>
      <c r="N1144" s="76">
        <v>120.82</v>
      </c>
      <c r="O1144" s="73">
        <v>4</v>
      </c>
      <c r="P1144" s="73"/>
      <c r="Q1144" s="66" t="s">
        <v>258</v>
      </c>
    </row>
    <row r="1145" spans="1:17" ht="13.8" customHeight="1" x14ac:dyDescent="0.3">
      <c r="A1145" s="70" t="s">
        <v>368</v>
      </c>
      <c r="B1145" s="78">
        <v>46140</v>
      </c>
      <c r="C1145" s="70">
        <v>1272</v>
      </c>
      <c r="D1145" s="70" t="s">
        <v>256</v>
      </c>
      <c r="E1145" s="70">
        <v>4</v>
      </c>
      <c r="F1145" s="72">
        <v>4.0971000000000002</v>
      </c>
      <c r="G1145" s="72" t="s">
        <v>257</v>
      </c>
      <c r="H1145" s="72">
        <v>5.95</v>
      </c>
      <c r="I1145" s="72">
        <v>4011.3083000000001</v>
      </c>
      <c r="J1145" s="70" t="s">
        <v>257</v>
      </c>
      <c r="K1145" s="72">
        <v>7127.6864999999998</v>
      </c>
      <c r="L1145" s="72" t="s">
        <v>257</v>
      </c>
      <c r="M1145" s="70" t="s">
        <v>257</v>
      </c>
      <c r="N1145" s="77">
        <v>120.57</v>
      </c>
      <c r="O1145" s="70">
        <v>4</v>
      </c>
      <c r="P1145" s="70"/>
      <c r="Q1145" s="62" t="s">
        <v>258</v>
      </c>
    </row>
    <row r="1146" spans="1:17" ht="13.8" customHeight="1" x14ac:dyDescent="0.3">
      <c r="A1146" s="73" t="s">
        <v>368</v>
      </c>
      <c r="B1146" s="79">
        <v>46140</v>
      </c>
      <c r="C1146" s="73">
        <v>1273</v>
      </c>
      <c r="D1146" s="73" t="s">
        <v>256</v>
      </c>
      <c r="E1146" s="73">
        <v>5</v>
      </c>
      <c r="F1146" s="75">
        <v>28.511600000000001</v>
      </c>
      <c r="G1146" s="75" t="s">
        <v>257</v>
      </c>
      <c r="H1146" s="75" t="s">
        <v>257</v>
      </c>
      <c r="I1146" s="75">
        <v>1503.9733000000001</v>
      </c>
      <c r="J1146" s="73" t="s">
        <v>257</v>
      </c>
      <c r="K1146" s="75">
        <v>2080.0146</v>
      </c>
      <c r="L1146" s="75" t="s">
        <v>257</v>
      </c>
      <c r="M1146" s="73" t="s">
        <v>257</v>
      </c>
      <c r="N1146" s="76">
        <v>122.86</v>
      </c>
      <c r="O1146" s="73">
        <v>4</v>
      </c>
      <c r="P1146" s="73"/>
      <c r="Q1146" s="66" t="s">
        <v>258</v>
      </c>
    </row>
    <row r="1147" spans="1:17" ht="13.8" customHeight="1" x14ac:dyDescent="0.3">
      <c r="A1147" s="70" t="s">
        <v>368</v>
      </c>
      <c r="B1147" s="78">
        <v>46140</v>
      </c>
      <c r="C1147" s="70">
        <v>1274</v>
      </c>
      <c r="D1147" s="70" t="s">
        <v>256</v>
      </c>
      <c r="E1147" s="70">
        <v>5</v>
      </c>
      <c r="F1147" s="72">
        <v>93.548900000000003</v>
      </c>
      <c r="G1147" s="72" t="s">
        <v>257</v>
      </c>
      <c r="H1147" s="72" t="s">
        <v>257</v>
      </c>
      <c r="I1147" s="72">
        <v>1526.8996999999999</v>
      </c>
      <c r="J1147" s="70" t="s">
        <v>257</v>
      </c>
      <c r="K1147" s="72">
        <v>3257.0435000000002</v>
      </c>
      <c r="L1147" s="72" t="s">
        <v>257</v>
      </c>
      <c r="M1147" s="70" t="s">
        <v>257</v>
      </c>
      <c r="N1147" s="77">
        <v>120.43</v>
      </c>
      <c r="O1147" s="70">
        <v>4</v>
      </c>
      <c r="P1147" s="70"/>
      <c r="Q1147" s="62" t="s">
        <v>258</v>
      </c>
    </row>
    <row r="1148" spans="1:17" ht="13.8" customHeight="1" x14ac:dyDescent="0.3">
      <c r="A1148" s="73" t="s">
        <v>368</v>
      </c>
      <c r="B1148" s="79">
        <v>46140</v>
      </c>
      <c r="C1148" s="73">
        <v>1275</v>
      </c>
      <c r="D1148" s="73" t="s">
        <v>256</v>
      </c>
      <c r="E1148" s="73">
        <v>5</v>
      </c>
      <c r="F1148" s="75">
        <v>66.5488</v>
      </c>
      <c r="G1148" s="75" t="s">
        <v>257</v>
      </c>
      <c r="H1148" s="75">
        <v>3.5222000000000002</v>
      </c>
      <c r="I1148" s="75">
        <v>1663.5707</v>
      </c>
      <c r="J1148" s="73" t="s">
        <v>257</v>
      </c>
      <c r="K1148" s="75">
        <v>3932.6277</v>
      </c>
      <c r="L1148" s="75" t="s">
        <v>257</v>
      </c>
      <c r="M1148" s="73" t="s">
        <v>257</v>
      </c>
      <c r="N1148" s="76">
        <v>120.21</v>
      </c>
      <c r="O1148" s="73">
        <v>4</v>
      </c>
      <c r="P1148" s="73"/>
      <c r="Q1148" s="66" t="s">
        <v>258</v>
      </c>
    </row>
    <row r="1149" spans="1:17" ht="13.8" customHeight="1" x14ac:dyDescent="0.3">
      <c r="A1149" s="70" t="s">
        <v>369</v>
      </c>
      <c r="B1149" s="78">
        <v>46140</v>
      </c>
      <c r="C1149" s="70">
        <v>63</v>
      </c>
      <c r="D1149" s="70" t="s">
        <v>256</v>
      </c>
      <c r="E1149" s="70">
        <v>1</v>
      </c>
      <c r="F1149" s="72">
        <v>4.0312999999999999</v>
      </c>
      <c r="G1149" s="72">
        <v>21.331199999999999</v>
      </c>
      <c r="H1149" s="72">
        <v>9.3429000000000002</v>
      </c>
      <c r="I1149" s="72">
        <v>30211.330099999999</v>
      </c>
      <c r="J1149" s="70">
        <v>83.556200000000004</v>
      </c>
      <c r="K1149" s="72">
        <v>13771.179700000001</v>
      </c>
      <c r="L1149" s="72">
        <v>7.7393999999999998</v>
      </c>
      <c r="M1149" s="70">
        <v>16.634599999999999</v>
      </c>
      <c r="N1149" s="77">
        <v>126.13</v>
      </c>
      <c r="O1149" s="70">
        <v>4</v>
      </c>
      <c r="P1149" s="70"/>
      <c r="Q1149" s="62" t="s">
        <v>360</v>
      </c>
    </row>
    <row r="1150" spans="1:17" ht="13.8" customHeight="1" x14ac:dyDescent="0.3">
      <c r="A1150" s="73" t="s">
        <v>369</v>
      </c>
      <c r="B1150" s="79">
        <v>46140</v>
      </c>
      <c r="C1150" s="73">
        <v>64</v>
      </c>
      <c r="D1150" s="73" t="s">
        <v>256</v>
      </c>
      <c r="E1150" s="73">
        <v>1</v>
      </c>
      <c r="F1150" s="75">
        <v>3.3250000000000002</v>
      </c>
      <c r="G1150" s="75">
        <v>14.1401</v>
      </c>
      <c r="H1150" s="75">
        <v>8.6692999999999998</v>
      </c>
      <c r="I1150" s="75">
        <v>19007.089800000002</v>
      </c>
      <c r="J1150" s="73">
        <v>53.384900000000002</v>
      </c>
      <c r="K1150" s="75">
        <v>5210.5097999999998</v>
      </c>
      <c r="L1150" s="75">
        <v>6.3996000000000004</v>
      </c>
      <c r="M1150" s="73">
        <v>6.9248000000000003</v>
      </c>
      <c r="N1150" s="76">
        <v>120.33</v>
      </c>
      <c r="O1150" s="73">
        <v>4</v>
      </c>
      <c r="P1150" s="73"/>
      <c r="Q1150" s="66" t="s">
        <v>360</v>
      </c>
    </row>
    <row r="1151" spans="1:17" ht="13.8" customHeight="1" x14ac:dyDescent="0.3">
      <c r="A1151" s="70" t="s">
        <v>369</v>
      </c>
      <c r="B1151" s="78">
        <v>46140</v>
      </c>
      <c r="C1151" s="70">
        <v>65</v>
      </c>
      <c r="D1151" s="70" t="s">
        <v>256</v>
      </c>
      <c r="E1151" s="70">
        <v>2</v>
      </c>
      <c r="F1151" s="72" t="s">
        <v>257</v>
      </c>
      <c r="G1151" s="72">
        <v>22.586400000000001</v>
      </c>
      <c r="H1151" s="72">
        <v>8.1705000000000005</v>
      </c>
      <c r="I1151" s="72">
        <v>22551.355500000001</v>
      </c>
      <c r="J1151" s="70">
        <v>218.53149999999999</v>
      </c>
      <c r="K1151" s="72">
        <v>4153.3495999999996</v>
      </c>
      <c r="L1151" s="72">
        <v>14.5223</v>
      </c>
      <c r="M1151" s="70">
        <v>4.7885999999999997</v>
      </c>
      <c r="N1151" s="77">
        <v>120.4</v>
      </c>
      <c r="O1151" s="70">
        <v>4</v>
      </c>
      <c r="P1151" s="70"/>
      <c r="Q1151" s="62" t="s">
        <v>360</v>
      </c>
    </row>
    <row r="1152" spans="1:17" ht="13.8" customHeight="1" x14ac:dyDescent="0.3">
      <c r="A1152" s="73" t="s">
        <v>369</v>
      </c>
      <c r="B1152" s="79">
        <v>46140</v>
      </c>
      <c r="C1152" s="73">
        <v>67</v>
      </c>
      <c r="D1152" s="73" t="s">
        <v>256</v>
      </c>
      <c r="E1152" s="73">
        <v>2</v>
      </c>
      <c r="F1152" s="75" t="s">
        <v>257</v>
      </c>
      <c r="G1152" s="75">
        <v>16.070799999999998</v>
      </c>
      <c r="H1152" s="75">
        <v>9.5863999999999994</v>
      </c>
      <c r="I1152" s="75">
        <v>30993.152300000002</v>
      </c>
      <c r="J1152" s="73">
        <v>325.1429</v>
      </c>
      <c r="K1152" s="75">
        <v>6085.6073999999999</v>
      </c>
      <c r="L1152" s="75">
        <v>24.037700000000001</v>
      </c>
      <c r="M1152" s="73" t="s">
        <v>257</v>
      </c>
      <c r="N1152" s="76">
        <v>120.11</v>
      </c>
      <c r="O1152" s="73">
        <v>4</v>
      </c>
      <c r="P1152" s="73"/>
      <c r="Q1152" s="66" t="s">
        <v>360</v>
      </c>
    </row>
    <row r="1153" spans="1:17" ht="13.8" customHeight="1" x14ac:dyDescent="0.3">
      <c r="A1153" s="70" t="s">
        <v>369</v>
      </c>
      <c r="B1153" s="78">
        <v>46140</v>
      </c>
      <c r="C1153" s="70">
        <v>68</v>
      </c>
      <c r="D1153" s="70" t="s">
        <v>256</v>
      </c>
      <c r="E1153" s="70">
        <v>3</v>
      </c>
      <c r="F1153" s="72" t="s">
        <v>257</v>
      </c>
      <c r="G1153" s="72">
        <v>9.6289999999999996</v>
      </c>
      <c r="H1153" s="72">
        <v>7.4854000000000003</v>
      </c>
      <c r="I1153" s="72">
        <v>64847.949200000003</v>
      </c>
      <c r="J1153" s="70" t="s">
        <v>257</v>
      </c>
      <c r="K1153" s="72">
        <v>22562.460899999998</v>
      </c>
      <c r="L1153" s="72">
        <v>3.3816000000000002</v>
      </c>
      <c r="M1153" s="70">
        <v>12.9556</v>
      </c>
      <c r="N1153" s="77">
        <v>125.77</v>
      </c>
      <c r="O1153" s="70">
        <v>4</v>
      </c>
      <c r="P1153" s="70"/>
      <c r="Q1153" s="62" t="s">
        <v>360</v>
      </c>
    </row>
    <row r="1154" spans="1:17" ht="13.8" customHeight="1" x14ac:dyDescent="0.3">
      <c r="A1154" s="73" t="s">
        <v>369</v>
      </c>
      <c r="B1154" s="79">
        <v>46140</v>
      </c>
      <c r="C1154" s="73">
        <v>69</v>
      </c>
      <c r="D1154" s="73" t="s">
        <v>256</v>
      </c>
      <c r="E1154" s="73">
        <v>3</v>
      </c>
      <c r="F1154" s="75" t="s">
        <v>257</v>
      </c>
      <c r="G1154" s="75">
        <v>12.9077</v>
      </c>
      <c r="H1154" s="75">
        <v>8.4794</v>
      </c>
      <c r="I1154" s="75">
        <v>70491.906199999998</v>
      </c>
      <c r="J1154" s="73" t="s">
        <v>257</v>
      </c>
      <c r="K1154" s="75">
        <v>15994.0254</v>
      </c>
      <c r="L1154" s="75">
        <v>6.7792000000000003</v>
      </c>
      <c r="M1154" s="73">
        <v>20.709299999999999</v>
      </c>
      <c r="N1154" s="76">
        <v>120.75</v>
      </c>
      <c r="O1154" s="73">
        <v>4</v>
      </c>
      <c r="P1154" s="73"/>
      <c r="Q1154" s="66" t="s">
        <v>360</v>
      </c>
    </row>
    <row r="1155" spans="1:17" ht="13.8" customHeight="1" x14ac:dyDescent="0.3">
      <c r="A1155" s="70" t="s">
        <v>369</v>
      </c>
      <c r="B1155" s="78">
        <v>46140</v>
      </c>
      <c r="C1155" s="70">
        <v>71</v>
      </c>
      <c r="D1155" s="70" t="s">
        <v>256</v>
      </c>
      <c r="E1155" s="70">
        <v>4</v>
      </c>
      <c r="F1155" s="72" t="s">
        <v>257</v>
      </c>
      <c r="G1155" s="72">
        <v>2.0931000000000002</v>
      </c>
      <c r="H1155" s="72">
        <v>10.549099999999999</v>
      </c>
      <c r="I1155" s="72">
        <v>17868.581999999999</v>
      </c>
      <c r="J1155" s="70" t="s">
        <v>257</v>
      </c>
      <c r="K1155" s="72">
        <v>9468.8935999999994</v>
      </c>
      <c r="L1155" s="72" t="s">
        <v>257</v>
      </c>
      <c r="M1155" s="70" t="s">
        <v>257</v>
      </c>
      <c r="N1155" s="77">
        <v>120.7</v>
      </c>
      <c r="O1155" s="70">
        <v>4</v>
      </c>
      <c r="P1155" s="70"/>
      <c r="Q1155" s="62" t="s">
        <v>360</v>
      </c>
    </row>
    <row r="1156" spans="1:17" ht="13.8" customHeight="1" x14ac:dyDescent="0.3">
      <c r="A1156" s="73" t="s">
        <v>369</v>
      </c>
      <c r="B1156" s="79">
        <v>46140</v>
      </c>
      <c r="C1156" s="73">
        <v>72</v>
      </c>
      <c r="D1156" s="73" t="s">
        <v>256</v>
      </c>
      <c r="E1156" s="73">
        <v>4</v>
      </c>
      <c r="F1156" s="75" t="s">
        <v>257</v>
      </c>
      <c r="G1156" s="75">
        <v>1.7224999999999999</v>
      </c>
      <c r="H1156" s="75">
        <v>8.7394999999999996</v>
      </c>
      <c r="I1156" s="75">
        <v>11286.647499999999</v>
      </c>
      <c r="J1156" s="73" t="s">
        <v>257</v>
      </c>
      <c r="K1156" s="75">
        <v>4903.4224000000004</v>
      </c>
      <c r="L1156" s="75" t="s">
        <v>257</v>
      </c>
      <c r="M1156" s="73" t="s">
        <v>257</v>
      </c>
      <c r="N1156" s="76">
        <v>126.28</v>
      </c>
      <c r="O1156" s="73">
        <v>4</v>
      </c>
      <c r="P1156" s="73"/>
      <c r="Q1156" s="66" t="s">
        <v>360</v>
      </c>
    </row>
    <row r="1157" spans="1:17" ht="13.8" customHeight="1" x14ac:dyDescent="0.3">
      <c r="A1157" s="70" t="s">
        <v>369</v>
      </c>
      <c r="B1157" s="78">
        <v>46140</v>
      </c>
      <c r="C1157" s="70">
        <v>73</v>
      </c>
      <c r="D1157" s="70" t="s">
        <v>256</v>
      </c>
      <c r="E1157" s="70">
        <v>5</v>
      </c>
      <c r="F1157" s="72">
        <v>3.1665999999999999</v>
      </c>
      <c r="G1157" s="72">
        <v>1.5817000000000001</v>
      </c>
      <c r="H1157" s="72">
        <v>7.7939999999999996</v>
      </c>
      <c r="I1157" s="72">
        <v>46886.781199999998</v>
      </c>
      <c r="J1157" s="70">
        <v>178.25790000000001</v>
      </c>
      <c r="K1157" s="72">
        <v>16284.617200000001</v>
      </c>
      <c r="L1157" s="72">
        <v>17.7044</v>
      </c>
      <c r="M1157" s="70">
        <v>9.1633999999999993</v>
      </c>
      <c r="N1157" s="77">
        <v>120.69</v>
      </c>
      <c r="O1157" s="70">
        <v>4</v>
      </c>
      <c r="P1157" s="70"/>
      <c r="Q1157" s="62" t="s">
        <v>360</v>
      </c>
    </row>
    <row r="1158" spans="1:17" ht="13.8" customHeight="1" x14ac:dyDescent="0.3">
      <c r="A1158" s="73" t="s">
        <v>369</v>
      </c>
      <c r="B1158" s="79">
        <v>46140</v>
      </c>
      <c r="C1158" s="73">
        <v>74</v>
      </c>
      <c r="D1158" s="73" t="s">
        <v>256</v>
      </c>
      <c r="E1158" s="73">
        <v>5</v>
      </c>
      <c r="F1158" s="75" t="s">
        <v>257</v>
      </c>
      <c r="G1158" s="75" t="s">
        <v>257</v>
      </c>
      <c r="H1158" s="75">
        <v>6.4600999999999997</v>
      </c>
      <c r="I1158" s="75">
        <v>26505.097699999998</v>
      </c>
      <c r="J1158" s="73">
        <v>260.75740000000002</v>
      </c>
      <c r="K1158" s="75">
        <v>14148.6885</v>
      </c>
      <c r="L1158" s="75">
        <v>22.497</v>
      </c>
      <c r="M1158" s="73" t="s">
        <v>257</v>
      </c>
      <c r="N1158" s="76">
        <v>120.87</v>
      </c>
      <c r="O1158" s="73">
        <v>4</v>
      </c>
      <c r="P1158" s="73"/>
      <c r="Q1158" s="66" t="s">
        <v>360</v>
      </c>
    </row>
    <row r="1159" spans="1:17" ht="13.8" customHeight="1" x14ac:dyDescent="0.3">
      <c r="A1159" s="70" t="s">
        <v>370</v>
      </c>
      <c r="B1159" s="78">
        <v>46140</v>
      </c>
      <c r="C1159" s="70">
        <v>75</v>
      </c>
      <c r="D1159" s="70" t="s">
        <v>256</v>
      </c>
      <c r="E1159" s="70">
        <v>1</v>
      </c>
      <c r="F1159" s="72" t="s">
        <v>257</v>
      </c>
      <c r="G1159" s="72">
        <v>2.9039999999999999</v>
      </c>
      <c r="H1159" s="72" t="s">
        <v>257</v>
      </c>
      <c r="I1159" s="72">
        <v>5240.8765000000003</v>
      </c>
      <c r="J1159" s="70" t="s">
        <v>257</v>
      </c>
      <c r="K1159" s="72">
        <v>4661.9301999999998</v>
      </c>
      <c r="L1159" s="72" t="s">
        <v>257</v>
      </c>
      <c r="M1159" s="70" t="s">
        <v>257</v>
      </c>
      <c r="N1159" s="77">
        <v>120.25</v>
      </c>
      <c r="O1159" s="70">
        <v>4</v>
      </c>
      <c r="P1159" s="70"/>
      <c r="Q1159" s="62" t="s">
        <v>360</v>
      </c>
    </row>
    <row r="1160" spans="1:17" ht="13.8" customHeight="1" x14ac:dyDescent="0.3">
      <c r="A1160" s="73" t="s">
        <v>370</v>
      </c>
      <c r="B1160" s="79">
        <v>46140</v>
      </c>
      <c r="C1160" s="73">
        <v>76</v>
      </c>
      <c r="D1160" s="73" t="s">
        <v>256</v>
      </c>
      <c r="E1160" s="73">
        <v>1</v>
      </c>
      <c r="F1160" s="75" t="s">
        <v>257</v>
      </c>
      <c r="G1160" s="75">
        <v>2.8155000000000001</v>
      </c>
      <c r="H1160" s="75" t="s">
        <v>257</v>
      </c>
      <c r="I1160" s="75">
        <v>5002.5522000000001</v>
      </c>
      <c r="J1160" s="73" t="s">
        <v>257</v>
      </c>
      <c r="K1160" s="75">
        <v>4592.3056999999999</v>
      </c>
      <c r="L1160" s="75" t="s">
        <v>257</v>
      </c>
      <c r="M1160" s="73" t="s">
        <v>257</v>
      </c>
      <c r="N1160" s="76">
        <v>120.48</v>
      </c>
      <c r="O1160" s="73">
        <v>4</v>
      </c>
      <c r="P1160" s="73"/>
      <c r="Q1160" s="66" t="s">
        <v>360</v>
      </c>
    </row>
    <row r="1161" spans="1:17" ht="13.8" customHeight="1" x14ac:dyDescent="0.3">
      <c r="A1161" s="70" t="s">
        <v>370</v>
      </c>
      <c r="B1161" s="78">
        <v>46140</v>
      </c>
      <c r="C1161" s="70">
        <v>77</v>
      </c>
      <c r="D1161" s="70" t="s">
        <v>256</v>
      </c>
      <c r="E1161" s="70">
        <v>2</v>
      </c>
      <c r="F1161" s="72">
        <v>21.7803</v>
      </c>
      <c r="G1161" s="72" t="s">
        <v>257</v>
      </c>
      <c r="H1161" s="72" t="s">
        <v>257</v>
      </c>
      <c r="I1161" s="72">
        <v>6041.5586000000003</v>
      </c>
      <c r="J1161" s="70" t="s">
        <v>257</v>
      </c>
      <c r="K1161" s="72">
        <v>4475.3212999999996</v>
      </c>
      <c r="L1161" s="72" t="s">
        <v>257</v>
      </c>
      <c r="M1161" s="70" t="s">
        <v>257</v>
      </c>
      <c r="N1161" s="77">
        <v>120.35</v>
      </c>
      <c r="O1161" s="70">
        <v>4</v>
      </c>
      <c r="P1161" s="70"/>
      <c r="Q1161" s="62" t="s">
        <v>360</v>
      </c>
    </row>
    <row r="1162" spans="1:17" ht="13.8" customHeight="1" x14ac:dyDescent="0.3">
      <c r="A1162" s="73" t="s">
        <v>370</v>
      </c>
      <c r="B1162" s="79">
        <v>46140</v>
      </c>
      <c r="C1162" s="73">
        <v>78</v>
      </c>
      <c r="D1162" s="73" t="s">
        <v>256</v>
      </c>
      <c r="E1162" s="73">
        <v>2</v>
      </c>
      <c r="F1162" s="75">
        <v>26.3873</v>
      </c>
      <c r="G1162" s="75" t="s">
        <v>257</v>
      </c>
      <c r="H1162" s="75">
        <v>2.5068000000000001</v>
      </c>
      <c r="I1162" s="75">
        <v>6294.3296</v>
      </c>
      <c r="J1162" s="73" t="s">
        <v>257</v>
      </c>
      <c r="K1162" s="75">
        <v>4342.7260999999999</v>
      </c>
      <c r="L1162" s="75" t="s">
        <v>257</v>
      </c>
      <c r="M1162" s="73" t="s">
        <v>257</v>
      </c>
      <c r="N1162" s="76">
        <v>120.86</v>
      </c>
      <c r="O1162" s="73">
        <v>4</v>
      </c>
      <c r="P1162" s="73"/>
      <c r="Q1162" s="66" t="s">
        <v>360</v>
      </c>
    </row>
    <row r="1163" spans="1:17" ht="13.8" customHeight="1" x14ac:dyDescent="0.3">
      <c r="A1163" s="70" t="s">
        <v>370</v>
      </c>
      <c r="B1163" s="78">
        <v>46140</v>
      </c>
      <c r="C1163" s="70">
        <v>79</v>
      </c>
      <c r="D1163" s="70" t="s">
        <v>256</v>
      </c>
      <c r="E1163" s="70">
        <v>3</v>
      </c>
      <c r="F1163" s="72" t="s">
        <v>257</v>
      </c>
      <c r="G1163" s="72" t="s">
        <v>257</v>
      </c>
      <c r="H1163" s="72">
        <v>8.4231999999999996</v>
      </c>
      <c r="I1163" s="72">
        <v>2888.7008999999998</v>
      </c>
      <c r="J1163" s="70" t="s">
        <v>257</v>
      </c>
      <c r="K1163" s="72">
        <v>5329.3774000000003</v>
      </c>
      <c r="L1163" s="72" t="s">
        <v>257</v>
      </c>
      <c r="M1163" s="70" t="s">
        <v>257</v>
      </c>
      <c r="N1163" s="77">
        <v>120.24</v>
      </c>
      <c r="O1163" s="70">
        <v>4</v>
      </c>
      <c r="P1163" s="70"/>
      <c r="Q1163" s="62" t="s">
        <v>360</v>
      </c>
    </row>
    <row r="1164" spans="1:17" ht="13.8" customHeight="1" x14ac:dyDescent="0.3">
      <c r="A1164" s="73" t="s">
        <v>370</v>
      </c>
      <c r="B1164" s="79">
        <v>46140</v>
      </c>
      <c r="C1164" s="73">
        <v>80</v>
      </c>
      <c r="D1164" s="73" t="s">
        <v>256</v>
      </c>
      <c r="E1164" s="73">
        <v>3</v>
      </c>
      <c r="F1164" s="75" t="s">
        <v>257</v>
      </c>
      <c r="G1164" s="75" t="s">
        <v>257</v>
      </c>
      <c r="H1164" s="75">
        <v>7.6097999999999999</v>
      </c>
      <c r="I1164" s="75">
        <v>3125.2377999999999</v>
      </c>
      <c r="J1164" s="73" t="s">
        <v>257</v>
      </c>
      <c r="K1164" s="75">
        <v>5439.5956999999999</v>
      </c>
      <c r="L1164" s="75" t="s">
        <v>257</v>
      </c>
      <c r="M1164" s="73" t="s">
        <v>257</v>
      </c>
      <c r="N1164" s="76">
        <v>120.47</v>
      </c>
      <c r="O1164" s="73">
        <v>4</v>
      </c>
      <c r="P1164" s="73"/>
      <c r="Q1164" s="66" t="s">
        <v>360</v>
      </c>
    </row>
    <row r="1165" spans="1:17" ht="13.8" customHeight="1" x14ac:dyDescent="0.3">
      <c r="A1165" s="70" t="s">
        <v>370</v>
      </c>
      <c r="B1165" s="78">
        <v>46140</v>
      </c>
      <c r="C1165" s="70">
        <v>81</v>
      </c>
      <c r="D1165" s="70" t="s">
        <v>256</v>
      </c>
      <c r="E1165" s="70">
        <v>4</v>
      </c>
      <c r="F1165" s="72" t="s">
        <v>257</v>
      </c>
      <c r="G1165" s="72">
        <v>1.0264</v>
      </c>
      <c r="H1165" s="72">
        <v>9.9054000000000002</v>
      </c>
      <c r="I1165" s="72">
        <v>1866.5906</v>
      </c>
      <c r="J1165" s="70" t="s">
        <v>257</v>
      </c>
      <c r="K1165" s="72">
        <v>3559.1381999999999</v>
      </c>
      <c r="L1165" s="72" t="s">
        <v>257</v>
      </c>
      <c r="M1165" s="70" t="s">
        <v>257</v>
      </c>
      <c r="N1165" s="77">
        <v>120.51</v>
      </c>
      <c r="O1165" s="70">
        <v>4</v>
      </c>
      <c r="P1165" s="70"/>
      <c r="Q1165" s="62" t="s">
        <v>360</v>
      </c>
    </row>
    <row r="1166" spans="1:17" ht="13.8" customHeight="1" x14ac:dyDescent="0.3">
      <c r="A1166" s="73" t="s">
        <v>370</v>
      </c>
      <c r="B1166" s="79">
        <v>46140</v>
      </c>
      <c r="C1166" s="73">
        <v>82</v>
      </c>
      <c r="D1166" s="73" t="s">
        <v>256</v>
      </c>
      <c r="E1166" s="73">
        <v>4</v>
      </c>
      <c r="F1166" s="75">
        <v>1.635</v>
      </c>
      <c r="G1166" s="75">
        <v>0.96530000000000005</v>
      </c>
      <c r="H1166" s="75">
        <v>10.5901</v>
      </c>
      <c r="I1166" s="75">
        <v>1848.9192</v>
      </c>
      <c r="J1166" s="73" t="s">
        <v>257</v>
      </c>
      <c r="K1166" s="75">
        <v>3620.3323</v>
      </c>
      <c r="L1166" s="75" t="s">
        <v>257</v>
      </c>
      <c r="M1166" s="73" t="s">
        <v>257</v>
      </c>
      <c r="N1166" s="76">
        <v>120.05</v>
      </c>
      <c r="O1166" s="73">
        <v>4</v>
      </c>
      <c r="P1166" s="73"/>
      <c r="Q1166" s="66" t="s">
        <v>360</v>
      </c>
    </row>
    <row r="1167" spans="1:17" ht="13.8" customHeight="1" x14ac:dyDescent="0.3">
      <c r="A1167" s="70" t="s">
        <v>370</v>
      </c>
      <c r="B1167" s="78">
        <v>46140</v>
      </c>
      <c r="C1167" s="70">
        <v>83</v>
      </c>
      <c r="D1167" s="70" t="s">
        <v>256</v>
      </c>
      <c r="E1167" s="70">
        <v>5</v>
      </c>
      <c r="F1167" s="72">
        <v>48.482100000000003</v>
      </c>
      <c r="G1167" s="72">
        <v>5.4515000000000002</v>
      </c>
      <c r="H1167" s="72">
        <v>6.0994000000000002</v>
      </c>
      <c r="I1167" s="72">
        <v>2945.4650999999999</v>
      </c>
      <c r="J1167" s="70" t="s">
        <v>257</v>
      </c>
      <c r="K1167" s="72">
        <v>3631.2620000000002</v>
      </c>
      <c r="L1167" s="72" t="s">
        <v>257</v>
      </c>
      <c r="M1167" s="70" t="s">
        <v>257</v>
      </c>
      <c r="N1167" s="77">
        <v>126.04</v>
      </c>
      <c r="O1167" s="70">
        <v>4</v>
      </c>
      <c r="P1167" s="70"/>
      <c r="Q1167" s="62" t="s">
        <v>360</v>
      </c>
    </row>
    <row r="1168" spans="1:17" ht="13.8" customHeight="1" x14ac:dyDescent="0.3">
      <c r="A1168" s="73" t="s">
        <v>370</v>
      </c>
      <c r="B1168" s="79">
        <v>46140</v>
      </c>
      <c r="C1168" s="73">
        <v>84</v>
      </c>
      <c r="D1168" s="73" t="s">
        <v>256</v>
      </c>
      <c r="E1168" s="73">
        <v>5</v>
      </c>
      <c r="F1168" s="75">
        <v>53.613700000000001</v>
      </c>
      <c r="G1168" s="75">
        <v>4.4526000000000003</v>
      </c>
      <c r="H1168" s="75">
        <v>6.2473999999999998</v>
      </c>
      <c r="I1168" s="75">
        <v>2855.5502999999999</v>
      </c>
      <c r="J1168" s="73" t="s">
        <v>257</v>
      </c>
      <c r="K1168" s="75">
        <v>3697.53</v>
      </c>
      <c r="L1168" s="75" t="s">
        <v>257</v>
      </c>
      <c r="M1168" s="73" t="s">
        <v>257</v>
      </c>
      <c r="N1168" s="76">
        <v>120.58</v>
      </c>
      <c r="O1168" s="73">
        <v>4</v>
      </c>
      <c r="P1168" s="73"/>
      <c r="Q1168" s="66" t="s">
        <v>360</v>
      </c>
    </row>
    <row r="1169" spans="1:17" ht="13.8" customHeight="1" x14ac:dyDescent="0.3">
      <c r="A1169" s="70" t="s">
        <v>371</v>
      </c>
      <c r="B1169" s="78">
        <v>46140</v>
      </c>
      <c r="C1169" s="70">
        <v>85</v>
      </c>
      <c r="D1169" s="70" t="s">
        <v>256</v>
      </c>
      <c r="E1169" s="70">
        <v>1</v>
      </c>
      <c r="F1169" s="72">
        <v>17.8871</v>
      </c>
      <c r="G1169" s="72">
        <v>36.464199999999998</v>
      </c>
      <c r="H1169" s="72">
        <v>10.2469</v>
      </c>
      <c r="I1169" s="72">
        <v>58919.468800000002</v>
      </c>
      <c r="J1169" s="70">
        <v>249.3005</v>
      </c>
      <c r="K1169" s="72">
        <v>24335.468799999999</v>
      </c>
      <c r="L1169" s="72">
        <v>19.7377</v>
      </c>
      <c r="M1169" s="70">
        <v>28.311800000000002</v>
      </c>
      <c r="N1169" s="77">
        <v>120.44</v>
      </c>
      <c r="O1169" s="70">
        <v>4</v>
      </c>
      <c r="P1169" s="70"/>
      <c r="Q1169" s="62" t="s">
        <v>360</v>
      </c>
    </row>
    <row r="1170" spans="1:17" ht="13.8" customHeight="1" x14ac:dyDescent="0.3">
      <c r="A1170" s="73" t="s">
        <v>371</v>
      </c>
      <c r="B1170" s="79">
        <v>46140</v>
      </c>
      <c r="C1170" s="73">
        <v>86</v>
      </c>
      <c r="D1170" s="73" t="s">
        <v>256</v>
      </c>
      <c r="E1170" s="73">
        <v>1</v>
      </c>
      <c r="F1170" s="75">
        <v>15.2151</v>
      </c>
      <c r="G1170" s="75">
        <v>35.614100000000001</v>
      </c>
      <c r="H1170" s="75">
        <v>10.678000000000001</v>
      </c>
      <c r="I1170" s="75">
        <v>58882.527300000002</v>
      </c>
      <c r="J1170" s="73">
        <v>251.9203</v>
      </c>
      <c r="K1170" s="75">
        <v>24347.218799999999</v>
      </c>
      <c r="L1170" s="75">
        <v>19.107099999999999</v>
      </c>
      <c r="M1170" s="73">
        <v>30.5275</v>
      </c>
      <c r="N1170" s="76">
        <v>120.62</v>
      </c>
      <c r="O1170" s="73">
        <v>4</v>
      </c>
      <c r="P1170" s="73"/>
      <c r="Q1170" s="66" t="s">
        <v>360</v>
      </c>
    </row>
    <row r="1171" spans="1:17" ht="13.8" customHeight="1" x14ac:dyDescent="0.3">
      <c r="A1171" s="70" t="s">
        <v>371</v>
      </c>
      <c r="B1171" s="78">
        <v>46140</v>
      </c>
      <c r="C1171" s="70">
        <v>87</v>
      </c>
      <c r="D1171" s="70" t="s">
        <v>256</v>
      </c>
      <c r="E1171" s="70">
        <v>2</v>
      </c>
      <c r="F1171" s="72">
        <v>2.5383</v>
      </c>
      <c r="G1171" s="72">
        <v>11.579000000000001</v>
      </c>
      <c r="H1171" s="72">
        <v>7.5042999999999997</v>
      </c>
      <c r="I1171" s="72">
        <v>27840.0605</v>
      </c>
      <c r="J1171" s="70">
        <v>303.74959999999999</v>
      </c>
      <c r="K1171" s="72">
        <v>13944.603499999999</v>
      </c>
      <c r="L1171" s="72">
        <v>17.0899</v>
      </c>
      <c r="M1171" s="70">
        <v>14.9703</v>
      </c>
      <c r="N1171" s="77">
        <v>120.25</v>
      </c>
      <c r="O1171" s="70">
        <v>4</v>
      </c>
      <c r="P1171" s="70"/>
      <c r="Q1171" s="62" t="s">
        <v>360</v>
      </c>
    </row>
    <row r="1172" spans="1:17" ht="13.8" customHeight="1" x14ac:dyDescent="0.3">
      <c r="A1172" s="73" t="s">
        <v>371</v>
      </c>
      <c r="B1172" s="79">
        <v>46140</v>
      </c>
      <c r="C1172" s="73">
        <v>88</v>
      </c>
      <c r="D1172" s="73" t="s">
        <v>256</v>
      </c>
      <c r="E1172" s="73">
        <v>2</v>
      </c>
      <c r="F1172" s="75">
        <v>6.5008999999999997</v>
      </c>
      <c r="G1172" s="75">
        <v>12.543799999999999</v>
      </c>
      <c r="H1172" s="75">
        <v>8.8752999999999993</v>
      </c>
      <c r="I1172" s="75">
        <v>32118.765599999999</v>
      </c>
      <c r="J1172" s="73">
        <v>251.595</v>
      </c>
      <c r="K1172" s="75">
        <v>12340.6895</v>
      </c>
      <c r="L1172" s="75">
        <v>19.793700000000001</v>
      </c>
      <c r="M1172" s="73">
        <v>15.2783</v>
      </c>
      <c r="N1172" s="76">
        <v>120.44</v>
      </c>
      <c r="O1172" s="73">
        <v>4</v>
      </c>
      <c r="P1172" s="73"/>
      <c r="Q1172" s="66" t="s">
        <v>360</v>
      </c>
    </row>
    <row r="1173" spans="1:17" ht="13.8" customHeight="1" x14ac:dyDescent="0.3">
      <c r="A1173" s="70" t="s">
        <v>371</v>
      </c>
      <c r="B1173" s="78">
        <v>46140</v>
      </c>
      <c r="C1173" s="70">
        <v>89</v>
      </c>
      <c r="D1173" s="70" t="s">
        <v>256</v>
      </c>
      <c r="E1173" s="70">
        <v>2</v>
      </c>
      <c r="F1173" s="72">
        <v>4.8986999999999998</v>
      </c>
      <c r="G1173" s="72">
        <v>30.207899999999999</v>
      </c>
      <c r="H1173" s="72">
        <v>8.0939999999999994</v>
      </c>
      <c r="I1173" s="72">
        <v>40875.707000000002</v>
      </c>
      <c r="J1173" s="70">
        <v>225.49889999999999</v>
      </c>
      <c r="K1173" s="72">
        <v>16803.857400000001</v>
      </c>
      <c r="L1173" s="72">
        <v>22.138500000000001</v>
      </c>
      <c r="M1173" s="70">
        <v>24.757999999999999</v>
      </c>
      <c r="N1173" s="77">
        <v>126.16</v>
      </c>
      <c r="O1173" s="70">
        <v>4</v>
      </c>
      <c r="P1173" s="70"/>
      <c r="Q1173" s="62" t="s">
        <v>360</v>
      </c>
    </row>
    <row r="1174" spans="1:17" ht="13.8" customHeight="1" x14ac:dyDescent="0.3">
      <c r="A1174" s="73" t="s">
        <v>371</v>
      </c>
      <c r="B1174" s="79">
        <v>46140</v>
      </c>
      <c r="C1174" s="73">
        <v>90</v>
      </c>
      <c r="D1174" s="73" t="s">
        <v>256</v>
      </c>
      <c r="E1174" s="73">
        <v>3</v>
      </c>
      <c r="F1174" s="75">
        <v>5.0037000000000003</v>
      </c>
      <c r="G1174" s="75">
        <v>12.983700000000001</v>
      </c>
      <c r="H1174" s="75">
        <v>9.6791</v>
      </c>
      <c r="I1174" s="75">
        <v>39949.175799999997</v>
      </c>
      <c r="J1174" s="73">
        <v>456.53769999999997</v>
      </c>
      <c r="K1174" s="75">
        <v>12135.8799</v>
      </c>
      <c r="L1174" s="75">
        <v>30.6752</v>
      </c>
      <c r="M1174" s="73">
        <v>14.039400000000001</v>
      </c>
      <c r="N1174" s="76">
        <v>120.72</v>
      </c>
      <c r="O1174" s="73">
        <v>4</v>
      </c>
      <c r="P1174" s="73"/>
      <c r="Q1174" s="66" t="s">
        <v>360</v>
      </c>
    </row>
    <row r="1175" spans="1:17" ht="13.8" customHeight="1" x14ac:dyDescent="0.3">
      <c r="A1175" s="70" t="s">
        <v>371</v>
      </c>
      <c r="B1175" s="78">
        <v>46140</v>
      </c>
      <c r="C1175" s="70">
        <v>92</v>
      </c>
      <c r="D1175" s="70" t="s">
        <v>256</v>
      </c>
      <c r="E1175" s="70">
        <v>3</v>
      </c>
      <c r="F1175" s="72">
        <v>5.617</v>
      </c>
      <c r="G1175" s="72">
        <v>13.978</v>
      </c>
      <c r="H1175" s="72">
        <v>6.9511000000000003</v>
      </c>
      <c r="I1175" s="72">
        <v>38700.101600000002</v>
      </c>
      <c r="J1175" s="70">
        <v>388.62439999999998</v>
      </c>
      <c r="K1175" s="72">
        <v>14982.375</v>
      </c>
      <c r="L1175" s="72">
        <v>28.0777</v>
      </c>
      <c r="M1175" s="70">
        <v>10.7805</v>
      </c>
      <c r="N1175" s="77">
        <v>120.43</v>
      </c>
      <c r="O1175" s="70">
        <v>4</v>
      </c>
      <c r="P1175" s="70"/>
      <c r="Q1175" s="62" t="s">
        <v>360</v>
      </c>
    </row>
    <row r="1176" spans="1:17" ht="13.8" customHeight="1" x14ac:dyDescent="0.3">
      <c r="A1176" s="73" t="s">
        <v>371</v>
      </c>
      <c r="B1176" s="79">
        <v>46140</v>
      </c>
      <c r="C1176" s="73">
        <v>93</v>
      </c>
      <c r="D1176" s="73" t="s">
        <v>256</v>
      </c>
      <c r="E1176" s="73">
        <v>4</v>
      </c>
      <c r="F1176" s="75">
        <v>4.4931000000000001</v>
      </c>
      <c r="G1176" s="75">
        <v>45.147599999999997</v>
      </c>
      <c r="H1176" s="75">
        <v>6.9947999999999997</v>
      </c>
      <c r="I1176" s="75">
        <v>67669.164099999995</v>
      </c>
      <c r="J1176" s="73">
        <v>365.42689999999999</v>
      </c>
      <c r="K1176" s="75">
        <v>34104.136700000003</v>
      </c>
      <c r="L1176" s="75">
        <v>20.419699999999999</v>
      </c>
      <c r="M1176" s="73">
        <v>14.698600000000001</v>
      </c>
      <c r="N1176" s="76">
        <v>120.5</v>
      </c>
      <c r="O1176" s="73">
        <v>4</v>
      </c>
      <c r="P1176" s="73"/>
      <c r="Q1176" s="66" t="s">
        <v>360</v>
      </c>
    </row>
    <row r="1177" spans="1:17" ht="13.8" customHeight="1" x14ac:dyDescent="0.3">
      <c r="A1177" s="70" t="s">
        <v>371</v>
      </c>
      <c r="B1177" s="78">
        <v>46140</v>
      </c>
      <c r="C1177" s="70">
        <v>94</v>
      </c>
      <c r="D1177" s="70" t="s">
        <v>256</v>
      </c>
      <c r="E1177" s="70">
        <v>4</v>
      </c>
      <c r="F1177" s="72">
        <v>5.6711</v>
      </c>
      <c r="G1177" s="72">
        <v>34.0047</v>
      </c>
      <c r="H1177" s="72">
        <v>8.7233999999999998</v>
      </c>
      <c r="I1177" s="72">
        <v>69853.445300000007</v>
      </c>
      <c r="J1177" s="70">
        <v>292.45740000000001</v>
      </c>
      <c r="K1177" s="72">
        <v>33377.992200000001</v>
      </c>
      <c r="L1177" s="72">
        <v>21.620799999999999</v>
      </c>
      <c r="M1177" s="70">
        <v>15.8996</v>
      </c>
      <c r="N1177" s="77">
        <v>126.23</v>
      </c>
      <c r="O1177" s="70">
        <v>4</v>
      </c>
      <c r="P1177" s="70"/>
      <c r="Q1177" s="62" t="s">
        <v>360</v>
      </c>
    </row>
    <row r="1178" spans="1:17" ht="13.8" customHeight="1" x14ac:dyDescent="0.3">
      <c r="A1178" s="73" t="s">
        <v>371</v>
      </c>
      <c r="B1178" s="79">
        <v>46140</v>
      </c>
      <c r="C1178" s="73">
        <v>95</v>
      </c>
      <c r="D1178" s="73" t="s">
        <v>256</v>
      </c>
      <c r="E1178" s="73">
        <v>5</v>
      </c>
      <c r="F1178" s="75">
        <v>4.8369999999999997</v>
      </c>
      <c r="G1178" s="75">
        <v>63.194600000000001</v>
      </c>
      <c r="H1178" s="75">
        <v>9.9144000000000005</v>
      </c>
      <c r="I1178" s="75">
        <v>76169.101599999995</v>
      </c>
      <c r="J1178" s="73">
        <v>231.47720000000001</v>
      </c>
      <c r="K1178" s="75">
        <v>31339.669900000001</v>
      </c>
      <c r="L1178" s="75">
        <v>17.635000000000002</v>
      </c>
      <c r="M1178" s="73">
        <v>31.912800000000001</v>
      </c>
      <c r="N1178" s="76">
        <v>125.87</v>
      </c>
      <c r="O1178" s="73">
        <v>4</v>
      </c>
      <c r="P1178" s="73"/>
      <c r="Q1178" s="66" t="s">
        <v>360</v>
      </c>
    </row>
    <row r="1179" spans="1:17" ht="13.8" customHeight="1" x14ac:dyDescent="0.3">
      <c r="A1179" s="70" t="s">
        <v>371</v>
      </c>
      <c r="B1179" s="78">
        <v>46140</v>
      </c>
      <c r="C1179" s="70">
        <v>96</v>
      </c>
      <c r="D1179" s="70" t="s">
        <v>256</v>
      </c>
      <c r="E1179" s="70">
        <v>5</v>
      </c>
      <c r="F1179" s="72">
        <v>6.0419999999999998</v>
      </c>
      <c r="G1179" s="72">
        <v>58.091999999999999</v>
      </c>
      <c r="H1179" s="72">
        <v>9.0241000000000007</v>
      </c>
      <c r="I1179" s="72">
        <v>57289.730499999998</v>
      </c>
      <c r="J1179" s="70">
        <v>258.65050000000002</v>
      </c>
      <c r="K1179" s="72">
        <v>34301.468800000002</v>
      </c>
      <c r="L1179" s="72">
        <v>14.360799999999999</v>
      </c>
      <c r="M1179" s="70">
        <v>17.305299999999999</v>
      </c>
      <c r="N1179" s="77">
        <v>120.28</v>
      </c>
      <c r="O1179" s="70">
        <v>4</v>
      </c>
      <c r="P1179" s="70"/>
      <c r="Q1179" s="62" t="s">
        <v>360</v>
      </c>
    </row>
    <row r="1180" spans="1:17" ht="13.8" customHeight="1" x14ac:dyDescent="0.3">
      <c r="A1180" s="73" t="s">
        <v>372</v>
      </c>
      <c r="B1180" s="79">
        <v>46140</v>
      </c>
      <c r="C1180" s="73">
        <v>97</v>
      </c>
      <c r="D1180" s="73" t="s">
        <v>256</v>
      </c>
      <c r="E1180" s="73">
        <v>1</v>
      </c>
      <c r="F1180" s="75">
        <v>7.6498999999999997</v>
      </c>
      <c r="G1180" s="75">
        <v>15.173500000000001</v>
      </c>
      <c r="H1180" s="75">
        <v>8.1228999999999996</v>
      </c>
      <c r="I1180" s="75">
        <v>33579.343800000002</v>
      </c>
      <c r="J1180" s="73">
        <v>1012.0803</v>
      </c>
      <c r="K1180" s="75">
        <v>3374.4958000000001</v>
      </c>
      <c r="L1180" s="75">
        <v>34.298499999999997</v>
      </c>
      <c r="M1180" s="73">
        <v>6.8666</v>
      </c>
      <c r="N1180" s="76">
        <v>120.53</v>
      </c>
      <c r="O1180" s="73">
        <v>4</v>
      </c>
      <c r="P1180" s="73"/>
      <c r="Q1180" s="66" t="s">
        <v>360</v>
      </c>
    </row>
    <row r="1181" spans="1:17" ht="13.8" customHeight="1" x14ac:dyDescent="0.3">
      <c r="A1181" s="70" t="s">
        <v>372</v>
      </c>
      <c r="B1181" s="78">
        <v>46140</v>
      </c>
      <c r="C1181" s="70">
        <v>98</v>
      </c>
      <c r="D1181" s="70" t="s">
        <v>256</v>
      </c>
      <c r="E1181" s="70">
        <v>1</v>
      </c>
      <c r="F1181" s="72">
        <v>5.7050000000000001</v>
      </c>
      <c r="G1181" s="72">
        <v>17.051400000000001</v>
      </c>
      <c r="H1181" s="72">
        <v>11.438499999999999</v>
      </c>
      <c r="I1181" s="72">
        <v>36923.371099999997</v>
      </c>
      <c r="J1181" s="70">
        <v>534.1481</v>
      </c>
      <c r="K1181" s="72">
        <v>4761.9385000000002</v>
      </c>
      <c r="L1181" s="72">
        <v>35.300400000000003</v>
      </c>
      <c r="M1181" s="70">
        <v>6.4897</v>
      </c>
      <c r="N1181" s="77">
        <v>120.53</v>
      </c>
      <c r="O1181" s="70">
        <v>4</v>
      </c>
      <c r="P1181" s="70"/>
      <c r="Q1181" s="62" t="s">
        <v>360</v>
      </c>
    </row>
    <row r="1182" spans="1:17" ht="13.8" customHeight="1" x14ac:dyDescent="0.3">
      <c r="A1182" s="73" t="s">
        <v>372</v>
      </c>
      <c r="B1182" s="79">
        <v>46140</v>
      </c>
      <c r="C1182" s="73">
        <v>99</v>
      </c>
      <c r="D1182" s="73" t="s">
        <v>256</v>
      </c>
      <c r="E1182" s="73">
        <v>2</v>
      </c>
      <c r="F1182" s="75">
        <v>20.248799999999999</v>
      </c>
      <c r="G1182" s="75">
        <v>193.30619999999999</v>
      </c>
      <c r="H1182" s="75">
        <v>9.6743000000000006</v>
      </c>
      <c r="I1182" s="75">
        <v>26818.4336</v>
      </c>
      <c r="J1182" s="73">
        <v>26.055499999999999</v>
      </c>
      <c r="K1182" s="75">
        <v>13981.0332</v>
      </c>
      <c r="L1182" s="75" t="s">
        <v>257</v>
      </c>
      <c r="M1182" s="73" t="s">
        <v>257</v>
      </c>
      <c r="N1182" s="76">
        <v>126.12</v>
      </c>
      <c r="O1182" s="73">
        <v>4</v>
      </c>
      <c r="P1182" s="73"/>
      <c r="Q1182" s="66" t="s">
        <v>360</v>
      </c>
    </row>
    <row r="1183" spans="1:17" ht="13.8" customHeight="1" x14ac:dyDescent="0.3">
      <c r="A1183" s="70" t="s">
        <v>372</v>
      </c>
      <c r="B1183" s="78">
        <v>46140</v>
      </c>
      <c r="C1183" s="70">
        <v>100</v>
      </c>
      <c r="D1183" s="70" t="s">
        <v>256</v>
      </c>
      <c r="E1183" s="70">
        <v>2</v>
      </c>
      <c r="F1183" s="72">
        <v>19.931000000000001</v>
      </c>
      <c r="G1183" s="72">
        <v>196.0848</v>
      </c>
      <c r="H1183" s="72">
        <v>8.9585000000000008</v>
      </c>
      <c r="I1183" s="72">
        <v>28023.392599999999</v>
      </c>
      <c r="J1183" s="70">
        <v>32.905200000000001</v>
      </c>
      <c r="K1183" s="72">
        <v>14104.859399999999</v>
      </c>
      <c r="L1183" s="72" t="s">
        <v>257</v>
      </c>
      <c r="M1183" s="70" t="s">
        <v>257</v>
      </c>
      <c r="N1183" s="77">
        <v>120.58</v>
      </c>
      <c r="O1183" s="70">
        <v>4</v>
      </c>
      <c r="P1183" s="70"/>
      <c r="Q1183" s="62" t="s">
        <v>360</v>
      </c>
    </row>
    <row r="1184" spans="1:17" ht="13.8" customHeight="1" x14ac:dyDescent="0.3">
      <c r="A1184" s="73" t="s">
        <v>372</v>
      </c>
      <c r="B1184" s="79">
        <v>46140</v>
      </c>
      <c r="C1184" s="73">
        <v>101</v>
      </c>
      <c r="D1184" s="73" t="s">
        <v>256</v>
      </c>
      <c r="E1184" s="73">
        <v>3</v>
      </c>
      <c r="F1184" s="75">
        <v>6.8960999999999997</v>
      </c>
      <c r="G1184" s="75">
        <v>543.10130000000004</v>
      </c>
      <c r="H1184" s="75">
        <v>10.680999999999999</v>
      </c>
      <c r="I1184" s="75">
        <v>29021.107400000001</v>
      </c>
      <c r="J1184" s="73">
        <v>116.78270000000001</v>
      </c>
      <c r="K1184" s="75">
        <v>7479.6309000000001</v>
      </c>
      <c r="L1184" s="75">
        <v>18.031300000000002</v>
      </c>
      <c r="M1184" s="73">
        <v>5.2309999999999999</v>
      </c>
      <c r="N1184" s="76">
        <v>121</v>
      </c>
      <c r="O1184" s="73">
        <v>4</v>
      </c>
      <c r="P1184" s="73"/>
      <c r="Q1184" s="66" t="s">
        <v>360</v>
      </c>
    </row>
    <row r="1185" spans="1:17" ht="13.8" customHeight="1" x14ac:dyDescent="0.3">
      <c r="A1185" s="70" t="s">
        <v>372</v>
      </c>
      <c r="B1185" s="78">
        <v>46140</v>
      </c>
      <c r="C1185" s="70">
        <v>102</v>
      </c>
      <c r="D1185" s="70" t="s">
        <v>256</v>
      </c>
      <c r="E1185" s="70">
        <v>3</v>
      </c>
      <c r="F1185" s="72" t="s">
        <v>257</v>
      </c>
      <c r="G1185" s="72">
        <v>554.45740000000001</v>
      </c>
      <c r="H1185" s="72">
        <v>9.6982999999999997</v>
      </c>
      <c r="I1185" s="72">
        <v>28769.1211</v>
      </c>
      <c r="J1185" s="70">
        <v>95.578299999999999</v>
      </c>
      <c r="K1185" s="72">
        <v>6015.8467000000001</v>
      </c>
      <c r="L1185" s="72">
        <v>18.935099999999998</v>
      </c>
      <c r="M1185" s="70" t="s">
        <v>257</v>
      </c>
      <c r="N1185" s="77">
        <v>120.49</v>
      </c>
      <c r="O1185" s="70">
        <v>4</v>
      </c>
      <c r="P1185" s="70"/>
      <c r="Q1185" s="62" t="s">
        <v>360</v>
      </c>
    </row>
    <row r="1186" spans="1:17" ht="13.8" customHeight="1" x14ac:dyDescent="0.3">
      <c r="A1186" s="73" t="s">
        <v>372</v>
      </c>
      <c r="B1186" s="79">
        <v>46140</v>
      </c>
      <c r="C1186" s="73">
        <v>103</v>
      </c>
      <c r="D1186" s="73" t="s">
        <v>256</v>
      </c>
      <c r="E1186" s="73">
        <v>3</v>
      </c>
      <c r="F1186" s="75">
        <v>2.976</v>
      </c>
      <c r="G1186" s="75">
        <v>441.22199999999998</v>
      </c>
      <c r="H1186" s="75">
        <v>10.003500000000001</v>
      </c>
      <c r="I1186" s="75">
        <v>27797.345700000002</v>
      </c>
      <c r="J1186" s="73">
        <v>161.7602</v>
      </c>
      <c r="K1186" s="75">
        <v>6092.9364999999998</v>
      </c>
      <c r="L1186" s="75">
        <v>22.636399999999998</v>
      </c>
      <c r="M1186" s="73" t="s">
        <v>257</v>
      </c>
      <c r="N1186" s="76">
        <v>120.6</v>
      </c>
      <c r="O1186" s="73">
        <v>4</v>
      </c>
      <c r="P1186" s="73"/>
      <c r="Q1186" s="66" t="s">
        <v>360</v>
      </c>
    </row>
    <row r="1187" spans="1:17" ht="13.8" customHeight="1" x14ac:dyDescent="0.3">
      <c r="A1187" s="70" t="s">
        <v>372</v>
      </c>
      <c r="B1187" s="78">
        <v>46140</v>
      </c>
      <c r="C1187" s="70">
        <v>104</v>
      </c>
      <c r="D1187" s="70" t="s">
        <v>256</v>
      </c>
      <c r="E1187" s="70">
        <v>4</v>
      </c>
      <c r="F1187" s="72">
        <v>12.676399999999999</v>
      </c>
      <c r="G1187" s="72">
        <v>11.519399999999999</v>
      </c>
      <c r="H1187" s="72">
        <v>10.4413</v>
      </c>
      <c r="I1187" s="72">
        <v>39275.714800000002</v>
      </c>
      <c r="J1187" s="70">
        <v>516.61090000000002</v>
      </c>
      <c r="K1187" s="72">
        <v>1709.8865000000001</v>
      </c>
      <c r="L1187" s="72">
        <v>46.855800000000002</v>
      </c>
      <c r="M1187" s="70">
        <v>19.963999999999999</v>
      </c>
      <c r="N1187" s="77">
        <v>120.45</v>
      </c>
      <c r="O1187" s="70">
        <v>4</v>
      </c>
      <c r="P1187" s="70"/>
      <c r="Q1187" s="62" t="s">
        <v>360</v>
      </c>
    </row>
    <row r="1188" spans="1:17" ht="13.8" customHeight="1" x14ac:dyDescent="0.3">
      <c r="A1188" s="73" t="s">
        <v>372</v>
      </c>
      <c r="B1188" s="79">
        <v>46140</v>
      </c>
      <c r="C1188" s="73">
        <v>105</v>
      </c>
      <c r="D1188" s="73" t="s">
        <v>256</v>
      </c>
      <c r="E1188" s="73">
        <v>4</v>
      </c>
      <c r="F1188" s="75">
        <v>7.8232999999999997</v>
      </c>
      <c r="G1188" s="75">
        <v>9.5921000000000003</v>
      </c>
      <c r="H1188" s="75">
        <v>10.5419</v>
      </c>
      <c r="I1188" s="75">
        <v>37075.675799999997</v>
      </c>
      <c r="J1188" s="73">
        <v>620.86810000000003</v>
      </c>
      <c r="K1188" s="75">
        <v>2122.5095000000001</v>
      </c>
      <c r="L1188" s="75">
        <v>51.125</v>
      </c>
      <c r="M1188" s="73">
        <v>21.325299999999999</v>
      </c>
      <c r="N1188" s="76">
        <v>125.98</v>
      </c>
      <c r="O1188" s="73">
        <v>4</v>
      </c>
      <c r="P1188" s="73"/>
      <c r="Q1188" s="66" t="s">
        <v>360</v>
      </c>
    </row>
    <row r="1189" spans="1:17" ht="13.8" customHeight="1" x14ac:dyDescent="0.3">
      <c r="A1189" s="70" t="s">
        <v>372</v>
      </c>
      <c r="B1189" s="78">
        <v>46140</v>
      </c>
      <c r="C1189" s="70">
        <v>106</v>
      </c>
      <c r="D1189" s="70" t="s">
        <v>256</v>
      </c>
      <c r="E1189" s="70">
        <v>5</v>
      </c>
      <c r="F1189" s="72">
        <v>355.6189</v>
      </c>
      <c r="G1189" s="72">
        <v>223.05889999999999</v>
      </c>
      <c r="H1189" s="72" t="s">
        <v>257</v>
      </c>
      <c r="I1189" s="72">
        <v>35034.625</v>
      </c>
      <c r="J1189" s="70" t="s">
        <v>257</v>
      </c>
      <c r="K1189" s="72">
        <v>17294.896499999999</v>
      </c>
      <c r="L1189" s="72" t="s">
        <v>257</v>
      </c>
      <c r="M1189" s="70" t="s">
        <v>257</v>
      </c>
      <c r="N1189" s="77">
        <v>125.97</v>
      </c>
      <c r="O1189" s="70">
        <v>4</v>
      </c>
      <c r="P1189" s="70"/>
      <c r="Q1189" s="62" t="s">
        <v>360</v>
      </c>
    </row>
    <row r="1190" spans="1:17" ht="13.8" customHeight="1" x14ac:dyDescent="0.3">
      <c r="A1190" s="73" t="s">
        <v>372</v>
      </c>
      <c r="B1190" s="79">
        <v>46140</v>
      </c>
      <c r="C1190" s="73">
        <v>107</v>
      </c>
      <c r="D1190" s="73" t="s">
        <v>256</v>
      </c>
      <c r="E1190" s="73">
        <v>5</v>
      </c>
      <c r="F1190" s="75">
        <v>372.82130000000001</v>
      </c>
      <c r="G1190" s="75">
        <v>246.76249999999999</v>
      </c>
      <c r="H1190" s="75" t="s">
        <v>257</v>
      </c>
      <c r="I1190" s="75">
        <v>34975.925799999997</v>
      </c>
      <c r="J1190" s="73" t="s">
        <v>257</v>
      </c>
      <c r="K1190" s="75">
        <v>18173.9238</v>
      </c>
      <c r="L1190" s="75" t="s">
        <v>257</v>
      </c>
      <c r="M1190" s="73" t="s">
        <v>257</v>
      </c>
      <c r="N1190" s="76">
        <v>120.15</v>
      </c>
      <c r="O1190" s="73">
        <v>4</v>
      </c>
      <c r="P1190" s="73"/>
      <c r="Q1190" s="66" t="s">
        <v>360</v>
      </c>
    </row>
    <row r="1191" spans="1:17" ht="13.8" customHeight="1" x14ac:dyDescent="0.3">
      <c r="A1191" s="70" t="s">
        <v>373</v>
      </c>
      <c r="B1191" s="78">
        <v>46140</v>
      </c>
      <c r="C1191" s="70">
        <v>108</v>
      </c>
      <c r="D1191" s="70" t="s">
        <v>256</v>
      </c>
      <c r="E1191" s="70">
        <v>1</v>
      </c>
      <c r="F1191" s="72">
        <v>2.714</v>
      </c>
      <c r="G1191" s="72" t="s">
        <v>257</v>
      </c>
      <c r="H1191" s="72">
        <v>7.2394999999999996</v>
      </c>
      <c r="I1191" s="72">
        <v>38944.667999999998</v>
      </c>
      <c r="J1191" s="70">
        <v>613.49570000000006</v>
      </c>
      <c r="K1191" s="72">
        <v>9933.2616999999991</v>
      </c>
      <c r="L1191" s="72">
        <v>55.627899999999997</v>
      </c>
      <c r="M1191" s="70">
        <v>31.398099999999999</v>
      </c>
      <c r="N1191" s="77">
        <v>120.26</v>
      </c>
      <c r="O1191" s="70">
        <v>4</v>
      </c>
      <c r="P1191" s="70"/>
      <c r="Q1191" s="62" t="s">
        <v>360</v>
      </c>
    </row>
    <row r="1192" spans="1:17" ht="13.8" customHeight="1" x14ac:dyDescent="0.3">
      <c r="A1192" s="73" t="s">
        <v>373</v>
      </c>
      <c r="B1192" s="79">
        <v>46140</v>
      </c>
      <c r="C1192" s="73">
        <v>109</v>
      </c>
      <c r="D1192" s="73" t="s">
        <v>256</v>
      </c>
      <c r="E1192" s="73">
        <v>1</v>
      </c>
      <c r="F1192" s="75" t="s">
        <v>257</v>
      </c>
      <c r="G1192" s="75" t="s">
        <v>257</v>
      </c>
      <c r="H1192" s="75">
        <v>10.6478</v>
      </c>
      <c r="I1192" s="75">
        <v>39449.769500000002</v>
      </c>
      <c r="J1192" s="73">
        <v>594.11620000000005</v>
      </c>
      <c r="K1192" s="75">
        <v>9896.8770000000004</v>
      </c>
      <c r="L1192" s="75">
        <v>60.648200000000003</v>
      </c>
      <c r="M1192" s="73">
        <v>29.097200000000001</v>
      </c>
      <c r="N1192" s="76">
        <v>120.23</v>
      </c>
      <c r="O1192" s="73">
        <v>4</v>
      </c>
      <c r="P1192" s="73"/>
      <c r="Q1192" s="66" t="s">
        <v>360</v>
      </c>
    </row>
    <row r="1193" spans="1:17" ht="13.8" customHeight="1" x14ac:dyDescent="0.3">
      <c r="A1193" s="70" t="s">
        <v>373</v>
      </c>
      <c r="B1193" s="78">
        <v>46140</v>
      </c>
      <c r="C1193" s="70">
        <v>110</v>
      </c>
      <c r="D1193" s="70" t="s">
        <v>256</v>
      </c>
      <c r="E1193" s="70">
        <v>2</v>
      </c>
      <c r="F1193" s="72">
        <v>8.0442999999999998</v>
      </c>
      <c r="G1193" s="72" t="s">
        <v>257</v>
      </c>
      <c r="H1193" s="72">
        <v>12.661</v>
      </c>
      <c r="I1193" s="72">
        <v>77585.484400000001</v>
      </c>
      <c r="J1193" s="70">
        <v>587.15949999999998</v>
      </c>
      <c r="K1193" s="72">
        <v>29570.373</v>
      </c>
      <c r="L1193" s="72">
        <v>61.084800000000001</v>
      </c>
      <c r="M1193" s="70">
        <v>25.398700000000002</v>
      </c>
      <c r="N1193" s="77">
        <v>120.66</v>
      </c>
      <c r="O1193" s="70">
        <v>4</v>
      </c>
      <c r="P1193" s="70"/>
      <c r="Q1193" s="62" t="s">
        <v>360</v>
      </c>
    </row>
    <row r="1194" spans="1:17" ht="13.8" customHeight="1" x14ac:dyDescent="0.3">
      <c r="A1194" s="73" t="s">
        <v>373</v>
      </c>
      <c r="B1194" s="79">
        <v>46140</v>
      </c>
      <c r="C1194" s="73">
        <v>111</v>
      </c>
      <c r="D1194" s="73" t="s">
        <v>256</v>
      </c>
      <c r="E1194" s="73">
        <v>2</v>
      </c>
      <c r="F1194" s="75" t="s">
        <v>257</v>
      </c>
      <c r="G1194" s="75" t="s">
        <v>257</v>
      </c>
      <c r="H1194" s="75" t="s">
        <v>257</v>
      </c>
      <c r="I1194" s="75">
        <v>40.470799999999997</v>
      </c>
      <c r="J1194" s="73">
        <v>769.06700000000001</v>
      </c>
      <c r="K1194" s="75">
        <v>86107.171900000001</v>
      </c>
      <c r="L1194" s="75" t="s">
        <v>257</v>
      </c>
      <c r="M1194" s="73" t="s">
        <v>257</v>
      </c>
      <c r="N1194" s="76">
        <v>125.78</v>
      </c>
      <c r="O1194" s="73">
        <v>4</v>
      </c>
      <c r="P1194" s="73" t="s">
        <v>374</v>
      </c>
      <c r="Q1194" s="66" t="s">
        <v>360</v>
      </c>
    </row>
    <row r="1195" spans="1:17" ht="13.8" customHeight="1" x14ac:dyDescent="0.3">
      <c r="A1195" s="70" t="s">
        <v>373</v>
      </c>
      <c r="B1195" s="78">
        <v>46140</v>
      </c>
      <c r="C1195" s="70">
        <v>112</v>
      </c>
      <c r="D1195" s="70" t="s">
        <v>256</v>
      </c>
      <c r="E1195" s="70">
        <v>2</v>
      </c>
      <c r="F1195" s="72" t="s">
        <v>257</v>
      </c>
      <c r="G1195" s="72">
        <v>2.3075000000000001</v>
      </c>
      <c r="H1195" s="72">
        <v>15.3149</v>
      </c>
      <c r="I1195" s="72">
        <v>88594.585900000005</v>
      </c>
      <c r="J1195" s="70">
        <v>426.9615</v>
      </c>
      <c r="K1195" s="72">
        <v>11484.5928</v>
      </c>
      <c r="L1195" s="72">
        <v>46.3872</v>
      </c>
      <c r="M1195" s="70">
        <v>40.503</v>
      </c>
      <c r="N1195" s="77">
        <v>120.13</v>
      </c>
      <c r="O1195" s="70">
        <v>4</v>
      </c>
      <c r="P1195" s="70"/>
      <c r="Q1195" s="62" t="s">
        <v>360</v>
      </c>
    </row>
    <row r="1196" spans="1:17" ht="13.8" customHeight="1" x14ac:dyDescent="0.3">
      <c r="A1196" s="73" t="s">
        <v>373</v>
      </c>
      <c r="B1196" s="79">
        <v>46140</v>
      </c>
      <c r="C1196" s="73">
        <v>113</v>
      </c>
      <c r="D1196" s="73" t="s">
        <v>256</v>
      </c>
      <c r="E1196" s="73">
        <v>3</v>
      </c>
      <c r="F1196" s="75">
        <v>4.7771999999999997</v>
      </c>
      <c r="G1196" s="75" t="s">
        <v>257</v>
      </c>
      <c r="H1196" s="75">
        <v>7.8921000000000001</v>
      </c>
      <c r="I1196" s="75">
        <v>41140.531199999998</v>
      </c>
      <c r="J1196" s="73">
        <v>652.6771</v>
      </c>
      <c r="K1196" s="75">
        <v>2402.8661999999999</v>
      </c>
      <c r="L1196" s="75">
        <v>60.540799999999997</v>
      </c>
      <c r="M1196" s="73">
        <v>11.9213</v>
      </c>
      <c r="N1196" s="76">
        <v>120.43</v>
      </c>
      <c r="O1196" s="73">
        <v>4</v>
      </c>
      <c r="P1196" s="73"/>
      <c r="Q1196" s="66" t="s">
        <v>360</v>
      </c>
    </row>
    <row r="1197" spans="1:17" ht="13.8" customHeight="1" x14ac:dyDescent="0.3">
      <c r="A1197" s="70" t="s">
        <v>373</v>
      </c>
      <c r="B1197" s="78">
        <v>46140</v>
      </c>
      <c r="C1197" s="70">
        <v>114</v>
      </c>
      <c r="D1197" s="70" t="s">
        <v>256</v>
      </c>
      <c r="E1197" s="70">
        <v>3</v>
      </c>
      <c r="F1197" s="72">
        <v>6.4507000000000003</v>
      </c>
      <c r="G1197" s="72" t="s">
        <v>257</v>
      </c>
      <c r="H1197" s="72">
        <v>9.1600999999999999</v>
      </c>
      <c r="I1197" s="72">
        <v>41970.378900000003</v>
      </c>
      <c r="J1197" s="70">
        <v>647.40030000000002</v>
      </c>
      <c r="K1197" s="72">
        <v>2401.5819999999999</v>
      </c>
      <c r="L1197" s="72">
        <v>54.591099999999997</v>
      </c>
      <c r="M1197" s="70">
        <v>11.2888</v>
      </c>
      <c r="N1197" s="77">
        <v>120.41</v>
      </c>
      <c r="O1197" s="70">
        <v>4</v>
      </c>
      <c r="P1197" s="70"/>
      <c r="Q1197" s="62" t="s">
        <v>360</v>
      </c>
    </row>
    <row r="1198" spans="1:17" ht="13.8" customHeight="1" x14ac:dyDescent="0.3">
      <c r="A1198" s="73" t="s">
        <v>373</v>
      </c>
      <c r="B1198" s="79">
        <v>46140</v>
      </c>
      <c r="C1198" s="73">
        <v>115</v>
      </c>
      <c r="D1198" s="73" t="s">
        <v>256</v>
      </c>
      <c r="E1198" s="73">
        <v>4</v>
      </c>
      <c r="F1198" s="75" t="s">
        <v>257</v>
      </c>
      <c r="G1198" s="75" t="s">
        <v>257</v>
      </c>
      <c r="H1198" s="75">
        <v>8.4167000000000005</v>
      </c>
      <c r="I1198" s="75">
        <v>34637.535199999998</v>
      </c>
      <c r="J1198" s="73">
        <v>647.87109999999996</v>
      </c>
      <c r="K1198" s="75">
        <v>5982.6143000000002</v>
      </c>
      <c r="L1198" s="75">
        <v>90.369799999999998</v>
      </c>
      <c r="M1198" s="73">
        <v>14.606299999999999</v>
      </c>
      <c r="N1198" s="76">
        <v>120.8</v>
      </c>
      <c r="O1198" s="73">
        <v>4</v>
      </c>
      <c r="P1198" s="73"/>
      <c r="Q1198" s="66" t="s">
        <v>360</v>
      </c>
    </row>
    <row r="1199" spans="1:17" ht="13.8" customHeight="1" x14ac:dyDescent="0.3">
      <c r="A1199" s="70" t="s">
        <v>373</v>
      </c>
      <c r="B1199" s="78">
        <v>46140</v>
      </c>
      <c r="C1199" s="70">
        <v>116</v>
      </c>
      <c r="D1199" s="70" t="s">
        <v>256</v>
      </c>
      <c r="E1199" s="70">
        <v>4</v>
      </c>
      <c r="F1199" s="72" t="s">
        <v>257</v>
      </c>
      <c r="G1199" s="72" t="s">
        <v>257</v>
      </c>
      <c r="H1199" s="72">
        <v>8.3983000000000008</v>
      </c>
      <c r="I1199" s="72">
        <v>34330.109400000001</v>
      </c>
      <c r="J1199" s="70">
        <v>661.60659999999996</v>
      </c>
      <c r="K1199" s="72">
        <v>6261.3915999999999</v>
      </c>
      <c r="L1199" s="72">
        <v>80.406700000000001</v>
      </c>
      <c r="M1199" s="70">
        <v>11.6206</v>
      </c>
      <c r="N1199" s="77">
        <v>120.12</v>
      </c>
      <c r="O1199" s="70">
        <v>4</v>
      </c>
      <c r="P1199" s="70"/>
      <c r="Q1199" s="62" t="s">
        <v>360</v>
      </c>
    </row>
    <row r="1200" spans="1:17" ht="13.8" customHeight="1" x14ac:dyDescent="0.3">
      <c r="A1200" s="73" t="s">
        <v>373</v>
      </c>
      <c r="B1200" s="79">
        <v>46140</v>
      </c>
      <c r="C1200" s="73">
        <v>117</v>
      </c>
      <c r="D1200" s="73" t="s">
        <v>256</v>
      </c>
      <c r="E1200" s="73">
        <v>5</v>
      </c>
      <c r="F1200" s="75">
        <v>2.6905000000000001</v>
      </c>
      <c r="G1200" s="75" t="s">
        <v>257</v>
      </c>
      <c r="H1200" s="75">
        <v>9.5058000000000007</v>
      </c>
      <c r="I1200" s="75">
        <v>43829.976600000002</v>
      </c>
      <c r="J1200" s="73">
        <v>783.88610000000006</v>
      </c>
      <c r="K1200" s="75">
        <v>5145.8535000000002</v>
      </c>
      <c r="L1200" s="75">
        <v>77.553600000000003</v>
      </c>
      <c r="M1200" s="73">
        <v>13.658799999999999</v>
      </c>
      <c r="N1200" s="76">
        <v>120.61</v>
      </c>
      <c r="O1200" s="73">
        <v>4</v>
      </c>
      <c r="P1200" s="73"/>
      <c r="Q1200" s="66" t="s">
        <v>360</v>
      </c>
    </row>
    <row r="1201" spans="1:17" ht="13.8" customHeight="1" x14ac:dyDescent="0.3">
      <c r="A1201" s="70" t="s">
        <v>373</v>
      </c>
      <c r="B1201" s="78">
        <v>46140</v>
      </c>
      <c r="C1201" s="70">
        <v>118</v>
      </c>
      <c r="D1201" s="70" t="s">
        <v>256</v>
      </c>
      <c r="E1201" s="70">
        <v>5</v>
      </c>
      <c r="F1201" s="72" t="s">
        <v>257</v>
      </c>
      <c r="G1201" s="72" t="s">
        <v>257</v>
      </c>
      <c r="H1201" s="72">
        <v>9.0084</v>
      </c>
      <c r="I1201" s="72">
        <v>42155.203099999999</v>
      </c>
      <c r="J1201" s="70">
        <v>724.64030000000002</v>
      </c>
      <c r="K1201" s="72">
        <v>5070.9687999999996</v>
      </c>
      <c r="L1201" s="72">
        <v>68.332499999999996</v>
      </c>
      <c r="M1201" s="70">
        <v>18.506599999999999</v>
      </c>
      <c r="N1201" s="77">
        <v>125.91</v>
      </c>
      <c r="O1201" s="70">
        <v>4</v>
      </c>
      <c r="P1201" s="70"/>
      <c r="Q1201" s="62" t="s">
        <v>360</v>
      </c>
    </row>
    <row r="1202" spans="1:17" ht="13.8" customHeight="1" x14ac:dyDescent="0.3">
      <c r="A1202" s="73" t="s">
        <v>375</v>
      </c>
      <c r="B1202" s="79">
        <v>46140</v>
      </c>
      <c r="C1202" s="73">
        <v>120</v>
      </c>
      <c r="D1202" s="73" t="s">
        <v>256</v>
      </c>
      <c r="E1202" s="73">
        <v>1</v>
      </c>
      <c r="F1202" s="75" t="s">
        <v>257</v>
      </c>
      <c r="G1202" s="75" t="s">
        <v>257</v>
      </c>
      <c r="H1202" s="75">
        <v>8.8229000000000006</v>
      </c>
      <c r="I1202" s="75">
        <v>47195.113299999997</v>
      </c>
      <c r="J1202" s="73">
        <v>78.315799999999996</v>
      </c>
      <c r="K1202" s="75">
        <v>17152.136699999999</v>
      </c>
      <c r="L1202" s="75">
        <v>21.3994</v>
      </c>
      <c r="M1202" s="73" t="s">
        <v>257</v>
      </c>
      <c r="N1202" s="76">
        <v>126.39</v>
      </c>
      <c r="O1202" s="73">
        <v>4</v>
      </c>
      <c r="P1202" s="73"/>
      <c r="Q1202" s="66" t="s">
        <v>360</v>
      </c>
    </row>
    <row r="1203" spans="1:17" ht="13.8" customHeight="1" x14ac:dyDescent="0.3">
      <c r="A1203" s="70" t="s">
        <v>375</v>
      </c>
      <c r="B1203" s="78">
        <v>46140</v>
      </c>
      <c r="C1203" s="70">
        <v>121</v>
      </c>
      <c r="D1203" s="70" t="s">
        <v>256</v>
      </c>
      <c r="E1203" s="70">
        <v>1</v>
      </c>
      <c r="F1203" s="72" t="s">
        <v>257</v>
      </c>
      <c r="G1203" s="72" t="s">
        <v>257</v>
      </c>
      <c r="H1203" s="72">
        <v>12.135199999999999</v>
      </c>
      <c r="I1203" s="72">
        <v>51629.972699999998</v>
      </c>
      <c r="J1203" s="70">
        <v>106.37269999999999</v>
      </c>
      <c r="K1203" s="72"/>
      <c r="L1203" s="72">
        <v>28.967500000000001</v>
      </c>
      <c r="M1203" s="70" t="s">
        <v>257</v>
      </c>
      <c r="N1203" s="77">
        <v>85.54</v>
      </c>
      <c r="O1203" s="70">
        <v>4</v>
      </c>
      <c r="P1203" s="70"/>
      <c r="Q1203" s="62" t="s">
        <v>360</v>
      </c>
    </row>
    <row r="1204" spans="1:17" ht="13.8" customHeight="1" x14ac:dyDescent="0.3">
      <c r="A1204" s="73" t="s">
        <v>375</v>
      </c>
      <c r="B1204" s="79">
        <v>46140</v>
      </c>
      <c r="C1204" s="73">
        <v>122</v>
      </c>
      <c r="D1204" s="73" t="s">
        <v>256</v>
      </c>
      <c r="E1204" s="73">
        <v>2</v>
      </c>
      <c r="F1204" s="75" t="s">
        <v>257</v>
      </c>
      <c r="G1204" s="75" t="s">
        <v>257</v>
      </c>
      <c r="H1204" s="75">
        <v>9.2052999999999994</v>
      </c>
      <c r="I1204" s="75">
        <v>24554.925800000001</v>
      </c>
      <c r="J1204" s="73">
        <v>157.5145</v>
      </c>
      <c r="K1204" s="75">
        <v>7454.2505000000001</v>
      </c>
      <c r="L1204" s="75">
        <v>27.6233</v>
      </c>
      <c r="M1204" s="73">
        <v>4.3994</v>
      </c>
      <c r="N1204" s="76">
        <v>126.29</v>
      </c>
      <c r="O1204" s="73">
        <v>4</v>
      </c>
      <c r="P1204" s="73"/>
      <c r="Q1204" s="66" t="s">
        <v>360</v>
      </c>
    </row>
    <row r="1205" spans="1:17" ht="13.8" customHeight="1" x14ac:dyDescent="0.3">
      <c r="A1205" s="70" t="s">
        <v>375</v>
      </c>
      <c r="B1205" s="78">
        <v>46140</v>
      </c>
      <c r="C1205" s="70">
        <v>123</v>
      </c>
      <c r="D1205" s="70" t="s">
        <v>256</v>
      </c>
      <c r="E1205" s="70">
        <v>2</v>
      </c>
      <c r="F1205" s="72" t="s">
        <v>257</v>
      </c>
      <c r="G1205" s="72" t="s">
        <v>257</v>
      </c>
      <c r="H1205" s="72">
        <v>9.2106999999999992</v>
      </c>
      <c r="I1205" s="72">
        <v>24487.734400000001</v>
      </c>
      <c r="J1205" s="70">
        <v>166.3526</v>
      </c>
      <c r="K1205" s="72">
        <v>7505.7416999999996</v>
      </c>
      <c r="L1205" s="72">
        <v>24.5684</v>
      </c>
      <c r="M1205" s="70">
        <v>5.8384</v>
      </c>
      <c r="N1205" s="77">
        <v>120.57</v>
      </c>
      <c r="O1205" s="70">
        <v>4</v>
      </c>
      <c r="P1205" s="70"/>
      <c r="Q1205" s="62" t="s">
        <v>360</v>
      </c>
    </row>
    <row r="1206" spans="1:17" ht="13.8" customHeight="1" x14ac:dyDescent="0.3">
      <c r="A1206" s="73" t="s">
        <v>375</v>
      </c>
      <c r="B1206" s="79">
        <v>46140</v>
      </c>
      <c r="C1206" s="73">
        <v>124</v>
      </c>
      <c r="D1206" s="73" t="s">
        <v>256</v>
      </c>
      <c r="E1206" s="73">
        <v>3</v>
      </c>
      <c r="F1206" s="75" t="s">
        <v>257</v>
      </c>
      <c r="G1206" s="75">
        <v>1.355</v>
      </c>
      <c r="H1206" s="75">
        <v>8.8048000000000002</v>
      </c>
      <c r="I1206" s="75">
        <v>30827.228500000001</v>
      </c>
      <c r="J1206" s="73">
        <v>107.5613</v>
      </c>
      <c r="K1206" s="75">
        <v>14521.448200000001</v>
      </c>
      <c r="L1206" s="75">
        <v>20.929500000000001</v>
      </c>
      <c r="M1206" s="73" t="s">
        <v>257</v>
      </c>
      <c r="N1206" s="76">
        <v>120.21</v>
      </c>
      <c r="O1206" s="73">
        <v>4</v>
      </c>
      <c r="P1206" s="73"/>
      <c r="Q1206" s="66" t="s">
        <v>360</v>
      </c>
    </row>
    <row r="1207" spans="1:17" ht="13.8" customHeight="1" x14ac:dyDescent="0.3">
      <c r="A1207" s="70" t="s">
        <v>375</v>
      </c>
      <c r="B1207" s="78">
        <v>46140</v>
      </c>
      <c r="C1207" s="70">
        <v>125</v>
      </c>
      <c r="D1207" s="70" t="s">
        <v>256</v>
      </c>
      <c r="E1207" s="70">
        <v>3</v>
      </c>
      <c r="F1207" s="72" t="s">
        <v>257</v>
      </c>
      <c r="G1207" s="72" t="s">
        <v>257</v>
      </c>
      <c r="H1207" s="72">
        <v>9.0417000000000005</v>
      </c>
      <c r="I1207" s="72">
        <v>34624.683599999997</v>
      </c>
      <c r="J1207" s="70">
        <v>86.466200000000001</v>
      </c>
      <c r="K1207" s="72">
        <v>13329.8496</v>
      </c>
      <c r="L1207" s="72">
        <v>20.769600000000001</v>
      </c>
      <c r="M1207" s="70">
        <v>8.0084999999999997</v>
      </c>
      <c r="N1207" s="77">
        <v>120.43</v>
      </c>
      <c r="O1207" s="70">
        <v>4</v>
      </c>
      <c r="P1207" s="70"/>
      <c r="Q1207" s="62" t="s">
        <v>360</v>
      </c>
    </row>
    <row r="1208" spans="1:17" ht="13.8" customHeight="1" x14ac:dyDescent="0.3">
      <c r="A1208" s="73" t="s">
        <v>375</v>
      </c>
      <c r="B1208" s="79">
        <v>46140</v>
      </c>
      <c r="C1208" s="73">
        <v>126</v>
      </c>
      <c r="D1208" s="73" t="s">
        <v>256</v>
      </c>
      <c r="E1208" s="73">
        <v>4</v>
      </c>
      <c r="F1208" s="75" t="s">
        <v>257</v>
      </c>
      <c r="G1208" s="75" t="s">
        <v>257</v>
      </c>
      <c r="H1208" s="75">
        <v>7.5236000000000001</v>
      </c>
      <c r="I1208" s="75">
        <v>24005.712899999999</v>
      </c>
      <c r="J1208" s="73">
        <v>205.0676</v>
      </c>
      <c r="K1208" s="75">
        <v>8417.3778999999995</v>
      </c>
      <c r="L1208" s="75">
        <v>21.373899999999999</v>
      </c>
      <c r="M1208" s="73">
        <v>3.9748000000000001</v>
      </c>
      <c r="N1208" s="76">
        <v>120.44</v>
      </c>
      <c r="O1208" s="73">
        <v>4</v>
      </c>
      <c r="P1208" s="73"/>
      <c r="Q1208" s="66" t="s">
        <v>360</v>
      </c>
    </row>
    <row r="1209" spans="1:17" ht="13.8" customHeight="1" x14ac:dyDescent="0.3">
      <c r="A1209" s="70" t="s">
        <v>375</v>
      </c>
      <c r="B1209" s="78">
        <v>46140</v>
      </c>
      <c r="C1209" s="70">
        <v>127</v>
      </c>
      <c r="D1209" s="70" t="s">
        <v>256</v>
      </c>
      <c r="E1209" s="70">
        <v>4</v>
      </c>
      <c r="F1209" s="72" t="s">
        <v>257</v>
      </c>
      <c r="G1209" s="72" t="s">
        <v>257</v>
      </c>
      <c r="H1209" s="72">
        <v>8.3557000000000006</v>
      </c>
      <c r="I1209" s="72">
        <v>24376.2539</v>
      </c>
      <c r="J1209" s="70">
        <v>194.50030000000001</v>
      </c>
      <c r="K1209" s="72">
        <v>8363.8135000000002</v>
      </c>
      <c r="L1209" s="72">
        <v>20.397200000000002</v>
      </c>
      <c r="M1209" s="70">
        <v>7.0918000000000001</v>
      </c>
      <c r="N1209" s="77">
        <v>120.16</v>
      </c>
      <c r="O1209" s="70">
        <v>4</v>
      </c>
      <c r="P1209" s="70"/>
      <c r="Q1209" s="62" t="s">
        <v>360</v>
      </c>
    </row>
    <row r="1210" spans="1:17" ht="13.8" customHeight="1" x14ac:dyDescent="0.3">
      <c r="A1210" s="73" t="s">
        <v>375</v>
      </c>
      <c r="B1210" s="79">
        <v>46140</v>
      </c>
      <c r="C1210" s="73">
        <v>128</v>
      </c>
      <c r="D1210" s="73" t="s">
        <v>256</v>
      </c>
      <c r="E1210" s="73">
        <v>5</v>
      </c>
      <c r="F1210" s="75" t="s">
        <v>257</v>
      </c>
      <c r="G1210" s="75">
        <v>1.5411999999999999</v>
      </c>
      <c r="H1210" s="75">
        <v>9.5130999999999997</v>
      </c>
      <c r="I1210" s="75">
        <v>36775.730499999998</v>
      </c>
      <c r="J1210" s="73">
        <v>104.867</v>
      </c>
      <c r="K1210" s="75">
        <v>23492.824199999999</v>
      </c>
      <c r="L1210" s="75">
        <v>12.592000000000001</v>
      </c>
      <c r="M1210" s="73" t="s">
        <v>257</v>
      </c>
      <c r="N1210" s="76">
        <v>120.6</v>
      </c>
      <c r="O1210" s="73">
        <v>4</v>
      </c>
      <c r="P1210" s="73"/>
      <c r="Q1210" s="66" t="s">
        <v>360</v>
      </c>
    </row>
    <row r="1211" spans="1:17" ht="13.8" customHeight="1" x14ac:dyDescent="0.3">
      <c r="A1211" s="70" t="s">
        <v>375</v>
      </c>
      <c r="B1211" s="78">
        <v>46140</v>
      </c>
      <c r="C1211" s="70">
        <v>129</v>
      </c>
      <c r="D1211" s="70" t="s">
        <v>256</v>
      </c>
      <c r="E1211" s="70">
        <v>5</v>
      </c>
      <c r="F1211" s="72" t="s">
        <v>257</v>
      </c>
      <c r="G1211" s="72">
        <v>1.8777999999999999</v>
      </c>
      <c r="H1211" s="72">
        <v>8.7288999999999994</v>
      </c>
      <c r="I1211" s="72">
        <v>38956.519500000002</v>
      </c>
      <c r="J1211" s="70">
        <v>101.3972</v>
      </c>
      <c r="K1211" s="72">
        <v>26094.2598</v>
      </c>
      <c r="L1211" s="72">
        <v>13.8985</v>
      </c>
      <c r="M1211" s="70" t="s">
        <v>257</v>
      </c>
      <c r="N1211" s="77">
        <v>120.68</v>
      </c>
      <c r="O1211" s="70">
        <v>4</v>
      </c>
      <c r="P1211" s="70"/>
      <c r="Q1211" s="62" t="s">
        <v>360</v>
      </c>
    </row>
    <row r="1212" spans="1:17" ht="13.8" customHeight="1" x14ac:dyDescent="0.3">
      <c r="A1212" s="73" t="s">
        <v>376</v>
      </c>
      <c r="B1212" s="79">
        <v>46140</v>
      </c>
      <c r="C1212" s="73">
        <v>130</v>
      </c>
      <c r="D1212" s="73" t="s">
        <v>256</v>
      </c>
      <c r="E1212" s="73">
        <v>1</v>
      </c>
      <c r="F1212" s="75" t="s">
        <v>257</v>
      </c>
      <c r="G1212" s="75">
        <v>1.5618000000000001</v>
      </c>
      <c r="H1212" s="75">
        <v>9.1572999999999993</v>
      </c>
      <c r="I1212" s="75">
        <v>20581.3887</v>
      </c>
      <c r="J1212" s="73">
        <v>25.1051</v>
      </c>
      <c r="K1212" s="75">
        <v>7571.6929</v>
      </c>
      <c r="L1212" s="75">
        <v>35.437399999999997</v>
      </c>
      <c r="M1212" s="73">
        <v>9.3125999999999998</v>
      </c>
      <c r="N1212" s="76">
        <v>120.34</v>
      </c>
      <c r="O1212" s="73">
        <v>4</v>
      </c>
      <c r="P1212" s="73"/>
      <c r="Q1212" s="66" t="s">
        <v>360</v>
      </c>
    </row>
    <row r="1213" spans="1:17" ht="13.8" customHeight="1" x14ac:dyDescent="0.3">
      <c r="A1213" s="70" t="s">
        <v>376</v>
      </c>
      <c r="B1213" s="78">
        <v>46140</v>
      </c>
      <c r="C1213" s="70">
        <v>131</v>
      </c>
      <c r="D1213" s="70" t="s">
        <v>256</v>
      </c>
      <c r="E1213" s="70">
        <v>1</v>
      </c>
      <c r="F1213" s="72" t="s">
        <v>257</v>
      </c>
      <c r="G1213" s="72" t="s">
        <v>257</v>
      </c>
      <c r="H1213" s="72">
        <v>8.9480000000000004</v>
      </c>
      <c r="I1213" s="72">
        <v>24698.6914</v>
      </c>
      <c r="J1213" s="70">
        <v>23.5487</v>
      </c>
      <c r="K1213" s="72">
        <v>7042.2695000000003</v>
      </c>
      <c r="L1213" s="72">
        <v>34.877499999999998</v>
      </c>
      <c r="M1213" s="70">
        <v>8.1554000000000002</v>
      </c>
      <c r="N1213" s="77">
        <v>126.16</v>
      </c>
      <c r="O1213" s="70">
        <v>4</v>
      </c>
      <c r="P1213" s="70"/>
      <c r="Q1213" s="62" t="s">
        <v>360</v>
      </c>
    </row>
    <row r="1214" spans="1:17" ht="13.8" customHeight="1" x14ac:dyDescent="0.3">
      <c r="A1214" s="73" t="s">
        <v>376</v>
      </c>
      <c r="B1214" s="79">
        <v>46140</v>
      </c>
      <c r="C1214" s="73">
        <v>132</v>
      </c>
      <c r="D1214" s="73" t="s">
        <v>256</v>
      </c>
      <c r="E1214" s="73">
        <v>2</v>
      </c>
      <c r="F1214" s="75" t="s">
        <v>257</v>
      </c>
      <c r="G1214" s="75" t="s">
        <v>257</v>
      </c>
      <c r="H1214" s="75">
        <v>10.9994</v>
      </c>
      <c r="I1214" s="75">
        <v>23130.8184</v>
      </c>
      <c r="J1214" s="73">
        <v>285.1576</v>
      </c>
      <c r="K1214" s="75">
        <v>6347.5239000000001</v>
      </c>
      <c r="L1214" s="75">
        <v>79.703100000000006</v>
      </c>
      <c r="M1214" s="73">
        <v>23.4969</v>
      </c>
      <c r="N1214" s="76">
        <v>120.74</v>
      </c>
      <c r="O1214" s="73">
        <v>4</v>
      </c>
      <c r="P1214" s="73"/>
      <c r="Q1214" s="66" t="s">
        <v>360</v>
      </c>
    </row>
    <row r="1215" spans="1:17" ht="13.8" customHeight="1" x14ac:dyDescent="0.3">
      <c r="A1215" s="70" t="s">
        <v>376</v>
      </c>
      <c r="B1215" s="78">
        <v>46140</v>
      </c>
      <c r="C1215" s="70">
        <v>133</v>
      </c>
      <c r="D1215" s="70" t="s">
        <v>256</v>
      </c>
      <c r="E1215" s="70">
        <v>2</v>
      </c>
      <c r="F1215" s="72" t="s">
        <v>257</v>
      </c>
      <c r="G1215" s="72" t="s">
        <v>257</v>
      </c>
      <c r="H1215" s="72">
        <v>8.4467999999999996</v>
      </c>
      <c r="I1215" s="72">
        <v>28982.863300000001</v>
      </c>
      <c r="J1215" s="70">
        <v>304.89139999999998</v>
      </c>
      <c r="K1215" s="72">
        <v>8242.9403999999995</v>
      </c>
      <c r="L1215" s="72">
        <v>83.950400000000002</v>
      </c>
      <c r="M1215" s="70">
        <v>26.8842</v>
      </c>
      <c r="N1215" s="77">
        <v>120.55</v>
      </c>
      <c r="O1215" s="70">
        <v>4</v>
      </c>
      <c r="P1215" s="70"/>
      <c r="Q1215" s="62" t="s">
        <v>360</v>
      </c>
    </row>
    <row r="1216" spans="1:17" ht="13.8" customHeight="1" x14ac:dyDescent="0.3">
      <c r="A1216" s="73" t="s">
        <v>376</v>
      </c>
      <c r="B1216" s="79">
        <v>46140</v>
      </c>
      <c r="C1216" s="73">
        <v>134</v>
      </c>
      <c r="D1216" s="73" t="s">
        <v>256</v>
      </c>
      <c r="E1216" s="73">
        <v>3</v>
      </c>
      <c r="F1216" s="75" t="s">
        <v>257</v>
      </c>
      <c r="G1216" s="75" t="s">
        <v>257</v>
      </c>
      <c r="H1216" s="75">
        <v>8.4071999999999996</v>
      </c>
      <c r="I1216" s="75">
        <v>33310.757799999999</v>
      </c>
      <c r="J1216" s="73">
        <v>660.38019999999995</v>
      </c>
      <c r="K1216" s="75">
        <v>5248.2466000000004</v>
      </c>
      <c r="L1216" s="75">
        <v>64.227699999999999</v>
      </c>
      <c r="M1216" s="73">
        <v>14.263</v>
      </c>
      <c r="N1216" s="76">
        <v>120.32</v>
      </c>
      <c r="O1216" s="73">
        <v>4</v>
      </c>
      <c r="P1216" s="73"/>
      <c r="Q1216" s="66" t="s">
        <v>360</v>
      </c>
    </row>
    <row r="1217" spans="1:17" ht="13.8" customHeight="1" x14ac:dyDescent="0.3">
      <c r="A1217" s="70" t="s">
        <v>376</v>
      </c>
      <c r="B1217" s="78">
        <v>46140</v>
      </c>
      <c r="C1217" s="70">
        <v>135</v>
      </c>
      <c r="D1217" s="70" t="s">
        <v>256</v>
      </c>
      <c r="E1217" s="70">
        <v>3</v>
      </c>
      <c r="F1217" s="72" t="s">
        <v>257</v>
      </c>
      <c r="G1217" s="72" t="s">
        <v>257</v>
      </c>
      <c r="H1217" s="72">
        <v>7.7432999999999996</v>
      </c>
      <c r="I1217" s="72">
        <v>34164.484400000001</v>
      </c>
      <c r="J1217" s="70">
        <v>659.9606</v>
      </c>
      <c r="K1217" s="72">
        <v>4936.5879000000004</v>
      </c>
      <c r="L1217" s="72">
        <v>68.6965</v>
      </c>
      <c r="M1217" s="70">
        <v>15.5764</v>
      </c>
      <c r="N1217" s="77">
        <v>120.16</v>
      </c>
      <c r="O1217" s="70">
        <v>4</v>
      </c>
      <c r="P1217" s="70"/>
      <c r="Q1217" s="62" t="s">
        <v>360</v>
      </c>
    </row>
    <row r="1218" spans="1:17" ht="13.8" customHeight="1" x14ac:dyDescent="0.3">
      <c r="A1218" s="73" t="s">
        <v>376</v>
      </c>
      <c r="B1218" s="79">
        <v>46140</v>
      </c>
      <c r="C1218" s="73">
        <v>136</v>
      </c>
      <c r="D1218" s="73" t="s">
        <v>256</v>
      </c>
      <c r="E1218" s="73">
        <v>4</v>
      </c>
      <c r="F1218" s="75" t="s">
        <v>257</v>
      </c>
      <c r="G1218" s="75" t="s">
        <v>257</v>
      </c>
      <c r="H1218" s="75">
        <v>12.2723</v>
      </c>
      <c r="I1218" s="75">
        <v>31454.455099999999</v>
      </c>
      <c r="J1218" s="73">
        <v>408.35950000000003</v>
      </c>
      <c r="K1218" s="75">
        <v>9925.7695000000003</v>
      </c>
      <c r="L1218" s="75">
        <v>73.094399999999993</v>
      </c>
      <c r="M1218" s="73">
        <v>14.526400000000001</v>
      </c>
      <c r="N1218" s="76">
        <v>120.53</v>
      </c>
      <c r="O1218" s="73">
        <v>4</v>
      </c>
      <c r="P1218" s="73"/>
      <c r="Q1218" s="66" t="s">
        <v>360</v>
      </c>
    </row>
    <row r="1219" spans="1:17" ht="13.8" customHeight="1" x14ac:dyDescent="0.3">
      <c r="A1219" s="70" t="s">
        <v>376</v>
      </c>
      <c r="B1219" s="78">
        <v>46140</v>
      </c>
      <c r="C1219" s="70">
        <v>137</v>
      </c>
      <c r="D1219" s="70" t="s">
        <v>256</v>
      </c>
      <c r="E1219" s="70">
        <v>4</v>
      </c>
      <c r="F1219" s="72" t="s">
        <v>257</v>
      </c>
      <c r="G1219" s="72" t="s">
        <v>257</v>
      </c>
      <c r="H1219" s="72">
        <v>10.9224</v>
      </c>
      <c r="I1219" s="72">
        <v>31788.144499999999</v>
      </c>
      <c r="J1219" s="70">
        <v>502.91419999999999</v>
      </c>
      <c r="K1219" s="72">
        <v>7920.2704999999996</v>
      </c>
      <c r="L1219" s="72">
        <v>74.625299999999996</v>
      </c>
      <c r="M1219" s="70">
        <v>7.2975000000000003</v>
      </c>
      <c r="N1219" s="77">
        <v>125.9</v>
      </c>
      <c r="O1219" s="70">
        <v>4</v>
      </c>
      <c r="P1219" s="70"/>
      <c r="Q1219" s="62" t="s">
        <v>360</v>
      </c>
    </row>
    <row r="1220" spans="1:17" ht="13.8" customHeight="1" x14ac:dyDescent="0.3">
      <c r="A1220" s="73" t="s">
        <v>376</v>
      </c>
      <c r="B1220" s="79">
        <v>46140</v>
      </c>
      <c r="C1220" s="73">
        <v>138</v>
      </c>
      <c r="D1220" s="73" t="s">
        <v>256</v>
      </c>
      <c r="E1220" s="73">
        <v>5</v>
      </c>
      <c r="F1220" s="75" t="s">
        <v>257</v>
      </c>
      <c r="G1220" s="75" t="s">
        <v>257</v>
      </c>
      <c r="H1220" s="75">
        <v>10.1753</v>
      </c>
      <c r="I1220" s="75">
        <v>24349.492200000001</v>
      </c>
      <c r="J1220" s="73">
        <v>369.96300000000002</v>
      </c>
      <c r="K1220" s="75">
        <v>7106.4453000000003</v>
      </c>
      <c r="L1220" s="75">
        <v>53.540300000000002</v>
      </c>
      <c r="M1220" s="73">
        <v>12.5931</v>
      </c>
      <c r="N1220" s="76">
        <v>120.47</v>
      </c>
      <c r="O1220" s="73">
        <v>4</v>
      </c>
      <c r="P1220" s="73"/>
      <c r="Q1220" s="66" t="s">
        <v>360</v>
      </c>
    </row>
    <row r="1221" spans="1:17" ht="13.8" customHeight="1" x14ac:dyDescent="0.3">
      <c r="A1221" s="70" t="s">
        <v>376</v>
      </c>
      <c r="B1221" s="78">
        <v>46140</v>
      </c>
      <c r="C1221" s="70">
        <v>139</v>
      </c>
      <c r="D1221" s="70" t="s">
        <v>256</v>
      </c>
      <c r="E1221" s="70">
        <v>5</v>
      </c>
      <c r="F1221" s="72" t="s">
        <v>257</v>
      </c>
      <c r="G1221" s="72" t="s">
        <v>257</v>
      </c>
      <c r="H1221" s="72">
        <v>10.064399999999999</v>
      </c>
      <c r="I1221" s="72">
        <v>20997.804700000001</v>
      </c>
      <c r="J1221" s="70">
        <v>201.3845</v>
      </c>
      <c r="K1221" s="72">
        <v>7394.9390000000003</v>
      </c>
      <c r="L1221" s="72">
        <v>42.882399999999997</v>
      </c>
      <c r="M1221" s="70">
        <v>14.2308</v>
      </c>
      <c r="N1221" s="77">
        <v>120.63</v>
      </c>
      <c r="O1221" s="70">
        <v>4</v>
      </c>
      <c r="P1221" s="70"/>
      <c r="Q1221" s="62" t="s">
        <v>360</v>
      </c>
    </row>
    <row r="1222" spans="1:17" ht="13.8" customHeight="1" x14ac:dyDescent="0.3">
      <c r="A1222" s="73" t="s">
        <v>377</v>
      </c>
      <c r="B1222" s="79">
        <v>46141</v>
      </c>
      <c r="C1222" s="73">
        <v>1288</v>
      </c>
      <c r="D1222" s="73" t="s">
        <v>256</v>
      </c>
      <c r="E1222" s="73">
        <v>1</v>
      </c>
      <c r="F1222" s="75">
        <v>7.5621</v>
      </c>
      <c r="G1222" s="75" t="s">
        <v>257</v>
      </c>
      <c r="H1222" s="75">
        <v>19.059000000000001</v>
      </c>
      <c r="I1222" s="75">
        <v>145099.35939999999</v>
      </c>
      <c r="J1222" s="73">
        <v>63.013800000000003</v>
      </c>
      <c r="K1222" s="75">
        <v>11810.3691</v>
      </c>
      <c r="L1222" s="75">
        <v>35.647300000000001</v>
      </c>
      <c r="M1222" s="73">
        <v>91.505799999999994</v>
      </c>
      <c r="N1222" s="76">
        <v>123.02</v>
      </c>
      <c r="O1222" s="73">
        <v>4</v>
      </c>
      <c r="P1222" s="73"/>
      <c r="Q1222" s="73" t="s">
        <v>258</v>
      </c>
    </row>
    <row r="1223" spans="1:17" ht="13.8" customHeight="1" x14ac:dyDescent="0.3">
      <c r="A1223" s="70" t="s">
        <v>377</v>
      </c>
      <c r="B1223" s="78">
        <v>46141</v>
      </c>
      <c r="C1223" s="70">
        <v>1289</v>
      </c>
      <c r="D1223" s="70" t="s">
        <v>256</v>
      </c>
      <c r="E1223" s="70">
        <v>1</v>
      </c>
      <c r="F1223" s="72">
        <v>16.2317</v>
      </c>
      <c r="G1223" s="72" t="s">
        <v>257</v>
      </c>
      <c r="H1223" s="72">
        <v>28.978300000000001</v>
      </c>
      <c r="I1223" s="72">
        <v>134235.9062</v>
      </c>
      <c r="J1223" s="70">
        <v>80.006100000000004</v>
      </c>
      <c r="K1223" s="72">
        <v>19482.6934</v>
      </c>
      <c r="L1223" s="72">
        <v>55.306399999999996</v>
      </c>
      <c r="M1223" s="70">
        <v>136.92439999999999</v>
      </c>
      <c r="N1223" s="77">
        <v>120.27</v>
      </c>
      <c r="O1223" s="70">
        <v>4</v>
      </c>
      <c r="P1223" s="70"/>
      <c r="Q1223" s="70" t="s">
        <v>258</v>
      </c>
    </row>
    <row r="1224" spans="1:17" ht="13.8" customHeight="1" x14ac:dyDescent="0.3">
      <c r="A1224" s="73" t="s">
        <v>377</v>
      </c>
      <c r="B1224" s="79">
        <v>46141</v>
      </c>
      <c r="C1224" s="73">
        <v>1290</v>
      </c>
      <c r="D1224" s="73" t="s">
        <v>256</v>
      </c>
      <c r="E1224" s="73">
        <v>1</v>
      </c>
      <c r="F1224" s="75">
        <v>18.518999999999998</v>
      </c>
      <c r="G1224" s="75" t="s">
        <v>257</v>
      </c>
      <c r="H1224" s="75">
        <v>20.537299999999998</v>
      </c>
      <c r="I1224" s="75">
        <v>145095.3125</v>
      </c>
      <c r="J1224" s="73">
        <v>85.881699999999995</v>
      </c>
      <c r="K1224" s="75">
        <v>13594.852500000001</v>
      </c>
      <c r="L1224" s="75">
        <v>34.203600000000002</v>
      </c>
      <c r="M1224" s="73">
        <v>68.535600000000002</v>
      </c>
      <c r="N1224" s="76">
        <v>123.43</v>
      </c>
      <c r="O1224" s="73">
        <v>4</v>
      </c>
      <c r="P1224" s="73"/>
      <c r="Q1224" s="73" t="s">
        <v>258</v>
      </c>
    </row>
    <row r="1225" spans="1:17" ht="13.8" customHeight="1" x14ac:dyDescent="0.3">
      <c r="A1225" s="70" t="s">
        <v>377</v>
      </c>
      <c r="B1225" s="78">
        <v>46141</v>
      </c>
      <c r="C1225" s="70">
        <v>1291</v>
      </c>
      <c r="D1225" s="70" t="s">
        <v>256</v>
      </c>
      <c r="E1225" s="70">
        <v>2</v>
      </c>
      <c r="F1225" s="72" t="s">
        <v>257</v>
      </c>
      <c r="G1225" s="72" t="s">
        <v>257</v>
      </c>
      <c r="H1225" s="72">
        <v>12.394299999999999</v>
      </c>
      <c r="I1225" s="72">
        <v>38394.042999999998</v>
      </c>
      <c r="J1225" s="70">
        <v>75.395899999999997</v>
      </c>
      <c r="K1225" s="72">
        <v>1824.3108999999999</v>
      </c>
      <c r="L1225" s="72">
        <v>7.2336</v>
      </c>
      <c r="M1225" s="70">
        <v>19.397500000000001</v>
      </c>
      <c r="N1225" s="77">
        <v>120.35</v>
      </c>
      <c r="O1225" s="70">
        <v>4</v>
      </c>
      <c r="P1225" s="70"/>
      <c r="Q1225" s="70" t="s">
        <v>258</v>
      </c>
    </row>
    <row r="1226" spans="1:17" ht="13.8" customHeight="1" x14ac:dyDescent="0.3">
      <c r="A1226" s="73" t="s">
        <v>377</v>
      </c>
      <c r="B1226" s="79">
        <v>46141</v>
      </c>
      <c r="C1226" s="73">
        <v>1292</v>
      </c>
      <c r="D1226" s="73" t="s">
        <v>256</v>
      </c>
      <c r="E1226" s="73">
        <v>2</v>
      </c>
      <c r="F1226" s="75">
        <v>7.3078000000000003</v>
      </c>
      <c r="G1226" s="75">
        <v>2.7951999999999999</v>
      </c>
      <c r="H1226" s="75">
        <v>33.563400000000001</v>
      </c>
      <c r="I1226" s="75">
        <v>87759.953099999999</v>
      </c>
      <c r="J1226" s="73">
        <v>113.69540000000001</v>
      </c>
      <c r="K1226" s="75">
        <v>8749.4491999999991</v>
      </c>
      <c r="L1226" s="75">
        <v>29.557300000000001</v>
      </c>
      <c r="M1226" s="73">
        <v>43.689700000000002</v>
      </c>
      <c r="N1226" s="76">
        <v>120.43</v>
      </c>
      <c r="O1226" s="73">
        <v>4</v>
      </c>
      <c r="P1226" s="73"/>
      <c r="Q1226" s="73" t="s">
        <v>258</v>
      </c>
    </row>
    <row r="1227" spans="1:17" ht="13.8" customHeight="1" x14ac:dyDescent="0.3">
      <c r="A1227" s="70" t="s">
        <v>377</v>
      </c>
      <c r="B1227" s="78">
        <v>46141</v>
      </c>
      <c r="C1227" s="70">
        <v>1293</v>
      </c>
      <c r="D1227" s="70" t="s">
        <v>256</v>
      </c>
      <c r="E1227" s="70">
        <v>2</v>
      </c>
      <c r="F1227" s="72">
        <v>6.8430999999999997</v>
      </c>
      <c r="G1227" s="72" t="s">
        <v>257</v>
      </c>
      <c r="H1227" s="72">
        <v>24.215800000000002</v>
      </c>
      <c r="I1227" s="72">
        <v>93691.679699999993</v>
      </c>
      <c r="J1227" s="70">
        <v>93.823400000000007</v>
      </c>
      <c r="K1227" s="72">
        <v>7590.3936000000003</v>
      </c>
      <c r="L1227" s="72">
        <v>31.365500000000001</v>
      </c>
      <c r="M1227" s="70">
        <v>55.536700000000003</v>
      </c>
      <c r="N1227" s="77">
        <v>122.64</v>
      </c>
      <c r="O1227" s="70">
        <v>4</v>
      </c>
      <c r="P1227" s="70"/>
      <c r="Q1227" s="70" t="s">
        <v>258</v>
      </c>
    </row>
    <row r="1228" spans="1:17" ht="13.8" customHeight="1" x14ac:dyDescent="0.3">
      <c r="A1228" s="73" t="s">
        <v>377</v>
      </c>
      <c r="B1228" s="79">
        <v>46141</v>
      </c>
      <c r="C1228" s="73">
        <v>1294</v>
      </c>
      <c r="D1228" s="73" t="s">
        <v>256</v>
      </c>
      <c r="E1228" s="73">
        <v>3</v>
      </c>
      <c r="F1228" s="75" t="s">
        <v>257</v>
      </c>
      <c r="G1228" s="75" t="s">
        <v>257</v>
      </c>
      <c r="H1228" s="75">
        <v>8.1592000000000002</v>
      </c>
      <c r="I1228" s="75">
        <v>28533.752</v>
      </c>
      <c r="J1228" s="73">
        <v>272.7081</v>
      </c>
      <c r="K1228" s="75">
        <v>2968.6543000000001</v>
      </c>
      <c r="L1228" s="75">
        <v>27.103300000000001</v>
      </c>
      <c r="M1228" s="73">
        <v>19.355</v>
      </c>
      <c r="N1228" s="76">
        <v>122.9</v>
      </c>
      <c r="O1228" s="73">
        <v>4</v>
      </c>
      <c r="P1228" s="73"/>
      <c r="Q1228" s="73" t="s">
        <v>258</v>
      </c>
    </row>
    <row r="1229" spans="1:17" ht="13.8" customHeight="1" x14ac:dyDescent="0.3">
      <c r="A1229" s="70" t="s">
        <v>377</v>
      </c>
      <c r="B1229" s="78">
        <v>46141</v>
      </c>
      <c r="C1229" s="70">
        <v>1295</v>
      </c>
      <c r="D1229" s="70" t="s">
        <v>256</v>
      </c>
      <c r="E1229" s="70">
        <v>3</v>
      </c>
      <c r="F1229" s="72">
        <v>14.8614</v>
      </c>
      <c r="G1229" s="72" t="s">
        <v>257</v>
      </c>
      <c r="H1229" s="72">
        <v>35.610799999999998</v>
      </c>
      <c r="I1229" s="72">
        <v>71270.664099999995</v>
      </c>
      <c r="J1229" s="70">
        <v>154.38810000000001</v>
      </c>
      <c r="K1229" s="72">
        <v>14404.2979</v>
      </c>
      <c r="L1229" s="72">
        <v>65.456299999999999</v>
      </c>
      <c r="M1229" s="70">
        <v>71.676599999999993</v>
      </c>
      <c r="N1229" s="77">
        <v>120.48</v>
      </c>
      <c r="O1229" s="70">
        <v>4</v>
      </c>
      <c r="P1229" s="70"/>
      <c r="Q1229" s="70" t="s">
        <v>258</v>
      </c>
    </row>
    <row r="1230" spans="1:17" ht="13.8" customHeight="1" x14ac:dyDescent="0.3">
      <c r="A1230" s="73" t="s">
        <v>377</v>
      </c>
      <c r="B1230" s="79">
        <v>46141</v>
      </c>
      <c r="C1230" s="73">
        <v>1296</v>
      </c>
      <c r="D1230" s="73" t="s">
        <v>256</v>
      </c>
      <c r="E1230" s="73">
        <v>3</v>
      </c>
      <c r="F1230" s="75">
        <v>18.165900000000001</v>
      </c>
      <c r="G1230" s="75" t="s">
        <v>257</v>
      </c>
      <c r="H1230" s="75">
        <v>48.994799999999998</v>
      </c>
      <c r="I1230" s="75">
        <v>119419.71090000001</v>
      </c>
      <c r="J1230" s="73">
        <v>103.7051</v>
      </c>
      <c r="K1230" s="75">
        <v>21556.480500000001</v>
      </c>
      <c r="L1230" s="75">
        <v>28.351600000000001</v>
      </c>
      <c r="M1230" s="73">
        <v>47.478200000000001</v>
      </c>
      <c r="N1230" s="76">
        <v>120.52</v>
      </c>
      <c r="O1230" s="73">
        <v>4</v>
      </c>
      <c r="P1230" s="73"/>
      <c r="Q1230" s="73" t="s">
        <v>258</v>
      </c>
    </row>
    <row r="1231" spans="1:17" ht="13.8" customHeight="1" x14ac:dyDescent="0.3">
      <c r="A1231" s="70" t="s">
        <v>377</v>
      </c>
      <c r="B1231" s="78">
        <v>46141</v>
      </c>
      <c r="C1231" s="70">
        <v>1297</v>
      </c>
      <c r="D1231" s="70" t="s">
        <v>256</v>
      </c>
      <c r="E1231" s="70">
        <v>4</v>
      </c>
      <c r="F1231" s="72">
        <v>4.0785999999999998</v>
      </c>
      <c r="G1231" s="72" t="s">
        <v>257</v>
      </c>
      <c r="H1231" s="72">
        <v>27.968900000000001</v>
      </c>
      <c r="I1231" s="72">
        <v>99982.429699999993</v>
      </c>
      <c r="J1231" s="70">
        <v>170.40029999999999</v>
      </c>
      <c r="K1231" s="72">
        <v>28392.406200000001</v>
      </c>
      <c r="L1231" s="72">
        <v>31.104299999999999</v>
      </c>
      <c r="M1231" s="70">
        <v>22.456700000000001</v>
      </c>
      <c r="N1231" s="77">
        <v>122.76</v>
      </c>
      <c r="O1231" s="70">
        <v>4</v>
      </c>
      <c r="P1231" s="70"/>
      <c r="Q1231" s="70" t="s">
        <v>258</v>
      </c>
    </row>
    <row r="1232" spans="1:17" ht="13.8" customHeight="1" x14ac:dyDescent="0.3">
      <c r="A1232" s="73" t="s">
        <v>377</v>
      </c>
      <c r="B1232" s="79">
        <v>46141</v>
      </c>
      <c r="C1232" s="73">
        <v>1298</v>
      </c>
      <c r="D1232" s="73" t="s">
        <v>256</v>
      </c>
      <c r="E1232" s="73">
        <v>4</v>
      </c>
      <c r="F1232" s="75">
        <v>5.9599000000000002</v>
      </c>
      <c r="G1232" s="75">
        <v>17.536300000000001</v>
      </c>
      <c r="H1232" s="75">
        <v>139.65950000000001</v>
      </c>
      <c r="I1232" s="75">
        <v>113095.49219999999</v>
      </c>
      <c r="J1232" s="73">
        <v>270.52210000000002</v>
      </c>
      <c r="K1232" s="75">
        <v>27851.623</v>
      </c>
      <c r="L1232" s="75">
        <v>50.942300000000003</v>
      </c>
      <c r="M1232" s="73">
        <v>34.356699999999996</v>
      </c>
      <c r="N1232" s="76">
        <v>120.33</v>
      </c>
      <c r="O1232" s="73">
        <v>4</v>
      </c>
      <c r="P1232" s="73"/>
      <c r="Q1232" s="73" t="s">
        <v>258</v>
      </c>
    </row>
    <row r="1233" spans="1:17" ht="13.8" customHeight="1" x14ac:dyDescent="0.3">
      <c r="A1233" s="70" t="s">
        <v>377</v>
      </c>
      <c r="B1233" s="78">
        <v>46141</v>
      </c>
      <c r="C1233" s="70">
        <v>1299</v>
      </c>
      <c r="D1233" s="70" t="s">
        <v>256</v>
      </c>
      <c r="E1233" s="70">
        <v>4</v>
      </c>
      <c r="F1233" s="72">
        <v>9.077</v>
      </c>
      <c r="G1233" s="72">
        <v>20.009899999999998</v>
      </c>
      <c r="H1233" s="72">
        <v>135.4966</v>
      </c>
      <c r="I1233" s="72">
        <v>114246.7969</v>
      </c>
      <c r="J1233" s="70">
        <v>261.39359999999999</v>
      </c>
      <c r="K1233" s="72">
        <v>25827.554700000001</v>
      </c>
      <c r="L1233" s="72">
        <v>54.130299999999998</v>
      </c>
      <c r="M1233" s="70">
        <v>33.575299999999999</v>
      </c>
      <c r="N1233" s="77">
        <v>120.43</v>
      </c>
      <c r="O1233" s="70">
        <v>4</v>
      </c>
      <c r="P1233" s="70"/>
      <c r="Q1233" s="70" t="s">
        <v>258</v>
      </c>
    </row>
    <row r="1234" spans="1:17" ht="13.8" customHeight="1" x14ac:dyDescent="0.3">
      <c r="A1234" s="73" t="s">
        <v>377</v>
      </c>
      <c r="B1234" s="79">
        <v>46141</v>
      </c>
      <c r="C1234" s="73">
        <v>1300</v>
      </c>
      <c r="D1234" s="73" t="s">
        <v>256</v>
      </c>
      <c r="E1234" s="73">
        <v>5</v>
      </c>
      <c r="F1234" s="75">
        <v>5.9766000000000004</v>
      </c>
      <c r="G1234" s="75" t="s">
        <v>257</v>
      </c>
      <c r="H1234" s="75">
        <v>20.0334</v>
      </c>
      <c r="I1234" s="75">
        <v>114158.8906</v>
      </c>
      <c r="J1234" s="73">
        <v>203.3099</v>
      </c>
      <c r="K1234" s="75">
        <v>14763.709000000001</v>
      </c>
      <c r="L1234" s="75">
        <v>31.709800000000001</v>
      </c>
      <c r="M1234" s="73">
        <v>30.2529</v>
      </c>
      <c r="N1234" s="76">
        <v>123.17</v>
      </c>
      <c r="O1234" s="73">
        <v>4</v>
      </c>
      <c r="P1234" s="73"/>
      <c r="Q1234" s="73" t="s">
        <v>258</v>
      </c>
    </row>
    <row r="1235" spans="1:17" ht="13.8" customHeight="1" x14ac:dyDescent="0.3">
      <c r="A1235" s="70" t="s">
        <v>377</v>
      </c>
      <c r="B1235" s="78">
        <v>46141</v>
      </c>
      <c r="C1235" s="70">
        <v>1301</v>
      </c>
      <c r="D1235" s="70" t="s">
        <v>256</v>
      </c>
      <c r="E1235" s="70">
        <v>5</v>
      </c>
      <c r="F1235" s="72">
        <v>20.579699999999999</v>
      </c>
      <c r="G1235" s="72">
        <v>4.1787999999999998</v>
      </c>
      <c r="H1235" s="72">
        <v>57.680300000000003</v>
      </c>
      <c r="I1235" s="72">
        <v>218747.4375</v>
      </c>
      <c r="J1235" s="70">
        <v>126.6728</v>
      </c>
      <c r="K1235" s="72">
        <v>17137.650399999999</v>
      </c>
      <c r="L1235" s="72">
        <v>88.471100000000007</v>
      </c>
      <c r="M1235" s="70">
        <v>39.654699999999998</v>
      </c>
      <c r="N1235" s="77">
        <v>123</v>
      </c>
      <c r="O1235" s="70">
        <v>4</v>
      </c>
      <c r="P1235" s="70"/>
      <c r="Q1235" s="70" t="s">
        <v>258</v>
      </c>
    </row>
    <row r="1236" spans="1:17" ht="13.8" customHeight="1" x14ac:dyDescent="0.3">
      <c r="A1236" s="73" t="s">
        <v>377</v>
      </c>
      <c r="B1236" s="79">
        <v>46141</v>
      </c>
      <c r="C1236" s="73">
        <v>1302</v>
      </c>
      <c r="D1236" s="73" t="s">
        <v>256</v>
      </c>
      <c r="E1236" s="73">
        <v>5</v>
      </c>
      <c r="F1236" s="75" t="s">
        <v>257</v>
      </c>
      <c r="G1236" s="75" t="s">
        <v>257</v>
      </c>
      <c r="H1236" s="75" t="s">
        <v>257</v>
      </c>
      <c r="I1236" s="75">
        <v>86.201499999999996</v>
      </c>
      <c r="J1236" s="73">
        <v>1973.2084</v>
      </c>
      <c r="K1236" s="75">
        <v>178576.5</v>
      </c>
      <c r="L1236" s="75" t="s">
        <v>257</v>
      </c>
      <c r="M1236" s="73" t="s">
        <v>257</v>
      </c>
      <c r="N1236" s="76">
        <v>123.1</v>
      </c>
      <c r="O1236" s="73">
        <v>4</v>
      </c>
      <c r="P1236" s="73"/>
      <c r="Q1236" s="73" t="s">
        <v>258</v>
      </c>
    </row>
    <row r="1237" spans="1:17" ht="13.8" customHeight="1" x14ac:dyDescent="0.3">
      <c r="A1237" s="70" t="s">
        <v>378</v>
      </c>
      <c r="B1237" s="78">
        <v>46141</v>
      </c>
      <c r="C1237" s="70">
        <v>1303</v>
      </c>
      <c r="D1237" s="70" t="s">
        <v>256</v>
      </c>
      <c r="E1237" s="70">
        <v>1</v>
      </c>
      <c r="F1237" s="72" t="s">
        <v>257</v>
      </c>
      <c r="G1237" s="72" t="s">
        <v>257</v>
      </c>
      <c r="H1237" s="72">
        <v>3.7181999999999999</v>
      </c>
      <c r="I1237" s="72">
        <v>211.73990000000001</v>
      </c>
      <c r="J1237" s="70" t="s">
        <v>257</v>
      </c>
      <c r="K1237" s="72">
        <v>549.00789999999995</v>
      </c>
      <c r="L1237" s="72" t="s">
        <v>257</v>
      </c>
      <c r="M1237" s="70" t="s">
        <v>257</v>
      </c>
      <c r="N1237" s="77">
        <v>120.41</v>
      </c>
      <c r="O1237" s="70">
        <v>4</v>
      </c>
      <c r="P1237" s="70"/>
      <c r="Q1237" s="70" t="s">
        <v>258</v>
      </c>
    </row>
    <row r="1238" spans="1:17" ht="13.8" customHeight="1" x14ac:dyDescent="0.3">
      <c r="A1238" s="73" t="s">
        <v>378</v>
      </c>
      <c r="B1238" s="79">
        <v>46141</v>
      </c>
      <c r="C1238" s="73">
        <v>1304</v>
      </c>
      <c r="D1238" s="73" t="s">
        <v>256</v>
      </c>
      <c r="E1238" s="73">
        <v>1</v>
      </c>
      <c r="F1238" s="75">
        <v>4.3404999999999996</v>
      </c>
      <c r="G1238" s="75" t="s">
        <v>257</v>
      </c>
      <c r="H1238" s="75">
        <v>3.5295999999999998</v>
      </c>
      <c r="I1238" s="75">
        <v>139.94329999999999</v>
      </c>
      <c r="J1238" s="73" t="s">
        <v>257</v>
      </c>
      <c r="K1238" s="75">
        <v>309.08179999999999</v>
      </c>
      <c r="L1238" s="75" t="s">
        <v>257</v>
      </c>
      <c r="M1238" s="73" t="s">
        <v>257</v>
      </c>
      <c r="N1238" s="76">
        <v>123.08</v>
      </c>
      <c r="O1238" s="73">
        <v>4</v>
      </c>
      <c r="P1238" s="73"/>
      <c r="Q1238" s="73" t="s">
        <v>258</v>
      </c>
    </row>
    <row r="1239" spans="1:17" ht="13.8" customHeight="1" x14ac:dyDescent="0.3">
      <c r="A1239" s="70" t="s">
        <v>378</v>
      </c>
      <c r="B1239" s="78">
        <v>46141</v>
      </c>
      <c r="C1239" s="70">
        <v>1305</v>
      </c>
      <c r="D1239" s="70" t="s">
        <v>256</v>
      </c>
      <c r="E1239" s="70">
        <v>1</v>
      </c>
      <c r="F1239" s="72">
        <v>6.5500999999999996</v>
      </c>
      <c r="G1239" s="72" t="s">
        <v>257</v>
      </c>
      <c r="H1239" s="72">
        <v>3.8138000000000001</v>
      </c>
      <c r="I1239" s="72">
        <v>348.11380000000003</v>
      </c>
      <c r="J1239" s="70" t="s">
        <v>257</v>
      </c>
      <c r="K1239" s="72">
        <v>584.55899999999997</v>
      </c>
      <c r="L1239" s="72" t="s">
        <v>257</v>
      </c>
      <c r="M1239" s="70" t="s">
        <v>257</v>
      </c>
      <c r="N1239" s="77">
        <v>123.03</v>
      </c>
      <c r="O1239" s="70">
        <v>4</v>
      </c>
      <c r="P1239" s="70"/>
      <c r="Q1239" s="70" t="s">
        <v>258</v>
      </c>
    </row>
    <row r="1240" spans="1:17" ht="13.8" customHeight="1" x14ac:dyDescent="0.3">
      <c r="A1240" s="73" t="s">
        <v>378</v>
      </c>
      <c r="B1240" s="79">
        <v>46141</v>
      </c>
      <c r="C1240" s="73">
        <v>1306</v>
      </c>
      <c r="D1240" s="73" t="s">
        <v>256</v>
      </c>
      <c r="E1240" s="73">
        <v>2</v>
      </c>
      <c r="F1240" s="75" t="s">
        <v>257</v>
      </c>
      <c r="G1240" s="75" t="s">
        <v>257</v>
      </c>
      <c r="H1240" s="75" t="s">
        <v>257</v>
      </c>
      <c r="I1240" s="75">
        <v>268.42790000000002</v>
      </c>
      <c r="J1240" s="73" t="s">
        <v>257</v>
      </c>
      <c r="K1240" s="75">
        <v>1368.7936</v>
      </c>
      <c r="L1240" s="75" t="s">
        <v>257</v>
      </c>
      <c r="M1240" s="73" t="s">
        <v>257</v>
      </c>
      <c r="N1240" s="76">
        <v>120.48</v>
      </c>
      <c r="O1240" s="73">
        <v>4</v>
      </c>
      <c r="P1240" s="73"/>
      <c r="Q1240" s="73" t="s">
        <v>258</v>
      </c>
    </row>
    <row r="1241" spans="1:17" ht="13.8" customHeight="1" x14ac:dyDescent="0.3">
      <c r="A1241" s="70" t="s">
        <v>378</v>
      </c>
      <c r="B1241" s="78">
        <v>46141</v>
      </c>
      <c r="C1241" s="70">
        <v>1307</v>
      </c>
      <c r="D1241" s="70" t="s">
        <v>256</v>
      </c>
      <c r="E1241" s="70">
        <v>2</v>
      </c>
      <c r="F1241" s="72" t="s">
        <v>257</v>
      </c>
      <c r="G1241" s="72" t="s">
        <v>257</v>
      </c>
      <c r="H1241" s="72" t="s">
        <v>257</v>
      </c>
      <c r="I1241" s="72">
        <v>723.90150000000006</v>
      </c>
      <c r="J1241" s="70" t="s">
        <v>257</v>
      </c>
      <c r="K1241" s="72">
        <v>1186.6322</v>
      </c>
      <c r="L1241" s="72" t="s">
        <v>257</v>
      </c>
      <c r="M1241" s="70">
        <v>10.4795</v>
      </c>
      <c r="N1241" s="77">
        <v>122.82</v>
      </c>
      <c r="O1241" s="70">
        <v>4</v>
      </c>
      <c r="P1241" s="70"/>
      <c r="Q1241" s="70" t="s">
        <v>258</v>
      </c>
    </row>
    <row r="1242" spans="1:17" ht="13.8" customHeight="1" x14ac:dyDescent="0.3">
      <c r="A1242" s="73" t="s">
        <v>378</v>
      </c>
      <c r="B1242" s="79">
        <v>46141</v>
      </c>
      <c r="C1242" s="73">
        <v>1308</v>
      </c>
      <c r="D1242" s="73" t="s">
        <v>256</v>
      </c>
      <c r="E1242" s="73">
        <v>2</v>
      </c>
      <c r="F1242" s="75" t="s">
        <v>257</v>
      </c>
      <c r="G1242" s="75" t="s">
        <v>257</v>
      </c>
      <c r="H1242" s="75">
        <v>5.1125999999999996</v>
      </c>
      <c r="I1242" s="75">
        <v>473.09519999999998</v>
      </c>
      <c r="J1242" s="73" t="s">
        <v>257</v>
      </c>
      <c r="K1242" s="75">
        <v>769.33280000000002</v>
      </c>
      <c r="L1242" s="75" t="s">
        <v>257</v>
      </c>
      <c r="M1242" s="73">
        <v>7.6231</v>
      </c>
      <c r="N1242" s="76">
        <v>120.52</v>
      </c>
      <c r="O1242" s="73">
        <v>4</v>
      </c>
      <c r="P1242" s="73"/>
      <c r="Q1242" s="73" t="s">
        <v>258</v>
      </c>
    </row>
    <row r="1243" spans="1:17" ht="13.8" customHeight="1" x14ac:dyDescent="0.3">
      <c r="A1243" s="70" t="s">
        <v>378</v>
      </c>
      <c r="B1243" s="78">
        <v>46141</v>
      </c>
      <c r="C1243" s="70">
        <v>1309</v>
      </c>
      <c r="D1243" s="70" t="s">
        <v>256</v>
      </c>
      <c r="E1243" s="70">
        <v>3</v>
      </c>
      <c r="F1243" s="72" t="s">
        <v>257</v>
      </c>
      <c r="G1243" s="72" t="s">
        <v>257</v>
      </c>
      <c r="H1243" s="72" t="s">
        <v>257</v>
      </c>
      <c r="I1243" s="72">
        <v>452.01479999999998</v>
      </c>
      <c r="J1243" s="70" t="s">
        <v>257</v>
      </c>
      <c r="K1243" s="72">
        <v>3007.2593000000002</v>
      </c>
      <c r="L1243" s="72" t="s">
        <v>257</v>
      </c>
      <c r="M1243" s="70">
        <v>7.0876000000000001</v>
      </c>
      <c r="N1243" s="77">
        <v>120.31</v>
      </c>
      <c r="O1243" s="70">
        <v>4</v>
      </c>
      <c r="P1243" s="70"/>
      <c r="Q1243" s="70" t="s">
        <v>258</v>
      </c>
    </row>
    <row r="1244" spans="1:17" ht="13.8" customHeight="1" x14ac:dyDescent="0.3">
      <c r="A1244" s="73" t="s">
        <v>378</v>
      </c>
      <c r="B1244" s="79">
        <v>46141</v>
      </c>
      <c r="C1244" s="73">
        <v>1310</v>
      </c>
      <c r="D1244" s="73" t="s">
        <v>256</v>
      </c>
      <c r="E1244" s="73">
        <v>3</v>
      </c>
      <c r="F1244" s="75" t="s">
        <v>257</v>
      </c>
      <c r="G1244" s="75" t="s">
        <v>257</v>
      </c>
      <c r="H1244" s="75" t="s">
        <v>257</v>
      </c>
      <c r="I1244" s="75">
        <v>340.32780000000002</v>
      </c>
      <c r="J1244" s="73" t="s">
        <v>257</v>
      </c>
      <c r="K1244" s="75">
        <v>1192.7925</v>
      </c>
      <c r="L1244" s="75" t="s">
        <v>257</v>
      </c>
      <c r="M1244" s="73" t="s">
        <v>257</v>
      </c>
      <c r="N1244" s="76">
        <v>123.22</v>
      </c>
      <c r="O1244" s="73">
        <v>4</v>
      </c>
      <c r="P1244" s="73"/>
      <c r="Q1244" s="73" t="s">
        <v>258</v>
      </c>
    </row>
    <row r="1245" spans="1:17" ht="13.8" customHeight="1" x14ac:dyDescent="0.3">
      <c r="A1245" s="70" t="s">
        <v>378</v>
      </c>
      <c r="B1245" s="78">
        <v>46141</v>
      </c>
      <c r="C1245" s="70">
        <v>1311</v>
      </c>
      <c r="D1245" s="70" t="s">
        <v>256</v>
      </c>
      <c r="E1245" s="70">
        <v>3</v>
      </c>
      <c r="F1245" s="72" t="s">
        <v>257</v>
      </c>
      <c r="G1245" s="72" t="s">
        <v>257</v>
      </c>
      <c r="H1245" s="72" t="s">
        <v>257</v>
      </c>
      <c r="I1245" s="72">
        <v>246.351</v>
      </c>
      <c r="J1245" s="70" t="s">
        <v>257</v>
      </c>
      <c r="K1245" s="72">
        <v>319.91890000000001</v>
      </c>
      <c r="L1245" s="72" t="s">
        <v>257</v>
      </c>
      <c r="M1245" s="70" t="s">
        <v>257</v>
      </c>
      <c r="N1245" s="77">
        <v>122.92</v>
      </c>
      <c r="O1245" s="70">
        <v>4</v>
      </c>
      <c r="P1245" s="70"/>
      <c r="Q1245" s="70" t="s">
        <v>258</v>
      </c>
    </row>
    <row r="1246" spans="1:17" ht="13.8" customHeight="1" x14ac:dyDescent="0.3">
      <c r="A1246" s="73" t="s">
        <v>378</v>
      </c>
      <c r="B1246" s="79">
        <v>46141</v>
      </c>
      <c r="C1246" s="73">
        <v>1312</v>
      </c>
      <c r="D1246" s="73" t="s">
        <v>256</v>
      </c>
      <c r="E1246" s="73">
        <v>4</v>
      </c>
      <c r="F1246" s="75">
        <v>3.8613</v>
      </c>
      <c r="G1246" s="75" t="s">
        <v>257</v>
      </c>
      <c r="H1246" s="75" t="s">
        <v>257</v>
      </c>
      <c r="I1246" s="75">
        <v>272.93630000000002</v>
      </c>
      <c r="J1246" s="73" t="s">
        <v>257</v>
      </c>
      <c r="K1246" s="75">
        <v>1755.1548</v>
      </c>
      <c r="L1246" s="75" t="s">
        <v>257</v>
      </c>
      <c r="M1246" s="73">
        <v>15.603300000000001</v>
      </c>
      <c r="N1246" s="76">
        <v>122.79</v>
      </c>
      <c r="O1246" s="73">
        <v>4</v>
      </c>
      <c r="P1246" s="73"/>
      <c r="Q1246" s="73" t="s">
        <v>258</v>
      </c>
    </row>
    <row r="1247" spans="1:17" ht="13.8" customHeight="1" x14ac:dyDescent="0.3">
      <c r="A1247" s="70" t="s">
        <v>378</v>
      </c>
      <c r="B1247" s="78">
        <v>46141</v>
      </c>
      <c r="C1247" s="70">
        <v>1313</v>
      </c>
      <c r="D1247" s="70" t="s">
        <v>256</v>
      </c>
      <c r="E1247" s="70">
        <v>4</v>
      </c>
      <c r="F1247" s="72">
        <v>3.6631</v>
      </c>
      <c r="G1247" s="72" t="s">
        <v>257</v>
      </c>
      <c r="H1247" s="72">
        <v>3.3660999999999999</v>
      </c>
      <c r="I1247" s="72">
        <v>569.51769999999999</v>
      </c>
      <c r="J1247" s="70" t="s">
        <v>257</v>
      </c>
      <c r="K1247" s="72">
        <v>1786.4712999999999</v>
      </c>
      <c r="L1247" s="72" t="s">
        <v>257</v>
      </c>
      <c r="M1247" s="70">
        <v>21.384599999999999</v>
      </c>
      <c r="N1247" s="77">
        <v>120.54</v>
      </c>
      <c r="O1247" s="70">
        <v>4</v>
      </c>
      <c r="P1247" s="70"/>
      <c r="Q1247" s="70" t="s">
        <v>258</v>
      </c>
    </row>
    <row r="1248" spans="1:17" ht="13.8" customHeight="1" x14ac:dyDescent="0.3">
      <c r="A1248" s="73" t="s">
        <v>378</v>
      </c>
      <c r="B1248" s="79">
        <v>46141</v>
      </c>
      <c r="C1248" s="73">
        <v>1314</v>
      </c>
      <c r="D1248" s="73" t="s">
        <v>256</v>
      </c>
      <c r="E1248" s="73">
        <v>5</v>
      </c>
      <c r="F1248" s="75" t="s">
        <v>257</v>
      </c>
      <c r="G1248" s="75" t="s">
        <v>257</v>
      </c>
      <c r="H1248" s="75" t="s">
        <v>257</v>
      </c>
      <c r="I1248" s="75">
        <v>297.43709999999999</v>
      </c>
      <c r="J1248" s="73" t="s">
        <v>257</v>
      </c>
      <c r="K1248" s="75">
        <v>569.82719999999995</v>
      </c>
      <c r="L1248" s="75" t="s">
        <v>257</v>
      </c>
      <c r="M1248" s="73" t="s">
        <v>257</v>
      </c>
      <c r="N1248" s="76">
        <v>122.99</v>
      </c>
      <c r="O1248" s="73">
        <v>4</v>
      </c>
      <c r="P1248" s="73"/>
      <c r="Q1248" s="73" t="s">
        <v>258</v>
      </c>
    </row>
    <row r="1249" spans="1:17" ht="13.8" customHeight="1" x14ac:dyDescent="0.3">
      <c r="A1249" s="70" t="s">
        <v>378</v>
      </c>
      <c r="B1249" s="78">
        <v>46141</v>
      </c>
      <c r="C1249" s="70">
        <v>1315</v>
      </c>
      <c r="D1249" s="70" t="s">
        <v>256</v>
      </c>
      <c r="E1249" s="70">
        <v>5</v>
      </c>
      <c r="F1249" s="72" t="s">
        <v>257</v>
      </c>
      <c r="G1249" s="72" t="s">
        <v>257</v>
      </c>
      <c r="H1249" s="72" t="s">
        <v>257</v>
      </c>
      <c r="I1249" s="72">
        <v>237.09200000000001</v>
      </c>
      <c r="J1249" s="70" t="s">
        <v>257</v>
      </c>
      <c r="K1249" s="72">
        <v>631.34969999999998</v>
      </c>
      <c r="L1249" s="72" t="s">
        <v>257</v>
      </c>
      <c r="M1249" s="70" t="s">
        <v>257</v>
      </c>
      <c r="N1249" s="77">
        <v>120.08</v>
      </c>
      <c r="O1249" s="70">
        <v>4</v>
      </c>
      <c r="P1249" s="70"/>
      <c r="Q1249" s="70" t="s">
        <v>258</v>
      </c>
    </row>
    <row r="1250" spans="1:17" ht="13.8" customHeight="1" x14ac:dyDescent="0.3">
      <c r="A1250" s="73" t="s">
        <v>379</v>
      </c>
      <c r="B1250" s="79">
        <v>46141</v>
      </c>
      <c r="C1250" s="73">
        <v>1316</v>
      </c>
      <c r="D1250" s="73" t="s">
        <v>256</v>
      </c>
      <c r="E1250" s="73">
        <v>1</v>
      </c>
      <c r="F1250" s="75">
        <v>22.0471</v>
      </c>
      <c r="G1250" s="75" t="s">
        <v>257</v>
      </c>
      <c r="H1250" s="75">
        <v>9.1620000000000008</v>
      </c>
      <c r="I1250" s="75">
        <v>83041.273400000005</v>
      </c>
      <c r="J1250" s="73">
        <v>198.09909999999999</v>
      </c>
      <c r="K1250" s="75">
        <v>21619.855500000001</v>
      </c>
      <c r="L1250" s="75">
        <v>47.355800000000002</v>
      </c>
      <c r="M1250" s="73">
        <v>30.7532</v>
      </c>
      <c r="N1250" s="76">
        <v>122.72</v>
      </c>
      <c r="O1250" s="73">
        <v>4</v>
      </c>
      <c r="P1250" s="73"/>
      <c r="Q1250" s="73" t="s">
        <v>258</v>
      </c>
    </row>
    <row r="1251" spans="1:17" ht="13.8" customHeight="1" x14ac:dyDescent="0.3">
      <c r="A1251" s="70" t="s">
        <v>379</v>
      </c>
      <c r="B1251" s="78">
        <v>46141</v>
      </c>
      <c r="C1251" s="70">
        <v>1317</v>
      </c>
      <c r="D1251" s="70" t="s">
        <v>256</v>
      </c>
      <c r="E1251" s="70">
        <v>1</v>
      </c>
      <c r="F1251" s="72" t="s">
        <v>257</v>
      </c>
      <c r="G1251" s="72" t="s">
        <v>257</v>
      </c>
      <c r="H1251" s="72" t="s">
        <v>257</v>
      </c>
      <c r="I1251" s="72" t="s">
        <v>257</v>
      </c>
      <c r="J1251" s="70">
        <v>812.93759999999997</v>
      </c>
      <c r="K1251" s="72">
        <v>48677.421900000001</v>
      </c>
      <c r="L1251" s="72" t="s">
        <v>257</v>
      </c>
      <c r="M1251" s="70" t="s">
        <v>257</v>
      </c>
      <c r="N1251" s="77">
        <v>124.1</v>
      </c>
      <c r="O1251" s="70">
        <v>4</v>
      </c>
      <c r="P1251" s="70" t="s">
        <v>380</v>
      </c>
      <c r="Q1251" s="70" t="s">
        <v>258</v>
      </c>
    </row>
    <row r="1252" spans="1:17" ht="13.8" customHeight="1" x14ac:dyDescent="0.3">
      <c r="A1252" s="73" t="s">
        <v>379</v>
      </c>
      <c r="B1252" s="79">
        <v>46141</v>
      </c>
      <c r="C1252" s="73">
        <v>1318</v>
      </c>
      <c r="D1252" s="73" t="s">
        <v>256</v>
      </c>
      <c r="E1252" s="73">
        <v>1</v>
      </c>
      <c r="F1252" s="75">
        <v>13.8835</v>
      </c>
      <c r="G1252" s="75">
        <v>2.5467</v>
      </c>
      <c r="H1252" s="75">
        <v>11.906499999999999</v>
      </c>
      <c r="I1252" s="75">
        <v>106117.0469</v>
      </c>
      <c r="J1252" s="73">
        <v>103.35760000000001</v>
      </c>
      <c r="K1252" s="75">
        <v>21712</v>
      </c>
      <c r="L1252" s="75">
        <v>35.291400000000003</v>
      </c>
      <c r="M1252" s="73">
        <v>47.393099999999997</v>
      </c>
      <c r="N1252" s="76">
        <v>122.98</v>
      </c>
      <c r="O1252" s="73">
        <v>4</v>
      </c>
      <c r="P1252" s="73"/>
      <c r="Q1252" s="73" t="s">
        <v>258</v>
      </c>
    </row>
    <row r="1253" spans="1:17" ht="13.8" customHeight="1" x14ac:dyDescent="0.3">
      <c r="A1253" s="70" t="s">
        <v>379</v>
      </c>
      <c r="B1253" s="78">
        <v>46141</v>
      </c>
      <c r="C1253" s="70">
        <v>1319</v>
      </c>
      <c r="D1253" s="70" t="s">
        <v>256</v>
      </c>
      <c r="E1253" s="70">
        <v>2</v>
      </c>
      <c r="F1253" s="72">
        <v>13.8901</v>
      </c>
      <c r="G1253" s="72">
        <v>14.821</v>
      </c>
      <c r="H1253" s="72">
        <v>19.067799999999998</v>
      </c>
      <c r="I1253" s="72">
        <v>141041.2188</v>
      </c>
      <c r="J1253" s="70" t="s">
        <v>257</v>
      </c>
      <c r="K1253" s="72">
        <v>34259.148399999998</v>
      </c>
      <c r="L1253" s="72">
        <v>35.738700000000001</v>
      </c>
      <c r="M1253" s="70">
        <v>66.540000000000006</v>
      </c>
      <c r="N1253" s="77">
        <v>122.67</v>
      </c>
      <c r="O1253" s="70">
        <v>4</v>
      </c>
      <c r="P1253" s="70"/>
      <c r="Q1253" s="70" t="s">
        <v>258</v>
      </c>
    </row>
    <row r="1254" spans="1:17" ht="13.8" customHeight="1" x14ac:dyDescent="0.3">
      <c r="A1254" s="73" t="s">
        <v>379</v>
      </c>
      <c r="B1254" s="79">
        <v>46141</v>
      </c>
      <c r="C1254" s="73">
        <v>1320</v>
      </c>
      <c r="D1254" s="73" t="s">
        <v>256</v>
      </c>
      <c r="E1254" s="73">
        <v>2</v>
      </c>
      <c r="F1254" s="75" t="s">
        <v>257</v>
      </c>
      <c r="G1254" s="75" t="s">
        <v>257</v>
      </c>
      <c r="H1254" s="75" t="s">
        <v>257</v>
      </c>
      <c r="I1254" s="75" t="s">
        <v>257</v>
      </c>
      <c r="J1254" s="73">
        <v>1908.8200999999999</v>
      </c>
      <c r="K1254" s="75">
        <v>138809.1875</v>
      </c>
      <c r="L1254" s="75" t="s">
        <v>257</v>
      </c>
      <c r="M1254" s="73" t="s">
        <v>257</v>
      </c>
      <c r="N1254" s="76">
        <v>124.63</v>
      </c>
      <c r="O1254" s="73">
        <v>4</v>
      </c>
      <c r="P1254" s="73" t="s">
        <v>380</v>
      </c>
      <c r="Q1254" s="73" t="s">
        <v>258</v>
      </c>
    </row>
    <row r="1255" spans="1:17" ht="13.8" customHeight="1" x14ac:dyDescent="0.3">
      <c r="A1255" s="70" t="s">
        <v>379</v>
      </c>
      <c r="B1255" s="78">
        <v>46141</v>
      </c>
      <c r="C1255" s="70">
        <v>1321</v>
      </c>
      <c r="D1255" s="70" t="s">
        <v>256</v>
      </c>
      <c r="E1255" s="70">
        <v>2</v>
      </c>
      <c r="F1255" s="72">
        <v>35.5488</v>
      </c>
      <c r="G1255" s="72">
        <v>25.784800000000001</v>
      </c>
      <c r="H1255" s="72">
        <v>23.785900000000002</v>
      </c>
      <c r="I1255" s="72">
        <v>289658.25</v>
      </c>
      <c r="J1255" s="70" t="s">
        <v>257</v>
      </c>
      <c r="K1255" s="72">
        <v>48339.566400000003</v>
      </c>
      <c r="L1255" s="72">
        <v>27.5793</v>
      </c>
      <c r="M1255" s="70">
        <v>271.54020000000003</v>
      </c>
      <c r="N1255" s="77">
        <v>120.76</v>
      </c>
      <c r="O1255" s="70">
        <v>4</v>
      </c>
      <c r="P1255" s="70"/>
      <c r="Q1255" s="70" t="s">
        <v>258</v>
      </c>
    </row>
    <row r="1256" spans="1:17" ht="13.8" customHeight="1" x14ac:dyDescent="0.3">
      <c r="A1256" s="73" t="s">
        <v>379</v>
      </c>
      <c r="B1256" s="79">
        <v>46141</v>
      </c>
      <c r="C1256" s="73">
        <v>1322</v>
      </c>
      <c r="D1256" s="73" t="s">
        <v>256</v>
      </c>
      <c r="E1256" s="73">
        <v>3</v>
      </c>
      <c r="F1256" s="75">
        <v>3.2035999999999998</v>
      </c>
      <c r="G1256" s="75">
        <v>1.6586000000000001</v>
      </c>
      <c r="H1256" s="75">
        <v>8.2158999999999995</v>
      </c>
      <c r="I1256" s="75">
        <v>79990.273400000005</v>
      </c>
      <c r="J1256" s="73">
        <v>353.49</v>
      </c>
      <c r="K1256" s="75">
        <v>29608.945299999999</v>
      </c>
      <c r="L1256" s="75">
        <v>31.047000000000001</v>
      </c>
      <c r="M1256" s="73">
        <v>17.742999999999999</v>
      </c>
      <c r="N1256" s="76">
        <v>123</v>
      </c>
      <c r="O1256" s="73">
        <v>4</v>
      </c>
      <c r="P1256" s="73"/>
      <c r="Q1256" s="73" t="s">
        <v>258</v>
      </c>
    </row>
    <row r="1257" spans="1:17" ht="13.8" customHeight="1" x14ac:dyDescent="0.3">
      <c r="A1257" s="70" t="s">
        <v>379</v>
      </c>
      <c r="B1257" s="78">
        <v>46141</v>
      </c>
      <c r="C1257" s="70">
        <v>1323</v>
      </c>
      <c r="D1257" s="70" t="s">
        <v>256</v>
      </c>
      <c r="E1257" s="70">
        <v>3</v>
      </c>
      <c r="F1257" s="72">
        <v>5.1607000000000003</v>
      </c>
      <c r="G1257" s="72" t="s">
        <v>257</v>
      </c>
      <c r="H1257" s="72">
        <v>8.3815000000000008</v>
      </c>
      <c r="I1257" s="72">
        <v>74368.640599999999</v>
      </c>
      <c r="J1257" s="70">
        <v>353.7346</v>
      </c>
      <c r="K1257" s="72">
        <v>28858.9863</v>
      </c>
      <c r="L1257" s="72">
        <v>35.894100000000002</v>
      </c>
      <c r="M1257" s="70">
        <v>12.4825</v>
      </c>
      <c r="N1257" s="77">
        <v>120.07</v>
      </c>
      <c r="O1257" s="70">
        <v>4</v>
      </c>
      <c r="P1257" s="70"/>
      <c r="Q1257" s="70" t="s">
        <v>258</v>
      </c>
    </row>
    <row r="1258" spans="1:17" ht="13.8" customHeight="1" x14ac:dyDescent="0.3">
      <c r="A1258" s="73" t="s">
        <v>379</v>
      </c>
      <c r="B1258" s="79">
        <v>46141</v>
      </c>
      <c r="C1258" s="73">
        <v>1324</v>
      </c>
      <c r="D1258" s="73" t="s">
        <v>256</v>
      </c>
      <c r="E1258" s="73">
        <v>3</v>
      </c>
      <c r="F1258" s="75">
        <v>5.2930999999999999</v>
      </c>
      <c r="G1258" s="75">
        <v>6.5602999999999998</v>
      </c>
      <c r="H1258" s="75">
        <v>4.9459</v>
      </c>
      <c r="I1258" s="75">
        <v>129916.2031</v>
      </c>
      <c r="J1258" s="73" t="s">
        <v>257</v>
      </c>
      <c r="K1258" s="75">
        <v>34379.8125</v>
      </c>
      <c r="L1258" s="75">
        <v>33.500399999999999</v>
      </c>
      <c r="M1258" s="73">
        <v>36.722999999999999</v>
      </c>
      <c r="N1258" s="76">
        <v>122.79</v>
      </c>
      <c r="O1258" s="73">
        <v>4</v>
      </c>
      <c r="P1258" s="73"/>
      <c r="Q1258" s="73" t="s">
        <v>258</v>
      </c>
    </row>
    <row r="1259" spans="1:17" ht="13.8" customHeight="1" x14ac:dyDescent="0.3">
      <c r="A1259" s="70" t="s">
        <v>379</v>
      </c>
      <c r="B1259" s="78">
        <v>46141</v>
      </c>
      <c r="C1259" s="70">
        <v>1325</v>
      </c>
      <c r="D1259" s="70" t="s">
        <v>256</v>
      </c>
      <c r="E1259" s="70">
        <v>4</v>
      </c>
      <c r="F1259" s="72">
        <v>3.0312000000000001</v>
      </c>
      <c r="G1259" s="72">
        <v>1.3564000000000001</v>
      </c>
      <c r="H1259" s="72">
        <v>4.7252000000000001</v>
      </c>
      <c r="I1259" s="72">
        <v>82905.546900000001</v>
      </c>
      <c r="J1259" s="70">
        <v>173.79310000000001</v>
      </c>
      <c r="K1259" s="72">
        <v>29115.9434</v>
      </c>
      <c r="L1259" s="72">
        <v>19.683399999999999</v>
      </c>
      <c r="M1259" s="70">
        <v>27.781099999999999</v>
      </c>
      <c r="N1259" s="77">
        <v>120.19</v>
      </c>
      <c r="O1259" s="70">
        <v>4</v>
      </c>
      <c r="P1259" s="70"/>
      <c r="Q1259" s="70" t="s">
        <v>258</v>
      </c>
    </row>
    <row r="1260" spans="1:17" ht="13.8" customHeight="1" x14ac:dyDescent="0.3">
      <c r="A1260" s="73" t="s">
        <v>379</v>
      </c>
      <c r="B1260" s="79">
        <v>46141</v>
      </c>
      <c r="C1260" s="73">
        <v>1326</v>
      </c>
      <c r="D1260" s="73" t="s">
        <v>256</v>
      </c>
      <c r="E1260" s="73">
        <v>4</v>
      </c>
      <c r="F1260" s="75">
        <v>23.617799999999999</v>
      </c>
      <c r="G1260" s="75" t="s">
        <v>257</v>
      </c>
      <c r="H1260" s="75">
        <v>17.332799999999999</v>
      </c>
      <c r="I1260" s="75">
        <v>152405.73439999999</v>
      </c>
      <c r="J1260" s="73" t="s">
        <v>257</v>
      </c>
      <c r="K1260" s="75">
        <v>35488.992200000001</v>
      </c>
      <c r="L1260" s="75">
        <v>51.623899999999999</v>
      </c>
      <c r="M1260" s="73">
        <v>59.4758</v>
      </c>
      <c r="N1260" s="76">
        <v>122.87</v>
      </c>
      <c r="O1260" s="73">
        <v>4</v>
      </c>
      <c r="P1260" s="73"/>
      <c r="Q1260" s="73" t="s">
        <v>258</v>
      </c>
    </row>
    <row r="1261" spans="1:17" ht="13.8" customHeight="1" x14ac:dyDescent="0.3">
      <c r="A1261" s="70" t="s">
        <v>379</v>
      </c>
      <c r="B1261" s="78">
        <v>46141</v>
      </c>
      <c r="C1261" s="70">
        <v>1327</v>
      </c>
      <c r="D1261" s="70" t="s">
        <v>256</v>
      </c>
      <c r="E1261" s="70">
        <v>5</v>
      </c>
      <c r="F1261" s="72" t="s">
        <v>257</v>
      </c>
      <c r="G1261" s="72" t="s">
        <v>257</v>
      </c>
      <c r="H1261" s="72">
        <v>4.9115000000000002</v>
      </c>
      <c r="I1261" s="72">
        <v>72377.070300000007</v>
      </c>
      <c r="J1261" s="70">
        <v>216.6499</v>
      </c>
      <c r="K1261" s="72">
        <v>53847.375</v>
      </c>
      <c r="L1261" s="72">
        <v>25.686599999999999</v>
      </c>
      <c r="M1261" s="70">
        <v>14.3361</v>
      </c>
      <c r="N1261" s="77">
        <v>120.09</v>
      </c>
      <c r="O1261" s="70">
        <v>4</v>
      </c>
      <c r="P1261" s="70"/>
      <c r="Q1261" s="70" t="s">
        <v>258</v>
      </c>
    </row>
    <row r="1262" spans="1:17" ht="13.8" customHeight="1" x14ac:dyDescent="0.3">
      <c r="A1262" s="73" t="s">
        <v>379</v>
      </c>
      <c r="B1262" s="79">
        <v>46141</v>
      </c>
      <c r="C1262" s="73">
        <v>1328</v>
      </c>
      <c r="D1262" s="73" t="s">
        <v>256</v>
      </c>
      <c r="E1262" s="73">
        <v>5</v>
      </c>
      <c r="F1262" s="75">
        <v>4.6157000000000004</v>
      </c>
      <c r="G1262" s="75" t="s">
        <v>257</v>
      </c>
      <c r="H1262" s="75">
        <v>5.9080000000000004</v>
      </c>
      <c r="I1262" s="75">
        <v>86959.726599999995</v>
      </c>
      <c r="J1262" s="73">
        <v>288.47800000000001</v>
      </c>
      <c r="K1262" s="75">
        <v>11792.515600000001</v>
      </c>
      <c r="L1262" s="75">
        <v>24.042000000000002</v>
      </c>
      <c r="M1262" s="73">
        <v>19.671399999999998</v>
      </c>
      <c r="N1262" s="76">
        <v>122.85</v>
      </c>
      <c r="O1262" s="73">
        <v>4</v>
      </c>
      <c r="P1262" s="73"/>
      <c r="Q1262" s="73" t="s">
        <v>258</v>
      </c>
    </row>
    <row r="1263" spans="1:17" ht="13.8" customHeight="1" x14ac:dyDescent="0.3">
      <c r="A1263" s="70" t="s">
        <v>381</v>
      </c>
      <c r="B1263" s="78">
        <v>46141</v>
      </c>
      <c r="C1263" s="70">
        <v>1329</v>
      </c>
      <c r="D1263" s="70" t="s">
        <v>256</v>
      </c>
      <c r="E1263" s="70">
        <v>1</v>
      </c>
      <c r="F1263" s="72">
        <v>34.625799999999998</v>
      </c>
      <c r="G1263" s="72" t="s">
        <v>257</v>
      </c>
      <c r="H1263" s="72" t="s">
        <v>257</v>
      </c>
      <c r="I1263" s="72">
        <v>6255.7173000000003</v>
      </c>
      <c r="J1263" s="70" t="s">
        <v>257</v>
      </c>
      <c r="K1263" s="72">
        <v>3847.9618999999998</v>
      </c>
      <c r="L1263" s="72" t="s">
        <v>257</v>
      </c>
      <c r="M1263" s="70" t="s">
        <v>257</v>
      </c>
      <c r="N1263" s="77">
        <v>120.48</v>
      </c>
      <c r="O1263" s="70">
        <v>4</v>
      </c>
      <c r="P1263" s="70"/>
      <c r="Q1263" s="70" t="s">
        <v>258</v>
      </c>
    </row>
    <row r="1264" spans="1:17" ht="13.8" customHeight="1" x14ac:dyDescent="0.3">
      <c r="A1264" s="73" t="s">
        <v>381</v>
      </c>
      <c r="B1264" s="79">
        <v>46141</v>
      </c>
      <c r="C1264" s="73">
        <v>1330</v>
      </c>
      <c r="D1264" s="73" t="s">
        <v>256</v>
      </c>
      <c r="E1264" s="73">
        <v>1</v>
      </c>
      <c r="F1264" s="75">
        <v>11.9724</v>
      </c>
      <c r="G1264" s="75" t="s">
        <v>257</v>
      </c>
      <c r="H1264" s="75">
        <v>3.2408000000000001</v>
      </c>
      <c r="I1264" s="75">
        <v>1194.952</v>
      </c>
      <c r="J1264" s="73" t="s">
        <v>257</v>
      </c>
      <c r="K1264" s="75">
        <v>2436.4348</v>
      </c>
      <c r="L1264" s="75" t="s">
        <v>257</v>
      </c>
      <c r="M1264" s="73" t="s">
        <v>257</v>
      </c>
      <c r="N1264" s="76">
        <v>120.21</v>
      </c>
      <c r="O1264" s="73">
        <v>4</v>
      </c>
      <c r="P1264" s="73"/>
      <c r="Q1264" s="73" t="s">
        <v>258</v>
      </c>
    </row>
    <row r="1265" spans="1:17" ht="13.8" customHeight="1" x14ac:dyDescent="0.3">
      <c r="A1265" s="70" t="s">
        <v>381</v>
      </c>
      <c r="B1265" s="78">
        <v>46141</v>
      </c>
      <c r="C1265" s="70">
        <v>1331</v>
      </c>
      <c r="D1265" s="70" t="s">
        <v>256</v>
      </c>
      <c r="E1265" s="70">
        <v>1</v>
      </c>
      <c r="F1265" s="72">
        <v>7.0255000000000001</v>
      </c>
      <c r="G1265" s="72" t="s">
        <v>257</v>
      </c>
      <c r="H1265" s="72" t="s">
        <v>257</v>
      </c>
      <c r="I1265" s="72">
        <v>1928.9547</v>
      </c>
      <c r="J1265" s="70" t="s">
        <v>257</v>
      </c>
      <c r="K1265" s="72">
        <v>2819.5963999999999</v>
      </c>
      <c r="L1265" s="72" t="s">
        <v>257</v>
      </c>
      <c r="M1265" s="70" t="s">
        <v>257</v>
      </c>
      <c r="N1265" s="77">
        <v>123.2</v>
      </c>
      <c r="O1265" s="70">
        <v>4</v>
      </c>
      <c r="P1265" s="70"/>
      <c r="Q1265" s="70" t="s">
        <v>258</v>
      </c>
    </row>
    <row r="1266" spans="1:17" ht="13.8" customHeight="1" x14ac:dyDescent="0.3">
      <c r="A1266" s="73" t="s">
        <v>381</v>
      </c>
      <c r="B1266" s="79">
        <v>46141</v>
      </c>
      <c r="C1266" s="73">
        <v>1332</v>
      </c>
      <c r="D1266" s="73" t="s">
        <v>256</v>
      </c>
      <c r="E1266" s="73">
        <v>2</v>
      </c>
      <c r="F1266" s="75">
        <v>35.897300000000001</v>
      </c>
      <c r="G1266" s="75" t="s">
        <v>257</v>
      </c>
      <c r="H1266" s="75">
        <v>6.4500999999999999</v>
      </c>
      <c r="I1266" s="75">
        <v>4045.7791000000002</v>
      </c>
      <c r="J1266" s="73" t="s">
        <v>257</v>
      </c>
      <c r="K1266" s="75">
        <v>9634.0429999999997</v>
      </c>
      <c r="L1266" s="75" t="s">
        <v>257</v>
      </c>
      <c r="M1266" s="73" t="s">
        <v>257</v>
      </c>
      <c r="N1266" s="76">
        <v>122.9</v>
      </c>
      <c r="O1266" s="73">
        <v>4</v>
      </c>
      <c r="P1266" s="73"/>
      <c r="Q1266" s="73" t="s">
        <v>258</v>
      </c>
    </row>
    <row r="1267" spans="1:17" ht="13.8" customHeight="1" x14ac:dyDescent="0.3">
      <c r="A1267" s="70" t="s">
        <v>381</v>
      </c>
      <c r="B1267" s="78">
        <v>46141</v>
      </c>
      <c r="C1267" s="70">
        <v>1333</v>
      </c>
      <c r="D1267" s="70" t="s">
        <v>256</v>
      </c>
      <c r="E1267" s="70">
        <v>2</v>
      </c>
      <c r="F1267" s="72">
        <v>47.4529</v>
      </c>
      <c r="G1267" s="72" t="s">
        <v>257</v>
      </c>
      <c r="H1267" s="72">
        <v>4.1738999999999997</v>
      </c>
      <c r="I1267" s="72">
        <v>2353.9389999999999</v>
      </c>
      <c r="J1267" s="70" t="s">
        <v>257</v>
      </c>
      <c r="K1267" s="72">
        <v>7791.4486999999999</v>
      </c>
      <c r="L1267" s="72" t="s">
        <v>257</v>
      </c>
      <c r="M1267" s="70" t="s">
        <v>257</v>
      </c>
      <c r="N1267" s="77">
        <v>123.12</v>
      </c>
      <c r="O1267" s="70">
        <v>4</v>
      </c>
      <c r="P1267" s="70"/>
      <c r="Q1267" s="70" t="s">
        <v>258</v>
      </c>
    </row>
    <row r="1268" spans="1:17" ht="13.8" customHeight="1" x14ac:dyDescent="0.3">
      <c r="A1268" s="73" t="s">
        <v>381</v>
      </c>
      <c r="B1268" s="79">
        <v>46141</v>
      </c>
      <c r="C1268" s="73">
        <v>1334</v>
      </c>
      <c r="D1268" s="73" t="s">
        <v>256</v>
      </c>
      <c r="E1268" s="73">
        <v>2</v>
      </c>
      <c r="F1268" s="75">
        <v>22.781400000000001</v>
      </c>
      <c r="G1268" s="75" t="s">
        <v>257</v>
      </c>
      <c r="H1268" s="75">
        <v>6.1641000000000004</v>
      </c>
      <c r="I1268" s="75">
        <v>3319.8728000000001</v>
      </c>
      <c r="J1268" s="73" t="s">
        <v>257</v>
      </c>
      <c r="K1268" s="75">
        <v>6405.3720999999996</v>
      </c>
      <c r="L1268" s="75" t="s">
        <v>257</v>
      </c>
      <c r="M1268" s="73" t="s">
        <v>257</v>
      </c>
      <c r="N1268" s="76">
        <v>122.92</v>
      </c>
      <c r="O1268" s="73">
        <v>4</v>
      </c>
      <c r="P1268" s="73"/>
      <c r="Q1268" s="73" t="s">
        <v>258</v>
      </c>
    </row>
    <row r="1269" spans="1:17" ht="13.8" customHeight="1" x14ac:dyDescent="0.3">
      <c r="A1269" s="70" t="s">
        <v>381</v>
      </c>
      <c r="B1269" s="78">
        <v>46141</v>
      </c>
      <c r="C1269" s="70">
        <v>1335</v>
      </c>
      <c r="D1269" s="70" t="s">
        <v>256</v>
      </c>
      <c r="E1269" s="70">
        <v>3</v>
      </c>
      <c r="F1269" s="72">
        <v>16.3687</v>
      </c>
      <c r="G1269" s="72">
        <v>1.0444</v>
      </c>
      <c r="H1269" s="72">
        <v>14.3139</v>
      </c>
      <c r="I1269" s="72">
        <v>1828.4965</v>
      </c>
      <c r="J1269" s="70" t="s">
        <v>257</v>
      </c>
      <c r="K1269" s="72">
        <v>1927.1873000000001</v>
      </c>
      <c r="L1269" s="72">
        <v>12.5387</v>
      </c>
      <c r="M1269" s="70">
        <v>11.879300000000001</v>
      </c>
      <c r="N1269" s="77">
        <v>120.17</v>
      </c>
      <c r="O1269" s="70">
        <v>4</v>
      </c>
      <c r="P1269" s="70"/>
      <c r="Q1269" s="70" t="s">
        <v>258</v>
      </c>
    </row>
    <row r="1270" spans="1:17" ht="13.8" customHeight="1" x14ac:dyDescent="0.3">
      <c r="A1270" s="73" t="s">
        <v>381</v>
      </c>
      <c r="B1270" s="79">
        <v>46141</v>
      </c>
      <c r="C1270" s="73">
        <v>1336</v>
      </c>
      <c r="D1270" s="73" t="s">
        <v>256</v>
      </c>
      <c r="E1270" s="73">
        <v>3</v>
      </c>
      <c r="F1270" s="75">
        <v>11.6313</v>
      </c>
      <c r="G1270" s="75" t="s">
        <v>257</v>
      </c>
      <c r="H1270" s="75">
        <v>11.4482</v>
      </c>
      <c r="I1270" s="75">
        <v>1116.6262999999999</v>
      </c>
      <c r="J1270" s="73" t="s">
        <v>257</v>
      </c>
      <c r="K1270" s="75">
        <v>2099.0907999999999</v>
      </c>
      <c r="L1270" s="75" t="s">
        <v>257</v>
      </c>
      <c r="M1270" s="73" t="s">
        <v>257</v>
      </c>
      <c r="N1270" s="76">
        <v>120.45</v>
      </c>
      <c r="O1270" s="73">
        <v>4</v>
      </c>
      <c r="P1270" s="73"/>
      <c r="Q1270" s="73" t="s">
        <v>258</v>
      </c>
    </row>
    <row r="1271" spans="1:17" ht="13.8" customHeight="1" x14ac:dyDescent="0.3">
      <c r="A1271" s="70" t="s">
        <v>381</v>
      </c>
      <c r="B1271" s="78">
        <v>46141</v>
      </c>
      <c r="C1271" s="70">
        <v>1337</v>
      </c>
      <c r="D1271" s="70" t="s">
        <v>256</v>
      </c>
      <c r="E1271" s="70">
        <v>3</v>
      </c>
      <c r="F1271" s="72">
        <v>6.3836000000000004</v>
      </c>
      <c r="G1271" s="72" t="s">
        <v>257</v>
      </c>
      <c r="H1271" s="72">
        <v>4.0265000000000004</v>
      </c>
      <c r="I1271" s="72">
        <v>1219.0438999999999</v>
      </c>
      <c r="J1271" s="70" t="s">
        <v>257</v>
      </c>
      <c r="K1271" s="72">
        <v>2435.4299000000001</v>
      </c>
      <c r="L1271" s="72" t="s">
        <v>257</v>
      </c>
      <c r="M1271" s="70" t="s">
        <v>257</v>
      </c>
      <c r="N1271" s="77">
        <v>120.27</v>
      </c>
      <c r="O1271" s="70">
        <v>4</v>
      </c>
      <c r="P1271" s="70"/>
      <c r="Q1271" s="70" t="s">
        <v>258</v>
      </c>
    </row>
    <row r="1272" spans="1:17" ht="13.8" customHeight="1" x14ac:dyDescent="0.3">
      <c r="A1272" s="73" t="s">
        <v>381</v>
      </c>
      <c r="B1272" s="79">
        <v>46141</v>
      </c>
      <c r="C1272" s="73">
        <v>1338</v>
      </c>
      <c r="D1272" s="73" t="s">
        <v>256</v>
      </c>
      <c r="E1272" s="73">
        <v>4</v>
      </c>
      <c r="F1272" s="75">
        <v>13.6562</v>
      </c>
      <c r="G1272" s="75" t="s">
        <v>257</v>
      </c>
      <c r="H1272" s="75">
        <v>6.2408000000000001</v>
      </c>
      <c r="I1272" s="75">
        <v>2114.3411000000001</v>
      </c>
      <c r="J1272" s="73" t="s">
        <v>257</v>
      </c>
      <c r="K1272" s="75">
        <v>2684.8569000000002</v>
      </c>
      <c r="L1272" s="75" t="s">
        <v>257</v>
      </c>
      <c r="M1272" s="73" t="s">
        <v>257</v>
      </c>
      <c r="N1272" s="76">
        <v>120.06</v>
      </c>
      <c r="O1272" s="73">
        <v>4</v>
      </c>
      <c r="P1272" s="73"/>
      <c r="Q1272" s="73" t="s">
        <v>258</v>
      </c>
    </row>
    <row r="1273" spans="1:17" ht="13.8" customHeight="1" x14ac:dyDescent="0.3">
      <c r="A1273" s="70" t="s">
        <v>381</v>
      </c>
      <c r="B1273" s="78">
        <v>46141</v>
      </c>
      <c r="C1273" s="70">
        <v>1339</v>
      </c>
      <c r="D1273" s="70" t="s">
        <v>256</v>
      </c>
      <c r="E1273" s="70">
        <v>4</v>
      </c>
      <c r="F1273" s="72">
        <v>24.125699999999998</v>
      </c>
      <c r="G1273" s="72" t="s">
        <v>257</v>
      </c>
      <c r="H1273" s="72">
        <v>2.6450999999999998</v>
      </c>
      <c r="I1273" s="72">
        <v>2650.6370000000002</v>
      </c>
      <c r="J1273" s="70" t="s">
        <v>257</v>
      </c>
      <c r="K1273" s="72">
        <v>2824.8861999999999</v>
      </c>
      <c r="L1273" s="72" t="s">
        <v>257</v>
      </c>
      <c r="M1273" s="70" t="s">
        <v>257</v>
      </c>
      <c r="N1273" s="77">
        <v>122.95</v>
      </c>
      <c r="O1273" s="70">
        <v>4</v>
      </c>
      <c r="P1273" s="70"/>
      <c r="Q1273" s="70" t="s">
        <v>258</v>
      </c>
    </row>
    <row r="1274" spans="1:17" ht="13.8" customHeight="1" x14ac:dyDescent="0.3">
      <c r="A1274" s="73" t="s">
        <v>381</v>
      </c>
      <c r="B1274" s="79">
        <v>46141</v>
      </c>
      <c r="C1274" s="73">
        <v>1340</v>
      </c>
      <c r="D1274" s="73" t="s">
        <v>256</v>
      </c>
      <c r="E1274" s="73">
        <v>5</v>
      </c>
      <c r="F1274" s="75">
        <v>17.638400000000001</v>
      </c>
      <c r="G1274" s="75" t="s">
        <v>257</v>
      </c>
      <c r="H1274" s="75">
        <v>3.4748000000000001</v>
      </c>
      <c r="I1274" s="75">
        <v>1436.2617</v>
      </c>
      <c r="J1274" s="73" t="s">
        <v>257</v>
      </c>
      <c r="K1274" s="75">
        <v>2239.8069</v>
      </c>
      <c r="L1274" s="75" t="s">
        <v>257</v>
      </c>
      <c r="M1274" s="73" t="s">
        <v>257</v>
      </c>
      <c r="N1274" s="76">
        <v>122.66</v>
      </c>
      <c r="O1274" s="73">
        <v>4</v>
      </c>
      <c r="P1274" s="73"/>
      <c r="Q1274" s="73" t="s">
        <v>258</v>
      </c>
    </row>
    <row r="1275" spans="1:17" ht="13.8" customHeight="1" x14ac:dyDescent="0.3">
      <c r="A1275" s="70" t="s">
        <v>381</v>
      </c>
      <c r="B1275" s="78">
        <v>46141</v>
      </c>
      <c r="C1275" s="70">
        <v>1341</v>
      </c>
      <c r="D1275" s="70" t="s">
        <v>256</v>
      </c>
      <c r="E1275" s="70">
        <v>5</v>
      </c>
      <c r="F1275" s="72">
        <v>13.156700000000001</v>
      </c>
      <c r="G1275" s="72" t="s">
        <v>257</v>
      </c>
      <c r="H1275" s="72">
        <v>4.3072999999999997</v>
      </c>
      <c r="I1275" s="72">
        <v>1310.5621000000001</v>
      </c>
      <c r="J1275" s="70" t="s">
        <v>257</v>
      </c>
      <c r="K1275" s="72">
        <v>2295.6023</v>
      </c>
      <c r="L1275" s="72" t="s">
        <v>257</v>
      </c>
      <c r="M1275" s="70" t="s">
        <v>257</v>
      </c>
      <c r="N1275" s="77">
        <v>122.94</v>
      </c>
      <c r="O1275" s="70">
        <v>4</v>
      </c>
      <c r="P1275" s="70"/>
      <c r="Q1275" s="70" t="s">
        <v>258</v>
      </c>
    </row>
    <row r="1276" spans="1:17" ht="13.8" customHeight="1" x14ac:dyDescent="0.3">
      <c r="A1276" s="73" t="s">
        <v>382</v>
      </c>
      <c r="B1276" s="79">
        <v>46141</v>
      </c>
      <c r="C1276" s="73">
        <v>1342</v>
      </c>
      <c r="D1276" s="73" t="s">
        <v>256</v>
      </c>
      <c r="E1276" s="73">
        <v>1</v>
      </c>
      <c r="F1276" s="75" t="s">
        <v>257</v>
      </c>
      <c r="G1276" s="75" t="s">
        <v>257</v>
      </c>
      <c r="H1276" s="75">
        <v>9.6879000000000008</v>
      </c>
      <c r="I1276" s="75">
        <v>51190.074200000003</v>
      </c>
      <c r="J1276" s="73">
        <v>322.53460000000001</v>
      </c>
      <c r="K1276" s="75">
        <v>57021.117200000001</v>
      </c>
      <c r="L1276" s="75">
        <v>47.860300000000002</v>
      </c>
      <c r="M1276" s="73">
        <v>19.831399999999999</v>
      </c>
      <c r="N1276" s="76">
        <v>122.82</v>
      </c>
      <c r="O1276" s="73">
        <v>4</v>
      </c>
      <c r="P1276" s="73"/>
      <c r="Q1276" s="73" t="s">
        <v>258</v>
      </c>
    </row>
    <row r="1277" spans="1:17" ht="13.8" customHeight="1" x14ac:dyDescent="0.3">
      <c r="A1277" s="70" t="s">
        <v>382</v>
      </c>
      <c r="B1277" s="78">
        <v>46141</v>
      </c>
      <c r="C1277" s="70">
        <v>1343</v>
      </c>
      <c r="D1277" s="70" t="s">
        <v>256</v>
      </c>
      <c r="E1277" s="70">
        <v>1</v>
      </c>
      <c r="F1277" s="72" t="s">
        <v>257</v>
      </c>
      <c r="G1277" s="72" t="s">
        <v>257</v>
      </c>
      <c r="H1277" s="72">
        <v>6.6905999999999999</v>
      </c>
      <c r="I1277" s="72">
        <v>51070.332000000002</v>
      </c>
      <c r="J1277" s="70">
        <v>344.66379999999998</v>
      </c>
      <c r="K1277" s="72">
        <v>51188.082000000002</v>
      </c>
      <c r="L1277" s="72">
        <v>48.889099999999999</v>
      </c>
      <c r="M1277" s="70">
        <v>14.6706</v>
      </c>
      <c r="N1277" s="77">
        <v>120.36</v>
      </c>
      <c r="O1277" s="70">
        <v>4</v>
      </c>
      <c r="P1277" s="70"/>
      <c r="Q1277" s="70" t="s">
        <v>258</v>
      </c>
    </row>
    <row r="1278" spans="1:17" ht="13.8" customHeight="1" x14ac:dyDescent="0.3">
      <c r="A1278" s="73" t="s">
        <v>382</v>
      </c>
      <c r="B1278" s="79">
        <v>46141</v>
      </c>
      <c r="C1278" s="73">
        <v>1344</v>
      </c>
      <c r="D1278" s="73" t="s">
        <v>256</v>
      </c>
      <c r="E1278" s="73">
        <v>2</v>
      </c>
      <c r="F1278" s="75" t="s">
        <v>257</v>
      </c>
      <c r="G1278" s="75" t="s">
        <v>257</v>
      </c>
      <c r="H1278" s="75">
        <v>7.3102999999999998</v>
      </c>
      <c r="I1278" s="75">
        <v>67206.3125</v>
      </c>
      <c r="J1278" s="73">
        <v>169.77979999999999</v>
      </c>
      <c r="K1278" s="75">
        <v>73618.898400000005</v>
      </c>
      <c r="L1278" s="75">
        <v>43.479399999999998</v>
      </c>
      <c r="M1278" s="73">
        <v>13.083299999999999</v>
      </c>
      <c r="N1278" s="76">
        <v>123.26</v>
      </c>
      <c r="O1278" s="73">
        <v>4</v>
      </c>
      <c r="P1278" s="73"/>
      <c r="Q1278" s="73" t="s">
        <v>258</v>
      </c>
    </row>
    <row r="1279" spans="1:17" ht="13.8" customHeight="1" x14ac:dyDescent="0.3">
      <c r="A1279" s="70" t="s">
        <v>382</v>
      </c>
      <c r="B1279" s="78">
        <v>46141</v>
      </c>
      <c r="C1279" s="70">
        <v>1345</v>
      </c>
      <c r="D1279" s="70" t="s">
        <v>256</v>
      </c>
      <c r="E1279" s="70">
        <v>2</v>
      </c>
      <c r="F1279" s="72">
        <v>4.335</v>
      </c>
      <c r="G1279" s="72" t="s">
        <v>257</v>
      </c>
      <c r="H1279" s="72">
        <v>5.0263999999999998</v>
      </c>
      <c r="I1279" s="72">
        <v>204585.35939999999</v>
      </c>
      <c r="J1279" s="70" t="s">
        <v>257</v>
      </c>
      <c r="K1279" s="72">
        <v>80494</v>
      </c>
      <c r="L1279" s="72">
        <v>40.683300000000003</v>
      </c>
      <c r="M1279" s="70">
        <v>13.251799999999999</v>
      </c>
      <c r="N1279" s="77">
        <v>123.46</v>
      </c>
      <c r="O1279" s="70">
        <v>4</v>
      </c>
      <c r="P1279" s="70"/>
      <c r="Q1279" s="70" t="s">
        <v>258</v>
      </c>
    </row>
    <row r="1280" spans="1:17" ht="13.8" customHeight="1" x14ac:dyDescent="0.3">
      <c r="A1280" s="73" t="s">
        <v>382</v>
      </c>
      <c r="B1280" s="79">
        <v>46141</v>
      </c>
      <c r="C1280" s="73">
        <v>1346</v>
      </c>
      <c r="D1280" s="73" t="s">
        <v>256</v>
      </c>
      <c r="E1280" s="73">
        <v>3</v>
      </c>
      <c r="F1280" s="75" t="s">
        <v>257</v>
      </c>
      <c r="G1280" s="75" t="s">
        <v>257</v>
      </c>
      <c r="H1280" s="75">
        <v>5.6284999999999998</v>
      </c>
      <c r="I1280" s="75">
        <v>47270.8125</v>
      </c>
      <c r="J1280" s="73">
        <v>222.72370000000001</v>
      </c>
      <c r="K1280" s="75">
        <v>32487.293000000001</v>
      </c>
      <c r="L1280" s="75">
        <v>44.773000000000003</v>
      </c>
      <c r="M1280" s="73">
        <v>20.297999999999998</v>
      </c>
      <c r="N1280" s="76">
        <v>122.62</v>
      </c>
      <c r="O1280" s="73">
        <v>4</v>
      </c>
      <c r="P1280" s="73"/>
      <c r="Q1280" s="73" t="s">
        <v>258</v>
      </c>
    </row>
    <row r="1281" spans="1:17" ht="13.8" customHeight="1" x14ac:dyDescent="0.3">
      <c r="A1281" s="70" t="s">
        <v>382</v>
      </c>
      <c r="B1281" s="78">
        <v>46141</v>
      </c>
      <c r="C1281" s="70">
        <v>1347</v>
      </c>
      <c r="D1281" s="70" t="s">
        <v>256</v>
      </c>
      <c r="E1281" s="70">
        <v>3</v>
      </c>
      <c r="F1281" s="72">
        <v>2.5876000000000001</v>
      </c>
      <c r="G1281" s="72" t="s">
        <v>257</v>
      </c>
      <c r="H1281" s="72">
        <v>6.3322000000000003</v>
      </c>
      <c r="I1281" s="72">
        <v>48848.136700000003</v>
      </c>
      <c r="J1281" s="70">
        <v>414.70240000000001</v>
      </c>
      <c r="K1281" s="72">
        <v>42758.484400000001</v>
      </c>
      <c r="L1281" s="72">
        <v>45.670999999999999</v>
      </c>
      <c r="M1281" s="70">
        <v>11.3477</v>
      </c>
      <c r="N1281" s="77">
        <v>120.66</v>
      </c>
      <c r="O1281" s="70">
        <v>4</v>
      </c>
      <c r="P1281" s="70"/>
      <c r="Q1281" s="70" t="s">
        <v>258</v>
      </c>
    </row>
    <row r="1282" spans="1:17" ht="13.8" customHeight="1" x14ac:dyDescent="0.3">
      <c r="A1282" s="73" t="s">
        <v>382</v>
      </c>
      <c r="B1282" s="79">
        <v>46141</v>
      </c>
      <c r="C1282" s="73">
        <v>1348</v>
      </c>
      <c r="D1282" s="73" t="s">
        <v>256</v>
      </c>
      <c r="E1282" s="73">
        <v>4</v>
      </c>
      <c r="F1282" s="75" t="s">
        <v>257</v>
      </c>
      <c r="G1282" s="75" t="s">
        <v>257</v>
      </c>
      <c r="H1282" s="75">
        <v>7.383</v>
      </c>
      <c r="I1282" s="75">
        <v>64576.183599999997</v>
      </c>
      <c r="J1282" s="73">
        <v>397.09750000000003</v>
      </c>
      <c r="K1282" s="75">
        <v>36014.855499999998</v>
      </c>
      <c r="L1282" s="75">
        <v>41.253399999999999</v>
      </c>
      <c r="M1282" s="73">
        <v>15.788399999999999</v>
      </c>
      <c r="N1282" s="76">
        <v>120.02</v>
      </c>
      <c r="O1282" s="73">
        <v>4</v>
      </c>
      <c r="P1282" s="73"/>
      <c r="Q1282" s="73" t="s">
        <v>258</v>
      </c>
    </row>
    <row r="1283" spans="1:17" ht="13.8" customHeight="1" x14ac:dyDescent="0.3">
      <c r="A1283" s="70" t="s">
        <v>382</v>
      </c>
      <c r="B1283" s="78">
        <v>46141</v>
      </c>
      <c r="C1283" s="70">
        <v>1349</v>
      </c>
      <c r="D1283" s="70" t="s">
        <v>256</v>
      </c>
      <c r="E1283" s="70">
        <v>4</v>
      </c>
      <c r="F1283" s="72" t="s">
        <v>257</v>
      </c>
      <c r="G1283" s="72" t="s">
        <v>257</v>
      </c>
      <c r="H1283" s="72">
        <v>9.0129999999999999</v>
      </c>
      <c r="I1283" s="72">
        <v>60073.171900000001</v>
      </c>
      <c r="J1283" s="70">
        <v>408.15350000000001</v>
      </c>
      <c r="K1283" s="72">
        <v>40285.925799999997</v>
      </c>
      <c r="L1283" s="72">
        <v>48.325400000000002</v>
      </c>
      <c r="M1283" s="70">
        <v>16.101800000000001</v>
      </c>
      <c r="N1283" s="77">
        <v>122.9</v>
      </c>
      <c r="O1283" s="70">
        <v>4</v>
      </c>
      <c r="P1283" s="70"/>
      <c r="Q1283" s="70" t="s">
        <v>258</v>
      </c>
    </row>
    <row r="1284" spans="1:17" ht="13.8" customHeight="1" x14ac:dyDescent="0.3">
      <c r="A1284" s="73" t="s">
        <v>382</v>
      </c>
      <c r="B1284" s="79">
        <v>46141</v>
      </c>
      <c r="C1284" s="73">
        <v>1350</v>
      </c>
      <c r="D1284" s="73" t="s">
        <v>256</v>
      </c>
      <c r="E1284" s="73">
        <v>5</v>
      </c>
      <c r="F1284" s="75">
        <v>15.809200000000001</v>
      </c>
      <c r="G1284" s="75" t="s">
        <v>257</v>
      </c>
      <c r="H1284" s="75">
        <v>17.064499999999999</v>
      </c>
      <c r="I1284" s="75">
        <v>123918.75</v>
      </c>
      <c r="J1284" s="73">
        <v>3537.2556</v>
      </c>
      <c r="K1284" s="75">
        <v>57802.449200000003</v>
      </c>
      <c r="L1284" s="75">
        <v>41.697400000000002</v>
      </c>
      <c r="M1284" s="73">
        <v>33.738199999999999</v>
      </c>
      <c r="N1284" s="76">
        <v>123.39</v>
      </c>
      <c r="O1284" s="73">
        <v>4</v>
      </c>
      <c r="P1284" s="73"/>
      <c r="Q1284" s="73" t="s">
        <v>258</v>
      </c>
    </row>
    <row r="1285" spans="1:17" ht="13.8" customHeight="1" x14ac:dyDescent="0.3">
      <c r="A1285" s="70" t="s">
        <v>382</v>
      </c>
      <c r="B1285" s="78">
        <v>46141</v>
      </c>
      <c r="C1285" s="70">
        <v>1351</v>
      </c>
      <c r="D1285" s="70" t="s">
        <v>256</v>
      </c>
      <c r="E1285" s="70">
        <v>5</v>
      </c>
      <c r="F1285" s="72">
        <v>6.2915000000000001</v>
      </c>
      <c r="G1285" s="72" t="s">
        <v>257</v>
      </c>
      <c r="H1285" s="72">
        <v>10.0289</v>
      </c>
      <c r="I1285" s="72">
        <v>104942.30469999999</v>
      </c>
      <c r="J1285" s="70">
        <v>920.28359999999998</v>
      </c>
      <c r="K1285" s="72">
        <v>55917.921900000001</v>
      </c>
      <c r="L1285" s="72">
        <v>43.4375</v>
      </c>
      <c r="M1285" s="70">
        <v>23.4497</v>
      </c>
      <c r="N1285" s="77">
        <v>120.44</v>
      </c>
      <c r="O1285" s="70">
        <v>4</v>
      </c>
      <c r="P1285" s="70"/>
      <c r="Q1285" s="70" t="s">
        <v>258</v>
      </c>
    </row>
    <row r="1286" spans="1:17" ht="13.8" customHeight="1" x14ac:dyDescent="0.3">
      <c r="A1286" s="73" t="s">
        <v>383</v>
      </c>
      <c r="B1286" s="79">
        <v>46141</v>
      </c>
      <c r="C1286" s="73">
        <v>1352</v>
      </c>
      <c r="D1286" s="73" t="s">
        <v>256</v>
      </c>
      <c r="E1286" s="73">
        <v>1</v>
      </c>
      <c r="F1286" s="75">
        <v>44.418900000000001</v>
      </c>
      <c r="G1286" s="75" t="s">
        <v>257</v>
      </c>
      <c r="H1286" s="75">
        <v>14.5311</v>
      </c>
      <c r="I1286" s="75">
        <v>2570.7644</v>
      </c>
      <c r="J1286" s="73" t="s">
        <v>257</v>
      </c>
      <c r="K1286" s="75">
        <v>1064.6541</v>
      </c>
      <c r="L1286" s="75" t="s">
        <v>257</v>
      </c>
      <c r="M1286" s="73">
        <v>23.130700000000001</v>
      </c>
      <c r="N1286" s="76">
        <v>122.91</v>
      </c>
      <c r="O1286" s="73">
        <v>4</v>
      </c>
      <c r="P1286" s="73"/>
      <c r="Q1286" s="73" t="s">
        <v>258</v>
      </c>
    </row>
    <row r="1287" spans="1:17" ht="13.8" customHeight="1" x14ac:dyDescent="0.3">
      <c r="A1287" s="70" t="s">
        <v>383</v>
      </c>
      <c r="B1287" s="78">
        <v>46141</v>
      </c>
      <c r="C1287" s="70">
        <v>1353</v>
      </c>
      <c r="D1287" s="70" t="s">
        <v>256</v>
      </c>
      <c r="E1287" s="70">
        <v>1</v>
      </c>
      <c r="F1287" s="72">
        <v>28.768000000000001</v>
      </c>
      <c r="G1287" s="72" t="s">
        <v>257</v>
      </c>
      <c r="H1287" s="72" t="s">
        <v>257</v>
      </c>
      <c r="I1287" s="72">
        <v>119.1361</v>
      </c>
      <c r="J1287" s="70" t="s">
        <v>257</v>
      </c>
      <c r="K1287" s="72">
        <v>934.39660000000003</v>
      </c>
      <c r="L1287" s="72" t="s">
        <v>257</v>
      </c>
      <c r="M1287" s="70" t="s">
        <v>257</v>
      </c>
      <c r="N1287" s="77">
        <v>120.12</v>
      </c>
      <c r="O1287" s="70">
        <v>4</v>
      </c>
      <c r="P1287" s="70"/>
      <c r="Q1287" s="70" t="s">
        <v>258</v>
      </c>
    </row>
    <row r="1288" spans="1:17" ht="13.8" customHeight="1" x14ac:dyDescent="0.3">
      <c r="A1288" s="73" t="s">
        <v>383</v>
      </c>
      <c r="B1288" s="79">
        <v>46141</v>
      </c>
      <c r="C1288" s="73">
        <v>1354</v>
      </c>
      <c r="D1288" s="73" t="s">
        <v>256</v>
      </c>
      <c r="E1288" s="73">
        <v>1</v>
      </c>
      <c r="F1288" s="75" t="s">
        <v>257</v>
      </c>
      <c r="G1288" s="75" t="s">
        <v>257</v>
      </c>
      <c r="H1288" s="75" t="s">
        <v>257</v>
      </c>
      <c r="I1288" s="75">
        <v>42.642000000000003</v>
      </c>
      <c r="J1288" s="73">
        <v>1380.6328000000001</v>
      </c>
      <c r="K1288" s="75">
        <v>4192.2709999999997</v>
      </c>
      <c r="L1288" s="75" t="s">
        <v>257</v>
      </c>
      <c r="M1288" s="73" t="s">
        <v>257</v>
      </c>
      <c r="N1288" s="76">
        <v>123.93</v>
      </c>
      <c r="O1288" s="73">
        <v>4</v>
      </c>
      <c r="P1288" s="73"/>
      <c r="Q1288" s="73" t="s">
        <v>258</v>
      </c>
    </row>
    <row r="1289" spans="1:17" ht="13.8" customHeight="1" x14ac:dyDescent="0.3">
      <c r="A1289" s="70" t="s">
        <v>383</v>
      </c>
      <c r="B1289" s="78">
        <v>46141</v>
      </c>
      <c r="C1289" s="70">
        <v>1355</v>
      </c>
      <c r="D1289" s="70" t="s">
        <v>256</v>
      </c>
      <c r="E1289" s="70">
        <v>2</v>
      </c>
      <c r="F1289" s="72">
        <v>90.903199999999998</v>
      </c>
      <c r="G1289" s="72" t="s">
        <v>257</v>
      </c>
      <c r="H1289" s="72" t="s">
        <v>257</v>
      </c>
      <c r="I1289" s="72">
        <v>153.0324</v>
      </c>
      <c r="J1289" s="70" t="s">
        <v>257</v>
      </c>
      <c r="K1289" s="72">
        <v>571.62099999999998</v>
      </c>
      <c r="L1289" s="72" t="s">
        <v>257</v>
      </c>
      <c r="M1289" s="70" t="s">
        <v>257</v>
      </c>
      <c r="N1289" s="77">
        <v>120.3</v>
      </c>
      <c r="O1289" s="70">
        <v>4</v>
      </c>
      <c r="P1289" s="70"/>
      <c r="Q1289" s="70" t="s">
        <v>258</v>
      </c>
    </row>
    <row r="1290" spans="1:17" ht="13.8" customHeight="1" x14ac:dyDescent="0.3">
      <c r="A1290" s="73" t="s">
        <v>383</v>
      </c>
      <c r="B1290" s="79">
        <v>46141</v>
      </c>
      <c r="C1290" s="73">
        <v>1356</v>
      </c>
      <c r="D1290" s="73" t="s">
        <v>256</v>
      </c>
      <c r="E1290" s="73">
        <v>2</v>
      </c>
      <c r="F1290" s="75">
        <v>9.0729000000000006</v>
      </c>
      <c r="G1290" s="75" t="s">
        <v>257</v>
      </c>
      <c r="H1290" s="75" t="s">
        <v>257</v>
      </c>
      <c r="I1290" s="75">
        <v>105.29989999999999</v>
      </c>
      <c r="J1290" s="73" t="s">
        <v>257</v>
      </c>
      <c r="K1290" s="75">
        <v>535.52539999999999</v>
      </c>
      <c r="L1290" s="75" t="s">
        <v>257</v>
      </c>
      <c r="M1290" s="73" t="s">
        <v>257</v>
      </c>
      <c r="N1290" s="76">
        <v>120.07</v>
      </c>
      <c r="O1290" s="73">
        <v>4</v>
      </c>
      <c r="P1290" s="73"/>
      <c r="Q1290" s="73" t="s">
        <v>258</v>
      </c>
    </row>
    <row r="1291" spans="1:17" ht="13.8" customHeight="1" x14ac:dyDescent="0.3">
      <c r="A1291" s="70" t="s">
        <v>383</v>
      </c>
      <c r="B1291" s="78">
        <v>46141</v>
      </c>
      <c r="C1291" s="70">
        <v>1357</v>
      </c>
      <c r="D1291" s="70" t="s">
        <v>256</v>
      </c>
      <c r="E1291" s="70">
        <v>3</v>
      </c>
      <c r="F1291" s="72">
        <v>6.8124000000000002</v>
      </c>
      <c r="G1291" s="72" t="s">
        <v>257</v>
      </c>
      <c r="H1291" s="72" t="s">
        <v>257</v>
      </c>
      <c r="I1291" s="72">
        <v>163.22790000000001</v>
      </c>
      <c r="J1291" s="70" t="s">
        <v>257</v>
      </c>
      <c r="K1291" s="72">
        <v>487.95659999999998</v>
      </c>
      <c r="L1291" s="72" t="s">
        <v>257</v>
      </c>
      <c r="M1291" s="70" t="s">
        <v>257</v>
      </c>
      <c r="N1291" s="77">
        <v>120.42</v>
      </c>
      <c r="O1291" s="70">
        <v>4</v>
      </c>
      <c r="P1291" s="70"/>
      <c r="Q1291" s="70" t="s">
        <v>258</v>
      </c>
    </row>
    <row r="1292" spans="1:17" ht="13.8" customHeight="1" x14ac:dyDescent="0.3">
      <c r="A1292" s="73" t="s">
        <v>383</v>
      </c>
      <c r="B1292" s="79">
        <v>46141</v>
      </c>
      <c r="C1292" s="73">
        <v>1358</v>
      </c>
      <c r="D1292" s="73" t="s">
        <v>256</v>
      </c>
      <c r="E1292" s="73">
        <v>3</v>
      </c>
      <c r="F1292" s="75">
        <v>21.930700000000002</v>
      </c>
      <c r="G1292" s="75" t="s">
        <v>257</v>
      </c>
      <c r="H1292" s="75" t="s">
        <v>257</v>
      </c>
      <c r="I1292" s="75">
        <v>157.01050000000001</v>
      </c>
      <c r="J1292" s="73" t="s">
        <v>257</v>
      </c>
      <c r="K1292" s="75">
        <v>465.2099</v>
      </c>
      <c r="L1292" s="75" t="s">
        <v>257</v>
      </c>
      <c r="M1292" s="73" t="s">
        <v>257</v>
      </c>
      <c r="N1292" s="76">
        <v>122.71</v>
      </c>
      <c r="O1292" s="73">
        <v>4</v>
      </c>
      <c r="P1292" s="73"/>
      <c r="Q1292" s="73" t="s">
        <v>258</v>
      </c>
    </row>
    <row r="1293" spans="1:17" ht="13.8" customHeight="1" x14ac:dyDescent="0.3">
      <c r="A1293" s="70" t="s">
        <v>383</v>
      </c>
      <c r="B1293" s="78">
        <v>46141</v>
      </c>
      <c r="C1293" s="70">
        <v>1359</v>
      </c>
      <c r="D1293" s="70" t="s">
        <v>256</v>
      </c>
      <c r="E1293" s="70">
        <v>4</v>
      </c>
      <c r="F1293" s="72">
        <v>23.526900000000001</v>
      </c>
      <c r="G1293" s="72" t="s">
        <v>257</v>
      </c>
      <c r="H1293" s="72" t="s">
        <v>257</v>
      </c>
      <c r="I1293" s="72">
        <v>1792.5355</v>
      </c>
      <c r="J1293" s="70" t="s">
        <v>257</v>
      </c>
      <c r="K1293" s="72">
        <v>4037.3335000000002</v>
      </c>
      <c r="L1293" s="72" t="s">
        <v>257</v>
      </c>
      <c r="M1293" s="70" t="s">
        <v>257</v>
      </c>
      <c r="N1293" s="77">
        <v>120.3</v>
      </c>
      <c r="O1293" s="70">
        <v>4</v>
      </c>
      <c r="P1293" s="70"/>
      <c r="Q1293" s="70" t="s">
        <v>258</v>
      </c>
    </row>
    <row r="1294" spans="1:17" ht="13.8" customHeight="1" x14ac:dyDescent="0.3">
      <c r="A1294" s="73" t="s">
        <v>383</v>
      </c>
      <c r="B1294" s="79">
        <v>46141</v>
      </c>
      <c r="C1294" s="73">
        <v>1360</v>
      </c>
      <c r="D1294" s="73" t="s">
        <v>256</v>
      </c>
      <c r="E1294" s="73">
        <v>4</v>
      </c>
      <c r="F1294" s="75">
        <v>8.2955000000000005</v>
      </c>
      <c r="G1294" s="75" t="s">
        <v>257</v>
      </c>
      <c r="H1294" s="75" t="s">
        <v>257</v>
      </c>
      <c r="I1294" s="75">
        <v>506.38850000000002</v>
      </c>
      <c r="J1294" s="73" t="s">
        <v>257</v>
      </c>
      <c r="K1294" s="75">
        <v>2658.3305999999998</v>
      </c>
      <c r="L1294" s="75" t="s">
        <v>257</v>
      </c>
      <c r="M1294" s="73" t="s">
        <v>257</v>
      </c>
      <c r="N1294" s="76">
        <v>122.83</v>
      </c>
      <c r="O1294" s="73">
        <v>4</v>
      </c>
      <c r="P1294" s="73"/>
      <c r="Q1294" s="73" t="s">
        <v>258</v>
      </c>
    </row>
    <row r="1295" spans="1:17" ht="13.8" customHeight="1" x14ac:dyDescent="0.3">
      <c r="A1295" s="70" t="s">
        <v>383</v>
      </c>
      <c r="B1295" s="78">
        <v>46141</v>
      </c>
      <c r="C1295" s="70">
        <v>1361</v>
      </c>
      <c r="D1295" s="70" t="s">
        <v>256</v>
      </c>
      <c r="E1295" s="70">
        <v>5</v>
      </c>
      <c r="F1295" s="72">
        <v>1.9565999999999999</v>
      </c>
      <c r="G1295" s="72" t="s">
        <v>257</v>
      </c>
      <c r="H1295" s="72">
        <v>4.7671999999999999</v>
      </c>
      <c r="I1295" s="72">
        <v>665.11130000000003</v>
      </c>
      <c r="J1295" s="70" t="s">
        <v>257</v>
      </c>
      <c r="K1295" s="72">
        <v>790.19060000000002</v>
      </c>
      <c r="L1295" s="72" t="s">
        <v>257</v>
      </c>
      <c r="M1295" s="70" t="s">
        <v>257</v>
      </c>
      <c r="N1295" s="77">
        <v>122.75</v>
      </c>
      <c r="O1295" s="70">
        <v>4</v>
      </c>
      <c r="P1295" s="70"/>
      <c r="Q1295" s="70" t="s">
        <v>258</v>
      </c>
    </row>
    <row r="1296" spans="1:17" ht="13.8" customHeight="1" x14ac:dyDescent="0.3">
      <c r="A1296" s="73" t="s">
        <v>383</v>
      </c>
      <c r="B1296" s="79">
        <v>46141</v>
      </c>
      <c r="C1296" s="73">
        <v>1362</v>
      </c>
      <c r="D1296" s="73" t="s">
        <v>256</v>
      </c>
      <c r="E1296" s="73">
        <v>5</v>
      </c>
      <c r="F1296" s="75">
        <v>7.1448999999999998</v>
      </c>
      <c r="G1296" s="75" t="s">
        <v>257</v>
      </c>
      <c r="H1296" s="75">
        <v>4.3868</v>
      </c>
      <c r="I1296" s="75">
        <v>729.38570000000004</v>
      </c>
      <c r="J1296" s="73" t="s">
        <v>257</v>
      </c>
      <c r="K1296" s="75">
        <v>631.01480000000004</v>
      </c>
      <c r="L1296" s="75" t="s">
        <v>257</v>
      </c>
      <c r="M1296" s="73" t="s">
        <v>257</v>
      </c>
      <c r="N1296" s="76">
        <v>120.25</v>
      </c>
      <c r="O1296" s="73">
        <v>4</v>
      </c>
      <c r="P1296" s="73"/>
      <c r="Q1296" s="73" t="s">
        <v>258</v>
      </c>
    </row>
    <row r="1297" spans="1:17" ht="13.8" customHeight="1" x14ac:dyDescent="0.3">
      <c r="A1297" s="70" t="s">
        <v>384</v>
      </c>
      <c r="B1297" s="78">
        <v>46141</v>
      </c>
      <c r="C1297" s="70">
        <v>144</v>
      </c>
      <c r="D1297" s="70" t="s">
        <v>256</v>
      </c>
      <c r="E1297" s="70">
        <v>1</v>
      </c>
      <c r="F1297" s="72" t="s">
        <v>257</v>
      </c>
      <c r="G1297" s="72" t="s">
        <v>257</v>
      </c>
      <c r="H1297" s="72">
        <v>9.3173999999999992</v>
      </c>
      <c r="I1297" s="72">
        <v>30327.728500000001</v>
      </c>
      <c r="J1297" s="70">
        <v>419.9846</v>
      </c>
      <c r="K1297" s="72">
        <v>4311.0614999999998</v>
      </c>
      <c r="L1297" s="72">
        <v>30.3156</v>
      </c>
      <c r="M1297" s="70">
        <v>18.353999999999999</v>
      </c>
      <c r="N1297" s="77">
        <v>120.79</v>
      </c>
      <c r="O1297" s="70">
        <v>4</v>
      </c>
      <c r="P1297" s="70"/>
      <c r="Q1297" s="70" t="s">
        <v>360</v>
      </c>
    </row>
    <row r="1298" spans="1:17" ht="13.8" customHeight="1" x14ac:dyDescent="0.3">
      <c r="A1298" s="73" t="s">
        <v>384</v>
      </c>
      <c r="B1298" s="79">
        <v>46141</v>
      </c>
      <c r="C1298" s="73">
        <v>145</v>
      </c>
      <c r="D1298" s="73" t="s">
        <v>256</v>
      </c>
      <c r="E1298" s="73">
        <v>1</v>
      </c>
      <c r="F1298" s="75">
        <v>3.3719000000000001</v>
      </c>
      <c r="G1298" s="75">
        <v>2.0183</v>
      </c>
      <c r="H1298" s="75">
        <v>9.0259</v>
      </c>
      <c r="I1298" s="75">
        <v>46569.847699999998</v>
      </c>
      <c r="J1298" s="73">
        <v>333.96839999999997</v>
      </c>
      <c r="K1298" s="75">
        <v>9606.8925999999992</v>
      </c>
      <c r="L1298" s="75">
        <v>38.081600000000002</v>
      </c>
      <c r="M1298" s="73">
        <v>17.190100000000001</v>
      </c>
      <c r="N1298" s="76">
        <v>120.21</v>
      </c>
      <c r="O1298" s="73">
        <v>4</v>
      </c>
      <c r="P1298" s="73"/>
      <c r="Q1298" s="73" t="s">
        <v>360</v>
      </c>
    </row>
    <row r="1299" spans="1:17" ht="13.8" customHeight="1" x14ac:dyDescent="0.3">
      <c r="A1299" s="70" t="s">
        <v>384</v>
      </c>
      <c r="B1299" s="78">
        <v>46141</v>
      </c>
      <c r="C1299" s="70">
        <v>146</v>
      </c>
      <c r="D1299" s="70" t="s">
        <v>256</v>
      </c>
      <c r="E1299" s="70">
        <v>2</v>
      </c>
      <c r="F1299" s="72">
        <v>4.5446999999999997</v>
      </c>
      <c r="G1299" s="72" t="s">
        <v>257</v>
      </c>
      <c r="H1299" s="72">
        <v>10.599299999999999</v>
      </c>
      <c r="I1299" s="72">
        <v>73111.015599999999</v>
      </c>
      <c r="J1299" s="70">
        <v>66.889099999999999</v>
      </c>
      <c r="K1299" s="72">
        <v>29372.320299999999</v>
      </c>
      <c r="L1299" s="72">
        <v>5.3430999999999997</v>
      </c>
      <c r="M1299" s="70">
        <v>27.7149</v>
      </c>
      <c r="N1299" s="77">
        <v>126.17</v>
      </c>
      <c r="O1299" s="70">
        <v>4</v>
      </c>
      <c r="P1299" s="70"/>
      <c r="Q1299" s="70" t="s">
        <v>360</v>
      </c>
    </row>
    <row r="1300" spans="1:17" ht="13.8" customHeight="1" x14ac:dyDescent="0.3">
      <c r="A1300" s="73" t="s">
        <v>384</v>
      </c>
      <c r="B1300" s="79">
        <v>46141</v>
      </c>
      <c r="C1300" s="73">
        <v>147</v>
      </c>
      <c r="D1300" s="73" t="s">
        <v>256</v>
      </c>
      <c r="E1300" s="73">
        <v>2</v>
      </c>
      <c r="F1300" s="75" t="s">
        <v>257</v>
      </c>
      <c r="G1300" s="75">
        <v>2.9687999999999999</v>
      </c>
      <c r="H1300" s="75">
        <v>7.7241999999999997</v>
      </c>
      <c r="I1300" s="75">
        <v>126227.91409999999</v>
      </c>
      <c r="J1300" s="73" t="s">
        <v>257</v>
      </c>
      <c r="K1300" s="75">
        <v>35497.781199999998</v>
      </c>
      <c r="L1300" s="75" t="s">
        <v>257</v>
      </c>
      <c r="M1300" s="73">
        <v>45.047899999999998</v>
      </c>
      <c r="N1300" s="76">
        <v>125.81</v>
      </c>
      <c r="O1300" s="73">
        <v>4</v>
      </c>
      <c r="P1300" s="73"/>
      <c r="Q1300" s="73" t="s">
        <v>360</v>
      </c>
    </row>
    <row r="1301" spans="1:17" ht="13.8" customHeight="1" x14ac:dyDescent="0.3">
      <c r="A1301" s="70" t="s">
        <v>384</v>
      </c>
      <c r="B1301" s="78">
        <v>46141</v>
      </c>
      <c r="C1301" s="70">
        <v>148</v>
      </c>
      <c r="D1301" s="70" t="s">
        <v>256</v>
      </c>
      <c r="E1301" s="70">
        <v>3</v>
      </c>
      <c r="F1301" s="72" t="s">
        <v>257</v>
      </c>
      <c r="G1301" s="72" t="s">
        <v>257</v>
      </c>
      <c r="H1301" s="72">
        <v>6.7389000000000001</v>
      </c>
      <c r="I1301" s="72">
        <v>40677.183599999997</v>
      </c>
      <c r="J1301" s="70">
        <v>207.83</v>
      </c>
      <c r="K1301" s="72">
        <v>20766.367200000001</v>
      </c>
      <c r="L1301" s="72">
        <v>15.874700000000001</v>
      </c>
      <c r="M1301" s="70">
        <v>23.216699999999999</v>
      </c>
      <c r="N1301" s="77">
        <v>120.56</v>
      </c>
      <c r="O1301" s="70">
        <v>4</v>
      </c>
      <c r="P1301" s="70"/>
      <c r="Q1301" s="70" t="s">
        <v>360</v>
      </c>
    </row>
    <row r="1302" spans="1:17" ht="13.8" customHeight="1" x14ac:dyDescent="0.3">
      <c r="A1302" s="73" t="s">
        <v>384</v>
      </c>
      <c r="B1302" s="79">
        <v>46141</v>
      </c>
      <c r="C1302" s="73">
        <v>149</v>
      </c>
      <c r="D1302" s="73" t="s">
        <v>256</v>
      </c>
      <c r="E1302" s="73">
        <v>3</v>
      </c>
      <c r="F1302" s="75" t="s">
        <v>257</v>
      </c>
      <c r="G1302" s="75">
        <v>1.9120999999999999</v>
      </c>
      <c r="H1302" s="75">
        <v>7.1647999999999996</v>
      </c>
      <c r="I1302" s="75">
        <v>40781.527300000002</v>
      </c>
      <c r="J1302" s="73">
        <v>199.57550000000001</v>
      </c>
      <c r="K1302" s="75">
        <v>20487.230500000001</v>
      </c>
      <c r="L1302" s="75">
        <v>16.3843</v>
      </c>
      <c r="M1302" s="73">
        <v>25.070900000000002</v>
      </c>
      <c r="N1302" s="76">
        <v>120.45</v>
      </c>
      <c r="O1302" s="73">
        <v>4</v>
      </c>
      <c r="P1302" s="73"/>
      <c r="Q1302" s="73" t="s">
        <v>360</v>
      </c>
    </row>
    <row r="1303" spans="1:17" ht="13.8" customHeight="1" x14ac:dyDescent="0.3">
      <c r="A1303" s="70" t="s">
        <v>384</v>
      </c>
      <c r="B1303" s="78">
        <v>46141</v>
      </c>
      <c r="C1303" s="70">
        <v>150</v>
      </c>
      <c r="D1303" s="70" t="s">
        <v>256</v>
      </c>
      <c r="E1303" s="70">
        <v>4</v>
      </c>
      <c r="F1303" s="72">
        <v>2.8170999999999999</v>
      </c>
      <c r="G1303" s="72" t="s">
        <v>257</v>
      </c>
      <c r="H1303" s="72">
        <v>5.7367999999999997</v>
      </c>
      <c r="I1303" s="72">
        <v>90543.148400000005</v>
      </c>
      <c r="J1303" s="70">
        <v>42.415399999999998</v>
      </c>
      <c r="K1303" s="72">
        <v>123841.28909999999</v>
      </c>
      <c r="L1303" s="72">
        <v>14.5761</v>
      </c>
      <c r="M1303" s="70">
        <v>15.1593</v>
      </c>
      <c r="N1303" s="77">
        <v>126.23</v>
      </c>
      <c r="O1303" s="70">
        <v>4</v>
      </c>
      <c r="P1303" s="70"/>
      <c r="Q1303" s="70" t="s">
        <v>360</v>
      </c>
    </row>
    <row r="1304" spans="1:17" ht="13.8" customHeight="1" x14ac:dyDescent="0.3">
      <c r="A1304" s="73" t="s">
        <v>384</v>
      </c>
      <c r="B1304" s="79">
        <v>46141</v>
      </c>
      <c r="C1304" s="73">
        <v>151</v>
      </c>
      <c r="D1304" s="73" t="s">
        <v>256</v>
      </c>
      <c r="E1304" s="73">
        <v>4</v>
      </c>
      <c r="F1304" s="75" t="s">
        <v>257</v>
      </c>
      <c r="G1304" s="75" t="s">
        <v>257</v>
      </c>
      <c r="H1304" s="75">
        <v>7.399</v>
      </c>
      <c r="I1304" s="75">
        <v>89857.890599999999</v>
      </c>
      <c r="J1304" s="73">
        <v>45.196100000000001</v>
      </c>
      <c r="K1304" s="75">
        <v>107425.9375</v>
      </c>
      <c r="L1304" s="75">
        <v>8.8741000000000003</v>
      </c>
      <c r="M1304" s="73">
        <v>11.911099999999999</v>
      </c>
      <c r="N1304" s="76">
        <v>126.28</v>
      </c>
      <c r="O1304" s="73">
        <v>4</v>
      </c>
      <c r="P1304" s="73"/>
      <c r="Q1304" s="73" t="s">
        <v>360</v>
      </c>
    </row>
    <row r="1305" spans="1:17" ht="13.8" customHeight="1" x14ac:dyDescent="0.3">
      <c r="A1305" s="70" t="s">
        <v>384</v>
      </c>
      <c r="B1305" s="78">
        <v>46141</v>
      </c>
      <c r="C1305" s="70">
        <v>152</v>
      </c>
      <c r="D1305" s="70" t="s">
        <v>256</v>
      </c>
      <c r="E1305" s="70">
        <v>5</v>
      </c>
      <c r="F1305" s="72" t="s">
        <v>257</v>
      </c>
      <c r="G1305" s="72">
        <v>2.1913</v>
      </c>
      <c r="H1305" s="72">
        <v>11.897</v>
      </c>
      <c r="I1305" s="72">
        <v>61283.226600000002</v>
      </c>
      <c r="J1305" s="70">
        <v>107.15389999999999</v>
      </c>
      <c r="K1305" s="72">
        <v>7165.6812</v>
      </c>
      <c r="L1305" s="72">
        <v>20.958200000000001</v>
      </c>
      <c r="M1305" s="70">
        <v>41.509500000000003</v>
      </c>
      <c r="N1305" s="77">
        <v>120.54</v>
      </c>
      <c r="O1305" s="70">
        <v>4</v>
      </c>
      <c r="P1305" s="70"/>
      <c r="Q1305" s="70" t="s">
        <v>360</v>
      </c>
    </row>
    <row r="1306" spans="1:17" ht="13.8" customHeight="1" x14ac:dyDescent="0.3">
      <c r="A1306" s="73" t="s">
        <v>384</v>
      </c>
      <c r="B1306" s="79">
        <v>46141</v>
      </c>
      <c r="C1306" s="73">
        <v>153</v>
      </c>
      <c r="D1306" s="73" t="s">
        <v>256</v>
      </c>
      <c r="E1306" s="73">
        <v>5</v>
      </c>
      <c r="F1306" s="75" t="s">
        <v>257</v>
      </c>
      <c r="G1306" s="75">
        <v>2.5745</v>
      </c>
      <c r="H1306" s="75">
        <v>9.7844999999999995</v>
      </c>
      <c r="I1306" s="75">
        <v>39594.968800000002</v>
      </c>
      <c r="J1306" s="73">
        <v>86.331299999999999</v>
      </c>
      <c r="K1306" s="75">
        <v>12954.8896</v>
      </c>
      <c r="L1306" s="75">
        <v>9.5361999999999991</v>
      </c>
      <c r="M1306" s="73">
        <v>29.479800000000001</v>
      </c>
      <c r="N1306" s="76">
        <v>120.29</v>
      </c>
      <c r="O1306" s="73">
        <v>4</v>
      </c>
      <c r="P1306" s="73"/>
      <c r="Q1306" s="73" t="s">
        <v>360</v>
      </c>
    </row>
    <row r="1307" spans="1:17" ht="13.8" customHeight="1" x14ac:dyDescent="0.3">
      <c r="A1307" s="70" t="s">
        <v>385</v>
      </c>
      <c r="B1307" s="78">
        <v>46141</v>
      </c>
      <c r="C1307" s="70">
        <v>154</v>
      </c>
      <c r="D1307" s="70" t="s">
        <v>256</v>
      </c>
      <c r="E1307" s="70">
        <v>1</v>
      </c>
      <c r="F1307" s="72" t="s">
        <v>257</v>
      </c>
      <c r="G1307" s="72">
        <v>8.1625999999999994</v>
      </c>
      <c r="H1307" s="72">
        <v>22.9496</v>
      </c>
      <c r="I1307" s="72">
        <v>61667.652300000002</v>
      </c>
      <c r="J1307" s="70">
        <v>245.78190000000001</v>
      </c>
      <c r="K1307" s="72">
        <v>45503.992200000001</v>
      </c>
      <c r="L1307" s="72">
        <v>46.459400000000002</v>
      </c>
      <c r="M1307" s="70">
        <v>43.985900000000001</v>
      </c>
      <c r="N1307" s="77">
        <v>120.84</v>
      </c>
      <c r="O1307" s="70">
        <v>4</v>
      </c>
      <c r="P1307" s="70"/>
      <c r="Q1307" s="70" t="s">
        <v>360</v>
      </c>
    </row>
    <row r="1308" spans="1:17" ht="13.8" customHeight="1" x14ac:dyDescent="0.3">
      <c r="A1308" s="73" t="s">
        <v>385</v>
      </c>
      <c r="B1308" s="79">
        <v>46141</v>
      </c>
      <c r="C1308" s="73">
        <v>155</v>
      </c>
      <c r="D1308" s="73" t="s">
        <v>256</v>
      </c>
      <c r="E1308" s="73">
        <v>1</v>
      </c>
      <c r="F1308" s="75">
        <v>2.9260000000000002</v>
      </c>
      <c r="G1308" s="75">
        <v>7.1600999999999999</v>
      </c>
      <c r="H1308" s="75">
        <v>18.1738</v>
      </c>
      <c r="I1308" s="75">
        <v>66560.070300000007</v>
      </c>
      <c r="J1308" s="73">
        <v>267.68979999999999</v>
      </c>
      <c r="K1308" s="75">
        <v>45727.292999999998</v>
      </c>
      <c r="L1308" s="75">
        <v>50.944200000000002</v>
      </c>
      <c r="M1308" s="73">
        <v>45.730400000000003</v>
      </c>
      <c r="N1308" s="76">
        <v>120.38</v>
      </c>
      <c r="O1308" s="73">
        <v>4</v>
      </c>
      <c r="P1308" s="73"/>
      <c r="Q1308" s="73" t="s">
        <v>360</v>
      </c>
    </row>
    <row r="1309" spans="1:17" ht="13.8" customHeight="1" x14ac:dyDescent="0.3">
      <c r="A1309" s="70" t="s">
        <v>385</v>
      </c>
      <c r="B1309" s="78">
        <v>46141</v>
      </c>
      <c r="C1309" s="70">
        <v>156</v>
      </c>
      <c r="D1309" s="70" t="s">
        <v>256</v>
      </c>
      <c r="E1309" s="70">
        <v>1</v>
      </c>
      <c r="F1309" s="72">
        <v>3.3904000000000001</v>
      </c>
      <c r="G1309" s="72">
        <v>5.8136000000000001</v>
      </c>
      <c r="H1309" s="72">
        <v>25.007400000000001</v>
      </c>
      <c r="I1309" s="72">
        <v>55633.617200000001</v>
      </c>
      <c r="J1309" s="70">
        <v>191.89060000000001</v>
      </c>
      <c r="K1309" s="72">
        <v>44529.457000000002</v>
      </c>
      <c r="L1309" s="72">
        <v>28.995999999999999</v>
      </c>
      <c r="M1309" s="70">
        <v>20.674700000000001</v>
      </c>
      <c r="N1309" s="77">
        <v>120.41</v>
      </c>
      <c r="O1309" s="70">
        <v>4</v>
      </c>
      <c r="P1309" s="70"/>
      <c r="Q1309" s="70" t="s">
        <v>360</v>
      </c>
    </row>
    <row r="1310" spans="1:17" ht="13.8" customHeight="1" x14ac:dyDescent="0.3">
      <c r="A1310" s="73" t="s">
        <v>385</v>
      </c>
      <c r="B1310" s="79">
        <v>46141</v>
      </c>
      <c r="C1310" s="73">
        <v>157</v>
      </c>
      <c r="D1310" s="73" t="s">
        <v>256</v>
      </c>
      <c r="E1310" s="73">
        <v>2</v>
      </c>
      <c r="F1310" s="75">
        <v>12.4803</v>
      </c>
      <c r="G1310" s="75">
        <v>7.14</v>
      </c>
      <c r="H1310" s="75">
        <v>14.638</v>
      </c>
      <c r="I1310" s="75">
        <v>76021.703099999999</v>
      </c>
      <c r="J1310" s="73">
        <v>199.46010000000001</v>
      </c>
      <c r="K1310" s="75">
        <v>61035.238299999997</v>
      </c>
      <c r="L1310" s="75">
        <v>25.8992</v>
      </c>
      <c r="M1310" s="73">
        <v>23.256799999999998</v>
      </c>
      <c r="N1310" s="76">
        <v>126.24</v>
      </c>
      <c r="O1310" s="73">
        <v>4</v>
      </c>
      <c r="P1310" s="73"/>
      <c r="Q1310" s="73" t="s">
        <v>360</v>
      </c>
    </row>
    <row r="1311" spans="1:17" ht="13.8" customHeight="1" x14ac:dyDescent="0.3">
      <c r="A1311" s="70" t="s">
        <v>385</v>
      </c>
      <c r="B1311" s="78">
        <v>46141</v>
      </c>
      <c r="C1311" s="70">
        <v>158</v>
      </c>
      <c r="D1311" s="70" t="s">
        <v>256</v>
      </c>
      <c r="E1311" s="70">
        <v>2</v>
      </c>
      <c r="F1311" s="72">
        <v>3.4283999999999999</v>
      </c>
      <c r="G1311" s="72">
        <v>6.9684999999999997</v>
      </c>
      <c r="H1311" s="72">
        <v>33.997399999999999</v>
      </c>
      <c r="I1311" s="72">
        <v>61980</v>
      </c>
      <c r="J1311" s="70">
        <v>176.4511</v>
      </c>
      <c r="K1311" s="72">
        <v>45474.539100000002</v>
      </c>
      <c r="L1311" s="72">
        <v>50.853900000000003</v>
      </c>
      <c r="M1311" s="70">
        <v>39.016800000000003</v>
      </c>
      <c r="N1311" s="77">
        <v>120.78</v>
      </c>
      <c r="O1311" s="70">
        <v>4</v>
      </c>
      <c r="P1311" s="70"/>
      <c r="Q1311" s="70" t="s">
        <v>360</v>
      </c>
    </row>
    <row r="1312" spans="1:17" ht="13.8" customHeight="1" x14ac:dyDescent="0.3">
      <c r="A1312" s="73" t="s">
        <v>385</v>
      </c>
      <c r="B1312" s="79">
        <v>46141</v>
      </c>
      <c r="C1312" s="73">
        <v>159</v>
      </c>
      <c r="D1312" s="73" t="s">
        <v>256</v>
      </c>
      <c r="E1312" s="73">
        <v>2</v>
      </c>
      <c r="F1312" s="75">
        <v>3.7006000000000001</v>
      </c>
      <c r="G1312" s="75">
        <v>3.8959999999999999</v>
      </c>
      <c r="H1312" s="75">
        <v>11.0182</v>
      </c>
      <c r="I1312" s="75">
        <v>38107.066400000003</v>
      </c>
      <c r="J1312" s="73">
        <v>143.4263</v>
      </c>
      <c r="K1312" s="75">
        <v>38468.808599999997</v>
      </c>
      <c r="L1312" s="75">
        <v>25.8325</v>
      </c>
      <c r="M1312" s="73">
        <v>25.0519</v>
      </c>
      <c r="N1312" s="76">
        <v>120.45</v>
      </c>
      <c r="O1312" s="73">
        <v>4</v>
      </c>
      <c r="P1312" s="73"/>
      <c r="Q1312" s="73" t="s">
        <v>360</v>
      </c>
    </row>
    <row r="1313" spans="1:17" ht="13.8" customHeight="1" x14ac:dyDescent="0.3">
      <c r="A1313" s="70" t="s">
        <v>385</v>
      </c>
      <c r="B1313" s="78">
        <v>46141</v>
      </c>
      <c r="C1313" s="70">
        <v>160</v>
      </c>
      <c r="D1313" s="70" t="s">
        <v>256</v>
      </c>
      <c r="E1313" s="70">
        <v>3</v>
      </c>
      <c r="F1313" s="72">
        <v>6.8173000000000004</v>
      </c>
      <c r="G1313" s="72">
        <v>5.8262999999999998</v>
      </c>
      <c r="H1313" s="72">
        <v>13.1625</v>
      </c>
      <c r="I1313" s="72">
        <v>49046.296900000001</v>
      </c>
      <c r="J1313" s="70">
        <v>123.0039</v>
      </c>
      <c r="K1313" s="72">
        <v>41059.972699999998</v>
      </c>
      <c r="L1313" s="72">
        <v>21.575800000000001</v>
      </c>
      <c r="M1313" s="70">
        <v>25.508299999999998</v>
      </c>
      <c r="N1313" s="77">
        <v>126.42</v>
      </c>
      <c r="O1313" s="70">
        <v>4</v>
      </c>
      <c r="P1313" s="70"/>
      <c r="Q1313" s="70" t="s">
        <v>360</v>
      </c>
    </row>
    <row r="1314" spans="1:17" ht="13.8" customHeight="1" x14ac:dyDescent="0.3">
      <c r="A1314" s="73" t="s">
        <v>385</v>
      </c>
      <c r="B1314" s="79">
        <v>46141</v>
      </c>
      <c r="C1314" s="73">
        <v>161</v>
      </c>
      <c r="D1314" s="73" t="s">
        <v>256</v>
      </c>
      <c r="E1314" s="73">
        <v>3</v>
      </c>
      <c r="F1314" s="75">
        <v>8.8272999999999993</v>
      </c>
      <c r="G1314" s="75">
        <v>3.5270000000000001</v>
      </c>
      <c r="H1314" s="75">
        <v>13.4641</v>
      </c>
      <c r="I1314" s="75">
        <v>45440.085899999998</v>
      </c>
      <c r="J1314" s="73">
        <v>127.8172</v>
      </c>
      <c r="K1314" s="75">
        <v>31267.283200000002</v>
      </c>
      <c r="L1314" s="75">
        <v>17.534099999999999</v>
      </c>
      <c r="M1314" s="73">
        <v>17.6023</v>
      </c>
      <c r="N1314" s="76">
        <v>120.35</v>
      </c>
      <c r="O1314" s="73">
        <v>4</v>
      </c>
      <c r="P1314" s="73"/>
      <c r="Q1314" s="73" t="s">
        <v>360</v>
      </c>
    </row>
    <row r="1315" spans="1:17" ht="13.8" customHeight="1" x14ac:dyDescent="0.3">
      <c r="A1315" s="70" t="s">
        <v>385</v>
      </c>
      <c r="B1315" s="78">
        <v>46141</v>
      </c>
      <c r="C1315" s="70">
        <v>162</v>
      </c>
      <c r="D1315" s="70" t="s">
        <v>256</v>
      </c>
      <c r="E1315" s="70">
        <v>3</v>
      </c>
      <c r="F1315" s="72">
        <v>20.5381</v>
      </c>
      <c r="G1315" s="72">
        <v>3.8723000000000001</v>
      </c>
      <c r="H1315" s="72">
        <v>11.838699999999999</v>
      </c>
      <c r="I1315" s="72">
        <v>58066.042999999998</v>
      </c>
      <c r="J1315" s="70">
        <v>86.569500000000005</v>
      </c>
      <c r="K1315" s="72">
        <v>32899.476600000002</v>
      </c>
      <c r="L1315" s="72">
        <v>18.629899999999999</v>
      </c>
      <c r="M1315" s="70">
        <v>18.541599999999999</v>
      </c>
      <c r="N1315" s="77">
        <v>120.55</v>
      </c>
      <c r="O1315" s="70">
        <v>4</v>
      </c>
      <c r="P1315" s="70"/>
      <c r="Q1315" s="70" t="s">
        <v>360</v>
      </c>
    </row>
    <row r="1316" spans="1:17" ht="13.8" customHeight="1" x14ac:dyDescent="0.3">
      <c r="A1316" s="73" t="s">
        <v>385</v>
      </c>
      <c r="B1316" s="79">
        <v>46141</v>
      </c>
      <c r="C1316" s="73">
        <v>163</v>
      </c>
      <c r="D1316" s="73" t="s">
        <v>256</v>
      </c>
      <c r="E1316" s="73">
        <v>4</v>
      </c>
      <c r="F1316" s="75">
        <v>30.212499999999999</v>
      </c>
      <c r="G1316" s="75">
        <v>5.0613000000000001</v>
      </c>
      <c r="H1316" s="75">
        <v>22.947900000000001</v>
      </c>
      <c r="I1316" s="75">
        <v>99929.914099999995</v>
      </c>
      <c r="J1316" s="73">
        <v>85.509799999999998</v>
      </c>
      <c r="K1316" s="75">
        <v>52033.871099999997</v>
      </c>
      <c r="L1316" s="75">
        <v>15.264799999999999</v>
      </c>
      <c r="M1316" s="73">
        <v>23.1934</v>
      </c>
      <c r="N1316" s="76">
        <v>125.96</v>
      </c>
      <c r="O1316" s="73">
        <v>4</v>
      </c>
      <c r="P1316" s="73"/>
      <c r="Q1316" s="73" t="s">
        <v>360</v>
      </c>
    </row>
    <row r="1317" spans="1:17" ht="13.8" customHeight="1" x14ac:dyDescent="0.3">
      <c r="A1317" s="70" t="s">
        <v>385</v>
      </c>
      <c r="B1317" s="78">
        <v>46141</v>
      </c>
      <c r="C1317" s="70">
        <v>164</v>
      </c>
      <c r="D1317" s="70" t="s">
        <v>256</v>
      </c>
      <c r="E1317" s="70">
        <v>4</v>
      </c>
      <c r="F1317" s="72">
        <v>2.8978999999999999</v>
      </c>
      <c r="G1317" s="72" t="s">
        <v>257</v>
      </c>
      <c r="H1317" s="72" t="s">
        <v>257</v>
      </c>
      <c r="I1317" s="72">
        <v>33474.359400000001</v>
      </c>
      <c r="J1317" s="70">
        <v>419.06180000000001</v>
      </c>
      <c r="K1317" s="72">
        <v>12082.281199999999</v>
      </c>
      <c r="L1317" s="72">
        <v>42.928899999999999</v>
      </c>
      <c r="M1317" s="70">
        <v>19.214300000000001</v>
      </c>
      <c r="N1317" s="77">
        <v>125.93</v>
      </c>
      <c r="O1317" s="70">
        <v>4</v>
      </c>
      <c r="P1317" s="70"/>
      <c r="Q1317" s="70" t="s">
        <v>360</v>
      </c>
    </row>
    <row r="1318" spans="1:17" ht="13.8" customHeight="1" x14ac:dyDescent="0.3">
      <c r="A1318" s="73" t="s">
        <v>385</v>
      </c>
      <c r="B1318" s="79">
        <v>46141</v>
      </c>
      <c r="C1318" s="73">
        <v>165</v>
      </c>
      <c r="D1318" s="73" t="s">
        <v>256</v>
      </c>
      <c r="E1318" s="73">
        <v>5</v>
      </c>
      <c r="F1318" s="75" t="s">
        <v>257</v>
      </c>
      <c r="G1318" s="75" t="s">
        <v>257</v>
      </c>
      <c r="H1318" s="75" t="s">
        <v>257</v>
      </c>
      <c r="I1318" s="75" t="s">
        <v>257</v>
      </c>
      <c r="J1318" s="73">
        <v>673.2405</v>
      </c>
      <c r="K1318" s="75">
        <v>28410.3652</v>
      </c>
      <c r="L1318" s="75" t="s">
        <v>257</v>
      </c>
      <c r="M1318" s="73" t="s">
        <v>257</v>
      </c>
      <c r="N1318" s="76">
        <v>126.05</v>
      </c>
      <c r="O1318" s="73">
        <v>4</v>
      </c>
      <c r="P1318" s="73" t="s">
        <v>380</v>
      </c>
      <c r="Q1318" s="73" t="s">
        <v>360</v>
      </c>
    </row>
    <row r="1319" spans="1:17" ht="13.8" customHeight="1" x14ac:dyDescent="0.3">
      <c r="A1319" s="70" t="s">
        <v>385</v>
      </c>
      <c r="B1319" s="78">
        <v>46141</v>
      </c>
      <c r="C1319" s="70">
        <v>166</v>
      </c>
      <c r="D1319" s="70" t="s">
        <v>256</v>
      </c>
      <c r="E1319" s="70">
        <v>5</v>
      </c>
      <c r="F1319" s="72">
        <v>2.7597</v>
      </c>
      <c r="G1319" s="72" t="s">
        <v>257</v>
      </c>
      <c r="H1319" s="72">
        <v>3.7444000000000002</v>
      </c>
      <c r="I1319" s="72">
        <v>34746.015599999999</v>
      </c>
      <c r="J1319" s="70">
        <v>426.26350000000002</v>
      </c>
      <c r="K1319" s="72">
        <v>10061.8066</v>
      </c>
      <c r="L1319" s="72">
        <v>46.588000000000001</v>
      </c>
      <c r="M1319" s="70">
        <v>21.020900000000001</v>
      </c>
      <c r="N1319" s="77">
        <v>126.35</v>
      </c>
      <c r="O1319" s="70">
        <v>4</v>
      </c>
      <c r="P1319" s="70"/>
      <c r="Q1319" s="70" t="s">
        <v>360</v>
      </c>
    </row>
    <row r="1320" spans="1:17" ht="13.8" customHeight="1" x14ac:dyDescent="0.3">
      <c r="A1320" s="73" t="s">
        <v>386</v>
      </c>
      <c r="B1320" s="79">
        <v>46141</v>
      </c>
      <c r="C1320" s="73">
        <v>167</v>
      </c>
      <c r="D1320" s="73" t="s">
        <v>256</v>
      </c>
      <c r="E1320" s="73">
        <v>1</v>
      </c>
      <c r="F1320" s="75">
        <v>39.000300000000003</v>
      </c>
      <c r="G1320" s="75">
        <v>7.2278000000000002</v>
      </c>
      <c r="H1320" s="75">
        <v>17.006799999999998</v>
      </c>
      <c r="I1320" s="75">
        <v>37823.003900000003</v>
      </c>
      <c r="J1320" s="73">
        <v>254.4572</v>
      </c>
      <c r="K1320" s="75">
        <v>5834.5522000000001</v>
      </c>
      <c r="L1320" s="75">
        <v>43.942599999999999</v>
      </c>
      <c r="M1320" s="73">
        <v>29.212499999999999</v>
      </c>
      <c r="N1320" s="76">
        <v>120.34</v>
      </c>
      <c r="O1320" s="73">
        <v>4</v>
      </c>
      <c r="P1320" s="73"/>
      <c r="Q1320" s="73" t="s">
        <v>360</v>
      </c>
    </row>
    <row r="1321" spans="1:17" ht="13.8" customHeight="1" x14ac:dyDescent="0.3">
      <c r="A1321" s="70" t="s">
        <v>386</v>
      </c>
      <c r="B1321" s="78">
        <v>46141</v>
      </c>
      <c r="C1321" s="70">
        <v>168</v>
      </c>
      <c r="D1321" s="70" t="s">
        <v>256</v>
      </c>
      <c r="E1321" s="70">
        <v>1</v>
      </c>
      <c r="F1321" s="72">
        <v>18.331499999999998</v>
      </c>
      <c r="G1321" s="72">
        <v>2.1097000000000001</v>
      </c>
      <c r="H1321" s="72">
        <v>18.910599999999999</v>
      </c>
      <c r="I1321" s="72">
        <v>35193.183599999997</v>
      </c>
      <c r="J1321" s="70">
        <v>309.15129999999999</v>
      </c>
      <c r="K1321" s="72">
        <v>2837.4243000000001</v>
      </c>
      <c r="L1321" s="72">
        <v>42.460799999999999</v>
      </c>
      <c r="M1321" s="70">
        <v>16.718</v>
      </c>
      <c r="N1321" s="77">
        <v>120.71</v>
      </c>
      <c r="O1321" s="70">
        <v>4</v>
      </c>
      <c r="P1321" s="70"/>
      <c r="Q1321" s="70" t="s">
        <v>360</v>
      </c>
    </row>
    <row r="1322" spans="1:17" ht="13.8" customHeight="1" x14ac:dyDescent="0.3">
      <c r="A1322" s="73" t="s">
        <v>386</v>
      </c>
      <c r="B1322" s="79">
        <v>46141</v>
      </c>
      <c r="C1322" s="73">
        <v>169</v>
      </c>
      <c r="D1322" s="73" t="s">
        <v>256</v>
      </c>
      <c r="E1322" s="73">
        <v>1</v>
      </c>
      <c r="F1322" s="75">
        <v>33.4955</v>
      </c>
      <c r="G1322" s="75">
        <v>6.4084000000000003</v>
      </c>
      <c r="H1322" s="75">
        <v>20.8918</v>
      </c>
      <c r="I1322" s="75">
        <v>39112.253900000003</v>
      </c>
      <c r="J1322" s="73">
        <v>282.10039999999998</v>
      </c>
      <c r="K1322" s="75">
        <v>1954.9166</v>
      </c>
      <c r="L1322" s="75">
        <v>45.578800000000001</v>
      </c>
      <c r="M1322" s="73">
        <v>25.6812</v>
      </c>
      <c r="N1322" s="76">
        <v>120.31</v>
      </c>
      <c r="O1322" s="73">
        <v>4</v>
      </c>
      <c r="P1322" s="73"/>
      <c r="Q1322" s="73" t="s">
        <v>360</v>
      </c>
    </row>
    <row r="1323" spans="1:17" ht="13.8" customHeight="1" x14ac:dyDescent="0.3">
      <c r="A1323" s="70" t="s">
        <v>386</v>
      </c>
      <c r="B1323" s="78">
        <v>46141</v>
      </c>
      <c r="C1323" s="70">
        <v>170</v>
      </c>
      <c r="D1323" s="70" t="s">
        <v>256</v>
      </c>
      <c r="E1323" s="70">
        <v>2</v>
      </c>
      <c r="F1323" s="72">
        <v>5.0487000000000002</v>
      </c>
      <c r="G1323" s="72">
        <v>2.1353</v>
      </c>
      <c r="H1323" s="72">
        <v>9.6019000000000005</v>
      </c>
      <c r="I1323" s="72">
        <v>32858.859400000001</v>
      </c>
      <c r="J1323" s="70">
        <v>439.8116</v>
      </c>
      <c r="K1323" s="72">
        <v>10561.4102</v>
      </c>
      <c r="L1323" s="72">
        <v>35.283099999999997</v>
      </c>
      <c r="M1323" s="70" t="s">
        <v>257</v>
      </c>
      <c r="N1323" s="77">
        <v>125.81</v>
      </c>
      <c r="O1323" s="70">
        <v>4</v>
      </c>
      <c r="P1323" s="70"/>
      <c r="Q1323" s="70" t="s">
        <v>360</v>
      </c>
    </row>
    <row r="1324" spans="1:17" ht="13.8" customHeight="1" x14ac:dyDescent="0.3">
      <c r="A1324" s="73" t="s">
        <v>386</v>
      </c>
      <c r="B1324" s="79">
        <v>46141</v>
      </c>
      <c r="C1324" s="73">
        <v>171</v>
      </c>
      <c r="D1324" s="73" t="s">
        <v>256</v>
      </c>
      <c r="E1324" s="73">
        <v>2</v>
      </c>
      <c r="F1324" s="75">
        <v>30.814900000000002</v>
      </c>
      <c r="G1324" s="75">
        <v>26.151399999999999</v>
      </c>
      <c r="H1324" s="75">
        <v>25.264199999999999</v>
      </c>
      <c r="I1324" s="75">
        <v>85495.796900000001</v>
      </c>
      <c r="J1324" s="73">
        <v>605.56849999999997</v>
      </c>
      <c r="K1324" s="75">
        <v>3833.9863</v>
      </c>
      <c r="L1324" s="75">
        <v>31.735700000000001</v>
      </c>
      <c r="M1324" s="73">
        <v>12.702</v>
      </c>
      <c r="N1324" s="76">
        <v>120.05</v>
      </c>
      <c r="O1324" s="73">
        <v>4</v>
      </c>
      <c r="P1324" s="73"/>
      <c r="Q1324" s="73" t="s">
        <v>360</v>
      </c>
    </row>
    <row r="1325" spans="1:17" ht="13.8" customHeight="1" x14ac:dyDescent="0.3">
      <c r="A1325" s="70" t="s">
        <v>386</v>
      </c>
      <c r="B1325" s="78">
        <v>46141</v>
      </c>
      <c r="C1325" s="70">
        <v>172</v>
      </c>
      <c r="D1325" s="70" t="s">
        <v>256</v>
      </c>
      <c r="E1325" s="70">
        <v>2</v>
      </c>
      <c r="F1325" s="72">
        <v>12.931699999999999</v>
      </c>
      <c r="G1325" s="72">
        <v>8.9286999999999992</v>
      </c>
      <c r="H1325" s="72">
        <v>14.662000000000001</v>
      </c>
      <c r="I1325" s="72">
        <v>48392.445299999999</v>
      </c>
      <c r="J1325" s="70">
        <v>504.75920000000002</v>
      </c>
      <c r="K1325" s="72">
        <v>12483.930700000001</v>
      </c>
      <c r="L1325" s="72">
        <v>35.643900000000002</v>
      </c>
      <c r="M1325" s="70">
        <v>8.4419000000000004</v>
      </c>
      <c r="N1325" s="77">
        <v>120.18</v>
      </c>
      <c r="O1325" s="70">
        <v>4</v>
      </c>
      <c r="P1325" s="70"/>
      <c r="Q1325" s="70" t="s">
        <v>360</v>
      </c>
    </row>
    <row r="1326" spans="1:17" ht="13.8" customHeight="1" x14ac:dyDescent="0.3">
      <c r="A1326" s="73" t="s">
        <v>386</v>
      </c>
      <c r="B1326" s="79">
        <v>46141</v>
      </c>
      <c r="C1326" s="73">
        <v>173</v>
      </c>
      <c r="D1326" s="73" t="s">
        <v>256</v>
      </c>
      <c r="E1326" s="73">
        <v>3</v>
      </c>
      <c r="F1326" s="75">
        <v>3.1496</v>
      </c>
      <c r="G1326" s="75">
        <v>10.4206</v>
      </c>
      <c r="H1326" s="75">
        <v>6.7609000000000004</v>
      </c>
      <c r="I1326" s="75">
        <v>40942.808599999997</v>
      </c>
      <c r="J1326" s="73">
        <v>355.63099999999997</v>
      </c>
      <c r="K1326" s="75">
        <v>693.79719999999998</v>
      </c>
      <c r="L1326" s="75">
        <v>57.978200000000001</v>
      </c>
      <c r="M1326" s="73" t="s">
        <v>257</v>
      </c>
      <c r="N1326" s="76">
        <v>126.32</v>
      </c>
      <c r="O1326" s="73">
        <v>4</v>
      </c>
      <c r="P1326" s="73"/>
      <c r="Q1326" s="73" t="s">
        <v>360</v>
      </c>
    </row>
    <row r="1327" spans="1:17" ht="13.8" customHeight="1" x14ac:dyDescent="0.3">
      <c r="A1327" s="70" t="s">
        <v>386</v>
      </c>
      <c r="B1327" s="78">
        <v>46141</v>
      </c>
      <c r="C1327" s="70">
        <v>174</v>
      </c>
      <c r="D1327" s="70" t="s">
        <v>256</v>
      </c>
      <c r="E1327" s="70">
        <v>3</v>
      </c>
      <c r="F1327" s="72">
        <v>4.4340000000000002</v>
      </c>
      <c r="G1327" s="72">
        <v>25.771699999999999</v>
      </c>
      <c r="H1327" s="72">
        <v>8.6395</v>
      </c>
      <c r="I1327" s="72">
        <v>45516.945299999999</v>
      </c>
      <c r="J1327" s="70">
        <v>305.08980000000003</v>
      </c>
      <c r="K1327" s="72" t="s">
        <v>257</v>
      </c>
      <c r="L1327" s="72">
        <v>51.278799999999997</v>
      </c>
      <c r="M1327" s="70" t="s">
        <v>257</v>
      </c>
      <c r="N1327" s="77">
        <v>81.319999999999993</v>
      </c>
      <c r="O1327" s="70">
        <v>4</v>
      </c>
      <c r="P1327" s="70"/>
      <c r="Q1327" s="70" t="s">
        <v>360</v>
      </c>
    </row>
    <row r="1328" spans="1:17" ht="13.8" customHeight="1" x14ac:dyDescent="0.3">
      <c r="A1328" s="73" t="s">
        <v>386</v>
      </c>
      <c r="B1328" s="79">
        <v>46141</v>
      </c>
      <c r="C1328" s="73">
        <v>175</v>
      </c>
      <c r="D1328" s="73" t="s">
        <v>256</v>
      </c>
      <c r="E1328" s="73">
        <v>3</v>
      </c>
      <c r="F1328" s="75">
        <v>6.5789999999999997</v>
      </c>
      <c r="G1328" s="75">
        <v>23.0837</v>
      </c>
      <c r="H1328" s="75">
        <v>6.6817000000000002</v>
      </c>
      <c r="I1328" s="75">
        <v>39504.5625</v>
      </c>
      <c r="J1328" s="73">
        <v>274.1841</v>
      </c>
      <c r="K1328" s="75">
        <v>964.39760000000001</v>
      </c>
      <c r="L1328" s="75">
        <v>39.885300000000001</v>
      </c>
      <c r="M1328" s="73" t="s">
        <v>257</v>
      </c>
      <c r="N1328" s="76">
        <v>120.45</v>
      </c>
      <c r="O1328" s="73">
        <v>4</v>
      </c>
      <c r="P1328" s="73"/>
      <c r="Q1328" s="73" t="s">
        <v>360</v>
      </c>
    </row>
    <row r="1329" spans="1:17" ht="13.8" customHeight="1" x14ac:dyDescent="0.3">
      <c r="A1329" s="70" t="s">
        <v>386</v>
      </c>
      <c r="B1329" s="78">
        <v>46141</v>
      </c>
      <c r="C1329" s="70">
        <v>176</v>
      </c>
      <c r="D1329" s="70" t="s">
        <v>256</v>
      </c>
      <c r="E1329" s="70">
        <v>4</v>
      </c>
      <c r="F1329" s="72">
        <v>25.088100000000001</v>
      </c>
      <c r="G1329" s="72">
        <v>51.360999999999997</v>
      </c>
      <c r="H1329" s="72">
        <v>15.2692</v>
      </c>
      <c r="I1329" s="72">
        <v>46127.738299999997</v>
      </c>
      <c r="J1329" s="70">
        <v>491.36869999999999</v>
      </c>
      <c r="K1329" s="72">
        <v>20373.748</v>
      </c>
      <c r="L1329" s="72">
        <v>35.773099999999999</v>
      </c>
      <c r="M1329" s="70">
        <v>9.0883000000000003</v>
      </c>
      <c r="N1329" s="77">
        <v>120.73</v>
      </c>
      <c r="O1329" s="70">
        <v>4</v>
      </c>
      <c r="P1329" s="70"/>
      <c r="Q1329" s="70" t="s">
        <v>360</v>
      </c>
    </row>
    <row r="1330" spans="1:17" ht="13.8" customHeight="1" x14ac:dyDescent="0.3">
      <c r="A1330" s="73" t="s">
        <v>386</v>
      </c>
      <c r="B1330" s="79">
        <v>46141</v>
      </c>
      <c r="C1330" s="73">
        <v>177</v>
      </c>
      <c r="D1330" s="73" t="s">
        <v>256</v>
      </c>
      <c r="E1330" s="73">
        <v>4</v>
      </c>
      <c r="F1330" s="75">
        <v>34.6584</v>
      </c>
      <c r="G1330" s="75">
        <v>93.846400000000003</v>
      </c>
      <c r="H1330" s="75">
        <v>34.391599999999997</v>
      </c>
      <c r="I1330" s="75">
        <v>50997.953099999999</v>
      </c>
      <c r="J1330" s="73">
        <v>333.09750000000003</v>
      </c>
      <c r="K1330" s="75">
        <v>9559.9833999999992</v>
      </c>
      <c r="L1330" s="75">
        <v>26.5989</v>
      </c>
      <c r="M1330" s="73">
        <v>22.357399999999998</v>
      </c>
      <c r="N1330" s="76">
        <v>126.48</v>
      </c>
      <c r="O1330" s="73">
        <v>4</v>
      </c>
      <c r="P1330" s="73"/>
      <c r="Q1330" s="73" t="s">
        <v>360</v>
      </c>
    </row>
    <row r="1331" spans="1:17" ht="13.8" customHeight="1" x14ac:dyDescent="0.3">
      <c r="A1331" s="70" t="s">
        <v>386</v>
      </c>
      <c r="B1331" s="78">
        <v>46141</v>
      </c>
      <c r="C1331" s="70">
        <v>178</v>
      </c>
      <c r="D1331" s="70" t="s">
        <v>256</v>
      </c>
      <c r="E1331" s="70">
        <v>4</v>
      </c>
      <c r="F1331" s="72">
        <v>56.290300000000002</v>
      </c>
      <c r="G1331" s="72">
        <v>75.188800000000001</v>
      </c>
      <c r="H1331" s="72">
        <v>29.144500000000001</v>
      </c>
      <c r="I1331" s="72">
        <v>57309.152300000002</v>
      </c>
      <c r="J1331" s="70">
        <v>366.29759999999999</v>
      </c>
      <c r="K1331" s="72">
        <v>27453.519499999999</v>
      </c>
      <c r="L1331" s="72">
        <v>25.828499999999998</v>
      </c>
      <c r="M1331" s="70">
        <v>21.2286</v>
      </c>
      <c r="N1331" s="77">
        <v>120.71</v>
      </c>
      <c r="O1331" s="70">
        <v>4</v>
      </c>
      <c r="P1331" s="70"/>
      <c r="Q1331" s="70" t="s">
        <v>360</v>
      </c>
    </row>
    <row r="1332" spans="1:17" ht="13.8" customHeight="1" x14ac:dyDescent="0.3">
      <c r="A1332" s="73" t="s">
        <v>386</v>
      </c>
      <c r="B1332" s="79">
        <v>46141</v>
      </c>
      <c r="C1332" s="73">
        <v>179</v>
      </c>
      <c r="D1332" s="73" t="s">
        <v>256</v>
      </c>
      <c r="E1332" s="73">
        <v>5</v>
      </c>
      <c r="F1332" s="75" t="s">
        <v>257</v>
      </c>
      <c r="G1332" s="75">
        <v>8.5437999999999992</v>
      </c>
      <c r="H1332" s="75">
        <v>7.1037999999999997</v>
      </c>
      <c r="I1332" s="75">
        <v>26785.220700000002</v>
      </c>
      <c r="J1332" s="73">
        <v>392.4058</v>
      </c>
      <c r="K1332" s="75">
        <v>710.726</v>
      </c>
      <c r="L1332" s="75">
        <v>43.017699999999998</v>
      </c>
      <c r="M1332" s="73">
        <v>5.5529999999999999</v>
      </c>
      <c r="N1332" s="76">
        <v>120.26</v>
      </c>
      <c r="O1332" s="73">
        <v>4</v>
      </c>
      <c r="P1332" s="73"/>
      <c r="Q1332" s="73" t="s">
        <v>360</v>
      </c>
    </row>
    <row r="1333" spans="1:17" ht="13.8" customHeight="1" x14ac:dyDescent="0.3">
      <c r="A1333" s="70" t="s">
        <v>386</v>
      </c>
      <c r="B1333" s="78">
        <v>46141</v>
      </c>
      <c r="C1333" s="70">
        <v>180</v>
      </c>
      <c r="D1333" s="70" t="s">
        <v>256</v>
      </c>
      <c r="E1333" s="70">
        <v>5</v>
      </c>
      <c r="F1333" s="72">
        <v>2.4150999999999998</v>
      </c>
      <c r="G1333" s="72">
        <v>10.924200000000001</v>
      </c>
      <c r="H1333" s="72">
        <v>6.9307999999999996</v>
      </c>
      <c r="I1333" s="72">
        <v>25601.593799999999</v>
      </c>
      <c r="J1333" s="70">
        <v>355.71960000000001</v>
      </c>
      <c r="K1333" s="72">
        <v>1690.0579</v>
      </c>
      <c r="L1333" s="72">
        <v>29.3232</v>
      </c>
      <c r="M1333" s="70" t="s">
        <v>257</v>
      </c>
      <c r="N1333" s="77">
        <v>120.32</v>
      </c>
      <c r="O1333" s="70">
        <v>4</v>
      </c>
      <c r="P1333" s="70"/>
      <c r="Q1333" s="70" t="s">
        <v>360</v>
      </c>
    </row>
    <row r="1334" spans="1:17" ht="13.8" customHeight="1" x14ac:dyDescent="0.3">
      <c r="A1334" s="73" t="s">
        <v>387</v>
      </c>
      <c r="B1334" s="79">
        <v>46141</v>
      </c>
      <c r="C1334" s="73">
        <v>182</v>
      </c>
      <c r="D1334" s="73" t="s">
        <v>256</v>
      </c>
      <c r="E1334" s="73">
        <v>1</v>
      </c>
      <c r="F1334" s="75">
        <v>6.0678999999999998</v>
      </c>
      <c r="G1334" s="75">
        <v>25.792999999999999</v>
      </c>
      <c r="H1334" s="75">
        <v>9.6715999999999998</v>
      </c>
      <c r="I1334" s="75">
        <v>34214.148399999998</v>
      </c>
      <c r="J1334" s="73">
        <v>335.95299999999997</v>
      </c>
      <c r="K1334" s="75">
        <v>4687.3612999999996</v>
      </c>
      <c r="L1334" s="75">
        <v>25.346</v>
      </c>
      <c r="M1334" s="73">
        <v>10.8375</v>
      </c>
      <c r="N1334" s="76">
        <v>125.95</v>
      </c>
      <c r="O1334" s="73">
        <v>4</v>
      </c>
      <c r="P1334" s="73"/>
      <c r="Q1334" s="73" t="s">
        <v>360</v>
      </c>
    </row>
    <row r="1335" spans="1:17" ht="13.8" customHeight="1" x14ac:dyDescent="0.3">
      <c r="A1335" s="70" t="s">
        <v>387</v>
      </c>
      <c r="B1335" s="78">
        <v>46141</v>
      </c>
      <c r="C1335" s="70">
        <v>183</v>
      </c>
      <c r="D1335" s="70" t="s">
        <v>256</v>
      </c>
      <c r="E1335" s="70">
        <v>1</v>
      </c>
      <c r="F1335" s="72">
        <v>9.5460999999999991</v>
      </c>
      <c r="G1335" s="72">
        <v>28.871500000000001</v>
      </c>
      <c r="H1335" s="72">
        <v>8.077</v>
      </c>
      <c r="I1335" s="72">
        <v>37688.218800000002</v>
      </c>
      <c r="J1335" s="70">
        <v>303.86540000000002</v>
      </c>
      <c r="K1335" s="72">
        <v>11731.295899999999</v>
      </c>
      <c r="L1335" s="72">
        <v>20.098500000000001</v>
      </c>
      <c r="M1335" s="70">
        <v>4.992</v>
      </c>
      <c r="N1335" s="77">
        <v>120.08</v>
      </c>
      <c r="O1335" s="70">
        <v>4</v>
      </c>
      <c r="P1335" s="70"/>
      <c r="Q1335" s="70" t="s">
        <v>360</v>
      </c>
    </row>
    <row r="1336" spans="1:17" ht="13.8" customHeight="1" x14ac:dyDescent="0.3">
      <c r="A1336" s="73" t="s">
        <v>387</v>
      </c>
      <c r="B1336" s="79">
        <v>46141</v>
      </c>
      <c r="C1336" s="73">
        <v>184</v>
      </c>
      <c r="D1336" s="73" t="s">
        <v>256</v>
      </c>
      <c r="E1336" s="73">
        <v>2</v>
      </c>
      <c r="F1336" s="75">
        <v>19.752400000000002</v>
      </c>
      <c r="G1336" s="75">
        <v>39.786900000000003</v>
      </c>
      <c r="H1336" s="75">
        <v>12.1816</v>
      </c>
      <c r="I1336" s="75">
        <v>24121.345700000002</v>
      </c>
      <c r="J1336" s="73">
        <v>223.34690000000001</v>
      </c>
      <c r="K1336" s="75">
        <v>8553.0596000000005</v>
      </c>
      <c r="L1336" s="75">
        <v>11.1685</v>
      </c>
      <c r="M1336" s="73">
        <v>7.0656999999999996</v>
      </c>
      <c r="N1336" s="76">
        <v>126</v>
      </c>
      <c r="O1336" s="73">
        <v>4</v>
      </c>
      <c r="P1336" s="73"/>
      <c r="Q1336" s="73" t="s">
        <v>360</v>
      </c>
    </row>
    <row r="1337" spans="1:17" ht="13.8" customHeight="1" x14ac:dyDescent="0.3">
      <c r="A1337" s="70" t="s">
        <v>387</v>
      </c>
      <c r="B1337" s="78">
        <v>46141</v>
      </c>
      <c r="C1337" s="70">
        <v>185</v>
      </c>
      <c r="D1337" s="70" t="s">
        <v>256</v>
      </c>
      <c r="E1337" s="70">
        <v>2</v>
      </c>
      <c r="F1337" s="72">
        <v>14.8125</v>
      </c>
      <c r="G1337" s="72">
        <v>25.058900000000001</v>
      </c>
      <c r="H1337" s="72">
        <v>12.058999999999999</v>
      </c>
      <c r="I1337" s="72">
        <v>25172.964800000002</v>
      </c>
      <c r="J1337" s="70">
        <v>313.58870000000002</v>
      </c>
      <c r="K1337" s="72">
        <v>2022.6654000000001</v>
      </c>
      <c r="L1337" s="72">
        <v>21.1343</v>
      </c>
      <c r="M1337" s="70">
        <v>5.68</v>
      </c>
      <c r="N1337" s="77">
        <v>120.25</v>
      </c>
      <c r="O1337" s="70">
        <v>4</v>
      </c>
      <c r="P1337" s="70"/>
      <c r="Q1337" s="70" t="s">
        <v>360</v>
      </c>
    </row>
    <row r="1338" spans="1:17" ht="13.8" customHeight="1" x14ac:dyDescent="0.3">
      <c r="A1338" s="73" t="s">
        <v>387</v>
      </c>
      <c r="B1338" s="79">
        <v>46141</v>
      </c>
      <c r="C1338" s="73">
        <v>186</v>
      </c>
      <c r="D1338" s="73" t="s">
        <v>256</v>
      </c>
      <c r="E1338" s="73">
        <v>3</v>
      </c>
      <c r="F1338" s="75" t="s">
        <v>257</v>
      </c>
      <c r="G1338" s="75">
        <v>4.5388000000000002</v>
      </c>
      <c r="H1338" s="75">
        <v>7.7199</v>
      </c>
      <c r="I1338" s="75">
        <v>4079.5102999999999</v>
      </c>
      <c r="J1338" s="73" t="s">
        <v>257</v>
      </c>
      <c r="K1338" s="75">
        <v>2205.145</v>
      </c>
      <c r="L1338" s="75" t="s">
        <v>257</v>
      </c>
      <c r="M1338" s="73">
        <v>8.5028000000000006</v>
      </c>
      <c r="N1338" s="76">
        <v>125.95</v>
      </c>
      <c r="O1338" s="73">
        <v>4</v>
      </c>
      <c r="P1338" s="73"/>
      <c r="Q1338" s="73" t="s">
        <v>360</v>
      </c>
    </row>
    <row r="1339" spans="1:17" ht="13.8" customHeight="1" x14ac:dyDescent="0.3">
      <c r="A1339" s="70" t="s">
        <v>387</v>
      </c>
      <c r="B1339" s="78">
        <v>46141</v>
      </c>
      <c r="C1339" s="70">
        <v>187</v>
      </c>
      <c r="D1339" s="70" t="s">
        <v>256</v>
      </c>
      <c r="E1339" s="70">
        <v>3</v>
      </c>
      <c r="F1339" s="72" t="s">
        <v>257</v>
      </c>
      <c r="G1339" s="72">
        <v>5.5217999999999998</v>
      </c>
      <c r="H1339" s="72">
        <v>8.2705000000000002</v>
      </c>
      <c r="I1339" s="72">
        <v>4405.7484999999997</v>
      </c>
      <c r="J1339" s="70" t="s">
        <v>257</v>
      </c>
      <c r="K1339" s="72">
        <v>2337.9218999999998</v>
      </c>
      <c r="L1339" s="72" t="s">
        <v>257</v>
      </c>
      <c r="M1339" s="70">
        <v>11.9001</v>
      </c>
      <c r="N1339" s="77">
        <v>126.18</v>
      </c>
      <c r="O1339" s="70">
        <v>4</v>
      </c>
      <c r="P1339" s="70"/>
      <c r="Q1339" s="70" t="s">
        <v>360</v>
      </c>
    </row>
    <row r="1340" spans="1:17" ht="13.8" customHeight="1" x14ac:dyDescent="0.3">
      <c r="A1340" s="73" t="s">
        <v>387</v>
      </c>
      <c r="B1340" s="79">
        <v>46141</v>
      </c>
      <c r="C1340" s="73">
        <v>188</v>
      </c>
      <c r="D1340" s="73" t="s">
        <v>256</v>
      </c>
      <c r="E1340" s="73">
        <v>4</v>
      </c>
      <c r="F1340" s="75">
        <v>3.1825000000000001</v>
      </c>
      <c r="G1340" s="75">
        <v>12.515599999999999</v>
      </c>
      <c r="H1340" s="75">
        <v>9.2207000000000008</v>
      </c>
      <c r="I1340" s="75">
        <v>9943.6650000000009</v>
      </c>
      <c r="J1340" s="73">
        <v>92.671999999999997</v>
      </c>
      <c r="K1340" s="75">
        <v>1739.6204</v>
      </c>
      <c r="L1340" s="75">
        <v>13.6286</v>
      </c>
      <c r="M1340" s="73">
        <v>23.439299999999999</v>
      </c>
      <c r="N1340" s="76">
        <v>120.29</v>
      </c>
      <c r="O1340" s="73">
        <v>4</v>
      </c>
      <c r="P1340" s="73"/>
      <c r="Q1340" s="73" t="s">
        <v>360</v>
      </c>
    </row>
    <row r="1341" spans="1:17" ht="13.8" customHeight="1" x14ac:dyDescent="0.3">
      <c r="A1341" s="70" t="s">
        <v>387</v>
      </c>
      <c r="B1341" s="78">
        <v>46141</v>
      </c>
      <c r="C1341" s="70">
        <v>189</v>
      </c>
      <c r="D1341" s="70" t="s">
        <v>256</v>
      </c>
      <c r="E1341" s="70">
        <v>4</v>
      </c>
      <c r="F1341" s="72" t="s">
        <v>257</v>
      </c>
      <c r="G1341" s="72">
        <v>13.149900000000001</v>
      </c>
      <c r="H1341" s="72">
        <v>9.2789000000000001</v>
      </c>
      <c r="I1341" s="72">
        <v>10956.999</v>
      </c>
      <c r="J1341" s="70">
        <v>79.944599999999994</v>
      </c>
      <c r="K1341" s="72">
        <v>27713.845700000002</v>
      </c>
      <c r="L1341" s="72">
        <v>10.4331</v>
      </c>
      <c r="M1341" s="70">
        <v>19.7775</v>
      </c>
      <c r="N1341" s="77">
        <v>125.96</v>
      </c>
      <c r="O1341" s="70">
        <v>4</v>
      </c>
      <c r="P1341" s="70"/>
      <c r="Q1341" s="70" t="s">
        <v>360</v>
      </c>
    </row>
    <row r="1342" spans="1:17" ht="13.8" customHeight="1" x14ac:dyDescent="0.3">
      <c r="A1342" s="73" t="s">
        <v>387</v>
      </c>
      <c r="B1342" s="79">
        <v>46141</v>
      </c>
      <c r="C1342" s="73">
        <v>190</v>
      </c>
      <c r="D1342" s="73" t="s">
        <v>256</v>
      </c>
      <c r="E1342" s="73">
        <v>5</v>
      </c>
      <c r="F1342" s="75" t="s">
        <v>257</v>
      </c>
      <c r="G1342" s="75">
        <v>42.048999999999999</v>
      </c>
      <c r="H1342" s="75">
        <v>11.021599999999999</v>
      </c>
      <c r="I1342" s="75">
        <v>28159.101600000002</v>
      </c>
      <c r="J1342" s="73">
        <v>268.97570000000002</v>
      </c>
      <c r="K1342" s="75">
        <v>1991.5663999999999</v>
      </c>
      <c r="L1342" s="75">
        <v>18.253</v>
      </c>
      <c r="M1342" s="73">
        <v>22.224</v>
      </c>
      <c r="N1342" s="76">
        <v>126</v>
      </c>
      <c r="O1342" s="73">
        <v>4</v>
      </c>
      <c r="P1342" s="73"/>
      <c r="Q1342" s="73" t="s">
        <v>360</v>
      </c>
    </row>
    <row r="1343" spans="1:17" ht="13.8" customHeight="1" x14ac:dyDescent="0.3">
      <c r="A1343" s="70" t="s">
        <v>387</v>
      </c>
      <c r="B1343" s="78">
        <v>46141</v>
      </c>
      <c r="C1343" s="70">
        <v>191</v>
      </c>
      <c r="D1343" s="70" t="s">
        <v>256</v>
      </c>
      <c r="E1343" s="70">
        <v>5</v>
      </c>
      <c r="F1343" s="72">
        <v>2.5712000000000002</v>
      </c>
      <c r="G1343" s="72">
        <v>40.707900000000002</v>
      </c>
      <c r="H1343" s="72">
        <v>9.6495999999999995</v>
      </c>
      <c r="I1343" s="72">
        <v>26714.5039</v>
      </c>
      <c r="J1343" s="70">
        <v>249.92590000000001</v>
      </c>
      <c r="K1343" s="72">
        <v>1181.1484</v>
      </c>
      <c r="L1343" s="72">
        <v>17.595400000000001</v>
      </c>
      <c r="M1343" s="70">
        <v>19.054600000000001</v>
      </c>
      <c r="N1343" s="77">
        <v>120.7</v>
      </c>
      <c r="O1343" s="70">
        <v>4</v>
      </c>
      <c r="P1343" s="70"/>
      <c r="Q1343" s="70" t="s">
        <v>360</v>
      </c>
    </row>
    <row r="1344" spans="1:17" ht="13.8" customHeight="1" x14ac:dyDescent="0.3">
      <c r="A1344" s="73" t="s">
        <v>388</v>
      </c>
      <c r="B1344" s="79">
        <v>46141</v>
      </c>
      <c r="C1344" s="73">
        <v>192</v>
      </c>
      <c r="D1344" s="73" t="s">
        <v>256</v>
      </c>
      <c r="E1344" s="73">
        <v>1</v>
      </c>
      <c r="F1344" s="75">
        <v>275.084</v>
      </c>
      <c r="G1344" s="75">
        <v>17.192</v>
      </c>
      <c r="H1344" s="75">
        <v>185.61340000000001</v>
      </c>
      <c r="I1344" s="75">
        <v>157264.1562</v>
      </c>
      <c r="J1344" s="73" t="s">
        <v>257</v>
      </c>
      <c r="K1344" s="75">
        <v>61341.480499999998</v>
      </c>
      <c r="L1344" s="75" t="s">
        <v>257</v>
      </c>
      <c r="M1344" s="73">
        <v>41.5366</v>
      </c>
      <c r="N1344" s="76">
        <v>120.89</v>
      </c>
      <c r="O1344" s="73">
        <v>4</v>
      </c>
      <c r="P1344" s="73"/>
      <c r="Q1344" s="73" t="s">
        <v>360</v>
      </c>
    </row>
    <row r="1345" spans="1:17" ht="13.8" customHeight="1" x14ac:dyDescent="0.3">
      <c r="A1345" s="70" t="s">
        <v>388</v>
      </c>
      <c r="B1345" s="78">
        <v>46141</v>
      </c>
      <c r="C1345" s="70">
        <v>193</v>
      </c>
      <c r="D1345" s="70" t="s">
        <v>256</v>
      </c>
      <c r="E1345" s="70">
        <v>1</v>
      </c>
      <c r="F1345" s="72">
        <v>269.56490000000002</v>
      </c>
      <c r="G1345" s="72">
        <v>16.6891</v>
      </c>
      <c r="H1345" s="72">
        <v>184.786</v>
      </c>
      <c r="I1345" s="72">
        <v>158419.23439999999</v>
      </c>
      <c r="J1345" s="70" t="s">
        <v>257</v>
      </c>
      <c r="K1345" s="72">
        <v>64148.6875</v>
      </c>
      <c r="L1345" s="72" t="s">
        <v>257</v>
      </c>
      <c r="M1345" s="70">
        <v>36.903500000000001</v>
      </c>
      <c r="N1345" s="77">
        <v>126.3</v>
      </c>
      <c r="O1345" s="70">
        <v>4</v>
      </c>
      <c r="P1345" s="70"/>
      <c r="Q1345" s="70" t="s">
        <v>360</v>
      </c>
    </row>
    <row r="1346" spans="1:17" ht="13.8" customHeight="1" x14ac:dyDescent="0.3">
      <c r="A1346" s="73" t="s">
        <v>388</v>
      </c>
      <c r="B1346" s="79">
        <v>46141</v>
      </c>
      <c r="C1346" s="73">
        <v>194</v>
      </c>
      <c r="D1346" s="73" t="s">
        <v>256</v>
      </c>
      <c r="E1346" s="73">
        <v>1</v>
      </c>
      <c r="F1346" s="75" t="s">
        <v>257</v>
      </c>
      <c r="G1346" s="75">
        <v>6.5805999999999996</v>
      </c>
      <c r="H1346" s="75">
        <v>6.5614999999999997</v>
      </c>
      <c r="I1346" s="75">
        <v>76194.578099999999</v>
      </c>
      <c r="J1346" s="73">
        <v>343.49619999999999</v>
      </c>
      <c r="K1346" s="75">
        <v>32494.3086</v>
      </c>
      <c r="L1346" s="75">
        <v>24.736499999999999</v>
      </c>
      <c r="M1346" s="73">
        <v>20.048300000000001</v>
      </c>
      <c r="N1346" s="76">
        <v>120.75</v>
      </c>
      <c r="O1346" s="73">
        <v>4</v>
      </c>
      <c r="P1346" s="73"/>
      <c r="Q1346" s="73" t="s">
        <v>360</v>
      </c>
    </row>
    <row r="1347" spans="1:17" ht="13.8" customHeight="1" x14ac:dyDescent="0.3">
      <c r="A1347" s="70" t="s">
        <v>388</v>
      </c>
      <c r="B1347" s="78">
        <v>46141</v>
      </c>
      <c r="C1347" s="70">
        <v>195</v>
      </c>
      <c r="D1347" s="70" t="s">
        <v>256</v>
      </c>
      <c r="E1347" s="70">
        <v>2</v>
      </c>
      <c r="F1347" s="72">
        <v>2.9443000000000001</v>
      </c>
      <c r="G1347" s="72">
        <v>5.5180999999999996</v>
      </c>
      <c r="H1347" s="72">
        <v>7.7206999999999999</v>
      </c>
      <c r="I1347" s="72">
        <v>72328.679699999993</v>
      </c>
      <c r="J1347" s="70">
        <v>343.07670000000002</v>
      </c>
      <c r="K1347" s="72">
        <v>27341.578099999999</v>
      </c>
      <c r="L1347" s="72">
        <v>30.9069</v>
      </c>
      <c r="M1347" s="70">
        <v>22.3855</v>
      </c>
      <c r="N1347" s="77">
        <v>97.02</v>
      </c>
      <c r="O1347" s="70">
        <v>4</v>
      </c>
      <c r="P1347" s="70"/>
      <c r="Q1347" s="70" t="s">
        <v>360</v>
      </c>
    </row>
    <row r="1348" spans="1:17" ht="13.8" customHeight="1" x14ac:dyDescent="0.3">
      <c r="A1348" s="73" t="s">
        <v>388</v>
      </c>
      <c r="B1348" s="79">
        <v>46141</v>
      </c>
      <c r="C1348" s="73">
        <v>196</v>
      </c>
      <c r="D1348" s="73" t="s">
        <v>256</v>
      </c>
      <c r="E1348" s="73">
        <v>2</v>
      </c>
      <c r="F1348" s="75" t="s">
        <v>257</v>
      </c>
      <c r="G1348" s="75">
        <v>1.9857</v>
      </c>
      <c r="H1348" s="75">
        <v>6.3707000000000003</v>
      </c>
      <c r="I1348" s="75">
        <v>46498.015599999999</v>
      </c>
      <c r="J1348" s="73">
        <v>471.23849999999999</v>
      </c>
      <c r="K1348" s="75">
        <v>15841.4766</v>
      </c>
      <c r="L1348" s="75">
        <v>34.345599999999997</v>
      </c>
      <c r="M1348" s="73">
        <v>24.469899999999999</v>
      </c>
      <c r="N1348" s="76">
        <v>126.24</v>
      </c>
      <c r="O1348" s="73">
        <v>4</v>
      </c>
      <c r="P1348" s="73"/>
      <c r="Q1348" s="73" t="s">
        <v>360</v>
      </c>
    </row>
    <row r="1349" spans="1:17" ht="13.8" customHeight="1" x14ac:dyDescent="0.3">
      <c r="A1349" s="70" t="s">
        <v>388</v>
      </c>
      <c r="B1349" s="78">
        <v>46141</v>
      </c>
      <c r="C1349" s="70">
        <v>197</v>
      </c>
      <c r="D1349" s="70" t="s">
        <v>256</v>
      </c>
      <c r="E1349" s="70">
        <v>2</v>
      </c>
      <c r="F1349" s="72" t="s">
        <v>257</v>
      </c>
      <c r="G1349" s="72">
        <v>1.3526</v>
      </c>
      <c r="H1349" s="72">
        <v>8.5170999999999992</v>
      </c>
      <c r="I1349" s="72">
        <v>48276.066400000003</v>
      </c>
      <c r="J1349" s="70">
        <v>464.87509999999997</v>
      </c>
      <c r="K1349" s="72">
        <v>13831.8076</v>
      </c>
      <c r="L1349" s="72">
        <v>41.656100000000002</v>
      </c>
      <c r="M1349" s="70">
        <v>17.133900000000001</v>
      </c>
      <c r="N1349" s="77">
        <v>126.1</v>
      </c>
      <c r="O1349" s="70">
        <v>4</v>
      </c>
      <c r="P1349" s="70"/>
      <c r="Q1349" s="70" t="s">
        <v>360</v>
      </c>
    </row>
    <row r="1350" spans="1:17" ht="13.8" customHeight="1" x14ac:dyDescent="0.3">
      <c r="A1350" s="73" t="s">
        <v>388</v>
      </c>
      <c r="B1350" s="79">
        <v>46141</v>
      </c>
      <c r="C1350" s="73">
        <v>198</v>
      </c>
      <c r="D1350" s="73" t="s">
        <v>256</v>
      </c>
      <c r="E1350" s="73">
        <v>3</v>
      </c>
      <c r="F1350" s="75">
        <v>17.321000000000002</v>
      </c>
      <c r="G1350" s="75">
        <v>4.6167999999999996</v>
      </c>
      <c r="H1350" s="75">
        <v>12.9762</v>
      </c>
      <c r="I1350" s="75">
        <v>61799.148399999998</v>
      </c>
      <c r="J1350" s="73">
        <v>352.7552</v>
      </c>
      <c r="K1350" s="75">
        <v>37369.128900000003</v>
      </c>
      <c r="L1350" s="75">
        <v>26.846</v>
      </c>
      <c r="M1350" s="73">
        <v>14.818</v>
      </c>
      <c r="N1350" s="76">
        <v>120.77</v>
      </c>
      <c r="O1350" s="73">
        <v>4</v>
      </c>
      <c r="P1350" s="73"/>
      <c r="Q1350" s="73" t="s">
        <v>360</v>
      </c>
    </row>
    <row r="1351" spans="1:17" ht="13.8" customHeight="1" x14ac:dyDescent="0.3">
      <c r="A1351" s="70" t="s">
        <v>388</v>
      </c>
      <c r="B1351" s="78">
        <v>46141</v>
      </c>
      <c r="C1351" s="70">
        <v>199</v>
      </c>
      <c r="D1351" s="70" t="s">
        <v>256</v>
      </c>
      <c r="E1351" s="70">
        <v>3</v>
      </c>
      <c r="F1351" s="72">
        <v>81.124600000000001</v>
      </c>
      <c r="G1351" s="72">
        <v>8.0029000000000003</v>
      </c>
      <c r="H1351" s="72">
        <v>23.1342</v>
      </c>
      <c r="I1351" s="72">
        <v>74475.796900000001</v>
      </c>
      <c r="J1351" s="70">
        <v>241.0522</v>
      </c>
      <c r="K1351" s="72">
        <v>42172.203099999999</v>
      </c>
      <c r="L1351" s="72">
        <v>21.732399999999998</v>
      </c>
      <c r="M1351" s="70">
        <v>16.784199999999998</v>
      </c>
      <c r="N1351" s="77">
        <v>120.55</v>
      </c>
      <c r="O1351" s="70">
        <v>4</v>
      </c>
      <c r="P1351" s="70"/>
      <c r="Q1351" s="70" t="s">
        <v>360</v>
      </c>
    </row>
    <row r="1352" spans="1:17" ht="13.8" customHeight="1" x14ac:dyDescent="0.3">
      <c r="A1352" s="73" t="s">
        <v>388</v>
      </c>
      <c r="B1352" s="79">
        <v>46141</v>
      </c>
      <c r="C1352" s="73">
        <v>200</v>
      </c>
      <c r="D1352" s="73" t="s">
        <v>256</v>
      </c>
      <c r="E1352" s="73">
        <v>4</v>
      </c>
      <c r="F1352" s="75">
        <v>90.882000000000005</v>
      </c>
      <c r="G1352" s="75">
        <v>5.5488999999999997</v>
      </c>
      <c r="H1352" s="75">
        <v>30.023099999999999</v>
      </c>
      <c r="I1352" s="75">
        <v>81666.953099999999</v>
      </c>
      <c r="J1352" s="73">
        <v>194.73320000000001</v>
      </c>
      <c r="K1352" s="75">
        <v>42614.0625</v>
      </c>
      <c r="L1352" s="75">
        <v>13.129</v>
      </c>
      <c r="M1352" s="73">
        <v>19.070599999999999</v>
      </c>
      <c r="N1352" s="76">
        <v>126.15</v>
      </c>
      <c r="O1352" s="73">
        <v>4</v>
      </c>
      <c r="P1352" s="73"/>
      <c r="Q1352" s="73" t="s">
        <v>360</v>
      </c>
    </row>
    <row r="1353" spans="1:17" ht="13.8" customHeight="1" x14ac:dyDescent="0.3">
      <c r="A1353" s="70" t="s">
        <v>388</v>
      </c>
      <c r="B1353" s="78">
        <v>46141</v>
      </c>
      <c r="C1353" s="70">
        <v>201</v>
      </c>
      <c r="D1353" s="70" t="s">
        <v>256</v>
      </c>
      <c r="E1353" s="70">
        <v>4</v>
      </c>
      <c r="F1353" s="72">
        <v>40.311599999999999</v>
      </c>
      <c r="G1353" s="72">
        <v>4.8981000000000003</v>
      </c>
      <c r="H1353" s="72">
        <v>13.5646</v>
      </c>
      <c r="I1353" s="72">
        <v>65756.656199999998</v>
      </c>
      <c r="J1353" s="70">
        <v>325.54059999999998</v>
      </c>
      <c r="K1353" s="72">
        <v>30658.5645</v>
      </c>
      <c r="L1353" s="72">
        <v>21.257100000000001</v>
      </c>
      <c r="M1353" s="70">
        <v>24.663499999999999</v>
      </c>
      <c r="N1353" s="77">
        <v>120.76</v>
      </c>
      <c r="O1353" s="70">
        <v>4</v>
      </c>
      <c r="P1353" s="70"/>
      <c r="Q1353" s="70" t="s">
        <v>360</v>
      </c>
    </row>
    <row r="1354" spans="1:17" ht="13.8" customHeight="1" x14ac:dyDescent="0.3">
      <c r="A1354" s="73" t="s">
        <v>388</v>
      </c>
      <c r="B1354" s="79">
        <v>46141</v>
      </c>
      <c r="C1354" s="73">
        <v>202</v>
      </c>
      <c r="D1354" s="73" t="s">
        <v>256</v>
      </c>
      <c r="E1354" s="73">
        <v>5</v>
      </c>
      <c r="F1354" s="75">
        <v>10.6073</v>
      </c>
      <c r="G1354" s="75">
        <v>5.1963999999999997</v>
      </c>
      <c r="H1354" s="75">
        <v>9.8767999999999994</v>
      </c>
      <c r="I1354" s="75">
        <v>63544.042999999998</v>
      </c>
      <c r="J1354" s="73">
        <v>311.96949999999998</v>
      </c>
      <c r="K1354" s="75">
        <v>29386.925800000001</v>
      </c>
      <c r="L1354" s="75">
        <v>22.264800000000001</v>
      </c>
      <c r="M1354" s="73">
        <v>16.845099999999999</v>
      </c>
      <c r="N1354" s="76">
        <v>120.64</v>
      </c>
      <c r="O1354" s="73">
        <v>4</v>
      </c>
      <c r="P1354" s="73"/>
      <c r="Q1354" s="73" t="s">
        <v>360</v>
      </c>
    </row>
    <row r="1355" spans="1:17" ht="13.8" customHeight="1" x14ac:dyDescent="0.3">
      <c r="A1355" s="70" t="s">
        <v>388</v>
      </c>
      <c r="B1355" s="78">
        <v>46141</v>
      </c>
      <c r="C1355" s="70">
        <v>203</v>
      </c>
      <c r="D1355" s="70" t="s">
        <v>256</v>
      </c>
      <c r="E1355" s="70">
        <v>5</v>
      </c>
      <c r="F1355" s="72">
        <v>5.9194000000000004</v>
      </c>
      <c r="G1355" s="72">
        <v>4.7923</v>
      </c>
      <c r="H1355" s="72">
        <v>12.072800000000001</v>
      </c>
      <c r="I1355" s="72">
        <v>65942.414099999995</v>
      </c>
      <c r="J1355" s="70">
        <v>286.97239999999999</v>
      </c>
      <c r="K1355" s="72">
        <v>52038.710899999998</v>
      </c>
      <c r="L1355" s="72">
        <v>24.266999999999999</v>
      </c>
      <c r="M1355" s="70">
        <v>23.111699999999999</v>
      </c>
      <c r="N1355" s="77">
        <v>125.95</v>
      </c>
      <c r="O1355" s="70">
        <v>4</v>
      </c>
      <c r="P1355" s="70"/>
      <c r="Q1355" s="70" t="s">
        <v>360</v>
      </c>
    </row>
    <row r="1356" spans="1:17" ht="13.8" customHeight="1" x14ac:dyDescent="0.3">
      <c r="A1356" s="73" t="s">
        <v>389</v>
      </c>
      <c r="B1356" s="79">
        <v>46141</v>
      </c>
      <c r="C1356" s="73">
        <v>204</v>
      </c>
      <c r="D1356" s="73" t="s">
        <v>256</v>
      </c>
      <c r="E1356" s="73">
        <v>1</v>
      </c>
      <c r="F1356" s="75">
        <v>4.8564999999999996</v>
      </c>
      <c r="G1356" s="75">
        <v>1.6164000000000001</v>
      </c>
      <c r="H1356" s="75">
        <v>6.8124000000000002</v>
      </c>
      <c r="I1356" s="75">
        <v>31780.5527</v>
      </c>
      <c r="J1356" s="73">
        <v>415.2636</v>
      </c>
      <c r="K1356" s="75">
        <v>946.2681</v>
      </c>
      <c r="L1356" s="75">
        <v>25.335999999999999</v>
      </c>
      <c r="M1356" s="73" t="s">
        <v>257</v>
      </c>
      <c r="N1356" s="76">
        <v>120.24</v>
      </c>
      <c r="O1356" s="73">
        <v>4</v>
      </c>
      <c r="P1356" s="73"/>
      <c r="Q1356" s="73" t="s">
        <v>360</v>
      </c>
    </row>
    <row r="1357" spans="1:17" ht="13.8" customHeight="1" x14ac:dyDescent="0.3">
      <c r="A1357" s="70" t="s">
        <v>389</v>
      </c>
      <c r="B1357" s="78">
        <v>46141</v>
      </c>
      <c r="C1357" s="70">
        <v>205</v>
      </c>
      <c r="D1357" s="70" t="s">
        <v>256</v>
      </c>
      <c r="E1357" s="70">
        <v>1</v>
      </c>
      <c r="F1357" s="72" t="s">
        <v>257</v>
      </c>
      <c r="G1357" s="72" t="s">
        <v>257</v>
      </c>
      <c r="H1357" s="72">
        <v>9.1267999999999994</v>
      </c>
      <c r="I1357" s="72">
        <v>33972.972699999998</v>
      </c>
      <c r="J1357" s="70">
        <v>418.11360000000002</v>
      </c>
      <c r="K1357" s="72">
        <v>1127.3191999999999</v>
      </c>
      <c r="L1357" s="72">
        <v>23.967400000000001</v>
      </c>
      <c r="M1357" s="70">
        <v>10.8926</v>
      </c>
      <c r="N1357" s="77">
        <v>126.02</v>
      </c>
      <c r="O1357" s="70">
        <v>4</v>
      </c>
      <c r="P1357" s="70"/>
      <c r="Q1357" s="70" t="s">
        <v>360</v>
      </c>
    </row>
    <row r="1358" spans="1:17" ht="13.8" customHeight="1" x14ac:dyDescent="0.3">
      <c r="A1358" s="73" t="s">
        <v>389</v>
      </c>
      <c r="B1358" s="79">
        <v>46141</v>
      </c>
      <c r="C1358" s="73">
        <v>206</v>
      </c>
      <c r="D1358" s="73" t="s">
        <v>256</v>
      </c>
      <c r="E1358" s="73">
        <v>2</v>
      </c>
      <c r="F1358" s="75">
        <v>3.6021999999999998</v>
      </c>
      <c r="G1358" s="75">
        <v>1.3944000000000001</v>
      </c>
      <c r="H1358" s="75">
        <v>9.1105</v>
      </c>
      <c r="I1358" s="75">
        <v>26595.158200000002</v>
      </c>
      <c r="J1358" s="73">
        <v>331.83819999999997</v>
      </c>
      <c r="K1358" s="75">
        <v>1092.9056</v>
      </c>
      <c r="L1358" s="75">
        <v>21.665700000000001</v>
      </c>
      <c r="M1358" s="73">
        <v>8.0527999999999995</v>
      </c>
      <c r="N1358" s="76">
        <v>120.68</v>
      </c>
      <c r="O1358" s="73">
        <v>4</v>
      </c>
      <c r="P1358" s="73"/>
      <c r="Q1358" s="73" t="s">
        <v>360</v>
      </c>
    </row>
    <row r="1359" spans="1:17" ht="13.8" customHeight="1" x14ac:dyDescent="0.3">
      <c r="A1359" s="70" t="s">
        <v>389</v>
      </c>
      <c r="B1359" s="78">
        <v>46141</v>
      </c>
      <c r="C1359" s="70">
        <v>207</v>
      </c>
      <c r="D1359" s="70" t="s">
        <v>256</v>
      </c>
      <c r="E1359" s="70">
        <v>2</v>
      </c>
      <c r="F1359" s="72">
        <v>5.81</v>
      </c>
      <c r="G1359" s="72">
        <v>3.0807000000000002</v>
      </c>
      <c r="H1359" s="72">
        <v>6.9138000000000002</v>
      </c>
      <c r="I1359" s="72">
        <v>26772.160199999998</v>
      </c>
      <c r="J1359" s="70">
        <v>336.37299999999999</v>
      </c>
      <c r="K1359" s="72">
        <v>1582.7994000000001</v>
      </c>
      <c r="L1359" s="72">
        <v>19.867899999999999</v>
      </c>
      <c r="M1359" s="70">
        <v>4.7736999999999998</v>
      </c>
      <c r="N1359" s="77">
        <v>126.05</v>
      </c>
      <c r="O1359" s="70">
        <v>4</v>
      </c>
      <c r="P1359" s="70"/>
      <c r="Q1359" s="70" t="s">
        <v>360</v>
      </c>
    </row>
    <row r="1360" spans="1:17" ht="13.8" customHeight="1" x14ac:dyDescent="0.3">
      <c r="A1360" s="73" t="s">
        <v>389</v>
      </c>
      <c r="B1360" s="79">
        <v>46141</v>
      </c>
      <c r="C1360" s="73">
        <v>208</v>
      </c>
      <c r="D1360" s="73" t="s">
        <v>256</v>
      </c>
      <c r="E1360" s="73">
        <v>3</v>
      </c>
      <c r="F1360" s="75">
        <v>59.050199999999997</v>
      </c>
      <c r="G1360" s="75">
        <v>6.3764000000000003</v>
      </c>
      <c r="H1360" s="75">
        <v>7.3139000000000003</v>
      </c>
      <c r="I1360" s="75">
        <v>94911.726599999995</v>
      </c>
      <c r="J1360" s="73">
        <v>111.38849999999999</v>
      </c>
      <c r="K1360" s="75">
        <v>43713.468800000002</v>
      </c>
      <c r="L1360" s="75">
        <v>9.5170999999999992</v>
      </c>
      <c r="M1360" s="73">
        <v>25.5852</v>
      </c>
      <c r="N1360" s="76">
        <v>125.97</v>
      </c>
      <c r="O1360" s="73">
        <v>4</v>
      </c>
      <c r="P1360" s="73"/>
      <c r="Q1360" s="73" t="s">
        <v>360</v>
      </c>
    </row>
    <row r="1361" spans="1:17" ht="13.8" customHeight="1" x14ac:dyDescent="0.3">
      <c r="A1361" s="70" t="s">
        <v>389</v>
      </c>
      <c r="B1361" s="78">
        <v>46141</v>
      </c>
      <c r="C1361" s="70">
        <v>209</v>
      </c>
      <c r="D1361" s="70" t="s">
        <v>256</v>
      </c>
      <c r="E1361" s="70">
        <v>3</v>
      </c>
      <c r="F1361" s="72">
        <v>58.557099999999998</v>
      </c>
      <c r="G1361" s="72">
        <v>8.0320999999999998</v>
      </c>
      <c r="H1361" s="72">
        <v>5.8517999999999999</v>
      </c>
      <c r="I1361" s="72">
        <v>95310.914099999995</v>
      </c>
      <c r="J1361" s="70">
        <v>97.547300000000007</v>
      </c>
      <c r="K1361" s="72">
        <v>21369.023399999998</v>
      </c>
      <c r="L1361" s="72">
        <v>11.1236</v>
      </c>
      <c r="M1361" s="70">
        <v>30.717600000000001</v>
      </c>
      <c r="N1361" s="77">
        <v>126.14</v>
      </c>
      <c r="O1361" s="70">
        <v>4</v>
      </c>
      <c r="P1361" s="70"/>
      <c r="Q1361" s="70" t="s">
        <v>360</v>
      </c>
    </row>
    <row r="1362" spans="1:17" ht="13.8" customHeight="1" x14ac:dyDescent="0.3">
      <c r="A1362" s="73" t="s">
        <v>389</v>
      </c>
      <c r="B1362" s="79">
        <v>46141</v>
      </c>
      <c r="C1362" s="73">
        <v>210</v>
      </c>
      <c r="D1362" s="73" t="s">
        <v>256</v>
      </c>
      <c r="E1362" s="73">
        <v>4</v>
      </c>
      <c r="F1362" s="75">
        <v>3.6048</v>
      </c>
      <c r="G1362" s="75">
        <v>15.6877</v>
      </c>
      <c r="H1362" s="75">
        <v>9.4329999999999998</v>
      </c>
      <c r="I1362" s="75">
        <v>37094.140599999999</v>
      </c>
      <c r="J1362" s="73">
        <v>92.751400000000004</v>
      </c>
      <c r="K1362" s="75">
        <v>2471.0014999999999</v>
      </c>
      <c r="L1362" s="75">
        <v>6.0077999999999996</v>
      </c>
      <c r="M1362" s="73">
        <v>10.770200000000001</v>
      </c>
      <c r="N1362" s="76">
        <v>120.68</v>
      </c>
      <c r="O1362" s="73">
        <v>4</v>
      </c>
      <c r="P1362" s="73"/>
      <c r="Q1362" s="73" t="s">
        <v>360</v>
      </c>
    </row>
    <row r="1363" spans="1:17" ht="13.8" customHeight="1" x14ac:dyDescent="0.3">
      <c r="A1363" s="70" t="s">
        <v>389</v>
      </c>
      <c r="B1363" s="78">
        <v>46141</v>
      </c>
      <c r="C1363" s="70">
        <v>211</v>
      </c>
      <c r="D1363" s="70" t="s">
        <v>256</v>
      </c>
      <c r="E1363" s="70">
        <v>4</v>
      </c>
      <c r="F1363" s="72">
        <v>5.3556999999999997</v>
      </c>
      <c r="G1363" s="72">
        <v>18.804500000000001</v>
      </c>
      <c r="H1363" s="72">
        <v>16.851400000000002</v>
      </c>
      <c r="I1363" s="72">
        <v>34292.789100000002</v>
      </c>
      <c r="J1363" s="70">
        <v>69.9482</v>
      </c>
      <c r="K1363" s="72">
        <v>1163.7985000000001</v>
      </c>
      <c r="L1363" s="72">
        <v>9.5625999999999998</v>
      </c>
      <c r="M1363" s="70">
        <v>11.171900000000001</v>
      </c>
      <c r="N1363" s="77">
        <v>120.22</v>
      </c>
      <c r="O1363" s="70">
        <v>4</v>
      </c>
      <c r="P1363" s="70"/>
      <c r="Q1363" s="70" t="s">
        <v>360</v>
      </c>
    </row>
    <row r="1364" spans="1:17" ht="13.8" customHeight="1" x14ac:dyDescent="0.3">
      <c r="A1364" s="73" t="s">
        <v>389</v>
      </c>
      <c r="B1364" s="79">
        <v>46141</v>
      </c>
      <c r="C1364" s="73">
        <v>212</v>
      </c>
      <c r="D1364" s="73" t="s">
        <v>256</v>
      </c>
      <c r="E1364" s="73">
        <v>5</v>
      </c>
      <c r="F1364" s="75" t="s">
        <v>257</v>
      </c>
      <c r="G1364" s="75">
        <v>4.5975999999999999</v>
      </c>
      <c r="H1364" s="75">
        <v>7.0521000000000003</v>
      </c>
      <c r="I1364" s="75">
        <v>27287.5684</v>
      </c>
      <c r="J1364" s="73">
        <v>169.17490000000001</v>
      </c>
      <c r="K1364" s="75">
        <v>1172.9899</v>
      </c>
      <c r="L1364" s="75">
        <v>15.7813</v>
      </c>
      <c r="M1364" s="73">
        <v>7.3367000000000004</v>
      </c>
      <c r="N1364" s="76">
        <v>126.2</v>
      </c>
      <c r="O1364" s="73">
        <v>4</v>
      </c>
      <c r="P1364" s="73"/>
      <c r="Q1364" s="73" t="s">
        <v>360</v>
      </c>
    </row>
    <row r="1365" spans="1:17" ht="13.8" customHeight="1" x14ac:dyDescent="0.3">
      <c r="A1365" s="70" t="s">
        <v>389</v>
      </c>
      <c r="B1365" s="78">
        <v>46141</v>
      </c>
      <c r="C1365" s="70">
        <v>213</v>
      </c>
      <c r="D1365" s="70" t="s">
        <v>256</v>
      </c>
      <c r="E1365" s="70">
        <v>5</v>
      </c>
      <c r="F1365" s="72">
        <v>2.9304999999999999</v>
      </c>
      <c r="G1365" s="72">
        <v>19.807200000000002</v>
      </c>
      <c r="H1365" s="72">
        <v>11.4154</v>
      </c>
      <c r="I1365" s="72">
        <v>43463.023399999998</v>
      </c>
      <c r="J1365" s="70">
        <v>154.24469999999999</v>
      </c>
      <c r="K1365" s="72">
        <v>1483.047</v>
      </c>
      <c r="L1365" s="72">
        <v>15.265000000000001</v>
      </c>
      <c r="M1365" s="70">
        <v>12.0585</v>
      </c>
      <c r="N1365" s="77">
        <v>126.05</v>
      </c>
      <c r="O1365" s="70">
        <v>4</v>
      </c>
      <c r="P1365" s="70"/>
      <c r="Q1365" s="70" t="s">
        <v>360</v>
      </c>
    </row>
    <row r="1366" spans="1:17" ht="13.8" customHeight="1" x14ac:dyDescent="0.3">
      <c r="A1366" s="73" t="s">
        <v>390</v>
      </c>
      <c r="B1366" s="79">
        <v>46141</v>
      </c>
      <c r="C1366" s="73">
        <v>214</v>
      </c>
      <c r="D1366" s="73" t="s">
        <v>256</v>
      </c>
      <c r="E1366" s="73">
        <v>1</v>
      </c>
      <c r="F1366" s="75">
        <v>3.1071</v>
      </c>
      <c r="G1366" s="75">
        <v>4.5937999999999999</v>
      </c>
      <c r="H1366" s="75">
        <v>17.340900000000001</v>
      </c>
      <c r="I1366" s="75">
        <v>57151.238299999997</v>
      </c>
      <c r="J1366" s="73">
        <v>542.02179999999998</v>
      </c>
      <c r="K1366" s="75">
        <v>21688.785199999998</v>
      </c>
      <c r="L1366" s="75">
        <v>41.465400000000002</v>
      </c>
      <c r="M1366" s="73">
        <v>24.922899999999998</v>
      </c>
      <c r="N1366" s="76">
        <v>120.59</v>
      </c>
      <c r="O1366" s="73">
        <v>4</v>
      </c>
      <c r="P1366" s="73"/>
      <c r="Q1366" s="73" t="s">
        <v>360</v>
      </c>
    </row>
    <row r="1367" spans="1:17" ht="13.8" customHeight="1" x14ac:dyDescent="0.3">
      <c r="A1367" s="70" t="s">
        <v>390</v>
      </c>
      <c r="B1367" s="78">
        <v>46141</v>
      </c>
      <c r="C1367" s="70">
        <v>215</v>
      </c>
      <c r="D1367" s="70" t="s">
        <v>256</v>
      </c>
      <c r="E1367" s="70">
        <v>1</v>
      </c>
      <c r="F1367" s="72">
        <v>7.9070999999999998</v>
      </c>
      <c r="G1367" s="72">
        <v>4.9781000000000004</v>
      </c>
      <c r="H1367" s="72">
        <v>25.271100000000001</v>
      </c>
      <c r="I1367" s="72">
        <v>62553.843800000002</v>
      </c>
      <c r="J1367" s="70">
        <v>506.35480000000001</v>
      </c>
      <c r="K1367" s="72">
        <v>23387.011699999999</v>
      </c>
      <c r="L1367" s="72">
        <v>36.7044</v>
      </c>
      <c r="M1367" s="70">
        <v>27.660399999999999</v>
      </c>
      <c r="N1367" s="77">
        <v>120.73</v>
      </c>
      <c r="O1367" s="70">
        <v>4</v>
      </c>
      <c r="P1367" s="70"/>
      <c r="Q1367" s="70" t="s">
        <v>360</v>
      </c>
    </row>
    <row r="1368" spans="1:17" ht="13.8" customHeight="1" x14ac:dyDescent="0.3">
      <c r="A1368" s="73" t="s">
        <v>390</v>
      </c>
      <c r="B1368" s="79">
        <v>46141</v>
      </c>
      <c r="C1368" s="73">
        <v>216</v>
      </c>
      <c r="D1368" s="73" t="s">
        <v>256</v>
      </c>
      <c r="E1368" s="73">
        <v>2</v>
      </c>
      <c r="F1368" s="75">
        <v>3.1150000000000002</v>
      </c>
      <c r="G1368" s="75">
        <v>3.5743999999999998</v>
      </c>
      <c r="H1368" s="75">
        <v>28.280200000000001</v>
      </c>
      <c r="I1368" s="75">
        <v>57044.816400000003</v>
      </c>
      <c r="J1368" s="73">
        <v>616.17660000000001</v>
      </c>
      <c r="K1368" s="75">
        <v>14170.9326</v>
      </c>
      <c r="L1368" s="75">
        <v>45.031300000000002</v>
      </c>
      <c r="M1368" s="73">
        <v>23.1264</v>
      </c>
      <c r="N1368" s="76">
        <v>120.68</v>
      </c>
      <c r="O1368" s="73">
        <v>4</v>
      </c>
      <c r="P1368" s="73"/>
      <c r="Q1368" s="73" t="s">
        <v>360</v>
      </c>
    </row>
    <row r="1369" spans="1:17" ht="13.8" customHeight="1" x14ac:dyDescent="0.3">
      <c r="A1369" s="70" t="s">
        <v>390</v>
      </c>
      <c r="B1369" s="78">
        <v>46141</v>
      </c>
      <c r="C1369" s="70">
        <v>217</v>
      </c>
      <c r="D1369" s="70" t="s">
        <v>256</v>
      </c>
      <c r="E1369" s="70">
        <v>2</v>
      </c>
      <c r="F1369" s="72" t="s">
        <v>257</v>
      </c>
      <c r="G1369" s="72">
        <v>2.1833</v>
      </c>
      <c r="H1369" s="72">
        <v>19.930499999999999</v>
      </c>
      <c r="I1369" s="72">
        <v>52409.304700000001</v>
      </c>
      <c r="J1369" s="70">
        <v>654.73389999999995</v>
      </c>
      <c r="K1369" s="72">
        <v>13328.127899999999</v>
      </c>
      <c r="L1369" s="72">
        <v>44.777799999999999</v>
      </c>
      <c r="M1369" s="70">
        <v>22.9635</v>
      </c>
      <c r="N1369" s="77">
        <v>120.67</v>
      </c>
      <c r="O1369" s="70">
        <v>4</v>
      </c>
      <c r="P1369" s="70"/>
      <c r="Q1369" s="70" t="s">
        <v>360</v>
      </c>
    </row>
    <row r="1370" spans="1:17" ht="13.8" customHeight="1" x14ac:dyDescent="0.3">
      <c r="A1370" s="73" t="s">
        <v>390</v>
      </c>
      <c r="B1370" s="79">
        <v>46141</v>
      </c>
      <c r="C1370" s="73">
        <v>218</v>
      </c>
      <c r="D1370" s="73" t="s">
        <v>256</v>
      </c>
      <c r="E1370" s="73">
        <v>3</v>
      </c>
      <c r="F1370" s="75">
        <v>4.8489000000000004</v>
      </c>
      <c r="G1370" s="75">
        <v>5.9061000000000003</v>
      </c>
      <c r="H1370" s="75">
        <v>10.4892</v>
      </c>
      <c r="I1370" s="75">
        <v>81343.156199999998</v>
      </c>
      <c r="J1370" s="73">
        <v>497.75049999999999</v>
      </c>
      <c r="K1370" s="75">
        <v>23051.269499999999</v>
      </c>
      <c r="L1370" s="75">
        <v>42.761899999999997</v>
      </c>
      <c r="M1370" s="73">
        <v>41.341200000000001</v>
      </c>
      <c r="N1370" s="76">
        <v>120.76</v>
      </c>
      <c r="O1370" s="73">
        <v>4</v>
      </c>
      <c r="P1370" s="73"/>
      <c r="Q1370" s="73" t="s">
        <v>360</v>
      </c>
    </row>
    <row r="1371" spans="1:17" ht="13.8" customHeight="1" x14ac:dyDescent="0.3">
      <c r="A1371" s="70" t="s">
        <v>390</v>
      </c>
      <c r="B1371" s="78">
        <v>46141</v>
      </c>
      <c r="C1371" s="70">
        <v>219</v>
      </c>
      <c r="D1371" s="70" t="s">
        <v>256</v>
      </c>
      <c r="E1371" s="70">
        <v>3</v>
      </c>
      <c r="F1371" s="72">
        <v>6.6119000000000003</v>
      </c>
      <c r="G1371" s="72">
        <v>5.2126999999999999</v>
      </c>
      <c r="H1371" s="72">
        <v>12.5806</v>
      </c>
      <c r="I1371" s="72">
        <v>95932.5625</v>
      </c>
      <c r="J1371" s="70">
        <v>434.93799999999999</v>
      </c>
      <c r="K1371" s="72">
        <v>25376.894499999999</v>
      </c>
      <c r="L1371" s="72">
        <v>32.653799999999997</v>
      </c>
      <c r="M1371" s="70">
        <v>36.606000000000002</v>
      </c>
      <c r="N1371" s="77">
        <v>120.65</v>
      </c>
      <c r="O1371" s="70">
        <v>4</v>
      </c>
      <c r="P1371" s="70"/>
      <c r="Q1371" s="70" t="s">
        <v>360</v>
      </c>
    </row>
    <row r="1372" spans="1:17" ht="13.8" customHeight="1" x14ac:dyDescent="0.3">
      <c r="A1372" s="73" t="s">
        <v>390</v>
      </c>
      <c r="B1372" s="79">
        <v>46141</v>
      </c>
      <c r="C1372" s="73">
        <v>220</v>
      </c>
      <c r="D1372" s="73" t="s">
        <v>256</v>
      </c>
      <c r="E1372" s="73">
        <v>4</v>
      </c>
      <c r="F1372" s="75">
        <v>24.427600000000002</v>
      </c>
      <c r="G1372" s="75">
        <v>8.7119</v>
      </c>
      <c r="H1372" s="75">
        <v>26.079599999999999</v>
      </c>
      <c r="I1372" s="75">
        <v>164950.25</v>
      </c>
      <c r="J1372" s="73">
        <v>233.07660000000001</v>
      </c>
      <c r="K1372" s="75">
        <v>52505.343800000002</v>
      </c>
      <c r="L1372" s="75">
        <v>10.9884</v>
      </c>
      <c r="M1372" s="73">
        <v>38.071599999999997</v>
      </c>
      <c r="N1372" s="76">
        <v>120.85</v>
      </c>
      <c r="O1372" s="73">
        <v>4</v>
      </c>
      <c r="P1372" s="73"/>
      <c r="Q1372" s="73" t="s">
        <v>360</v>
      </c>
    </row>
    <row r="1373" spans="1:17" ht="13.8" customHeight="1" x14ac:dyDescent="0.3">
      <c r="A1373" s="70" t="s">
        <v>390</v>
      </c>
      <c r="B1373" s="78">
        <v>46141</v>
      </c>
      <c r="C1373" s="70">
        <v>221</v>
      </c>
      <c r="D1373" s="70" t="s">
        <v>256</v>
      </c>
      <c r="E1373" s="70">
        <v>4</v>
      </c>
      <c r="F1373" s="72">
        <v>19.331099999999999</v>
      </c>
      <c r="G1373" s="72">
        <v>10.427099999999999</v>
      </c>
      <c r="H1373" s="72">
        <v>25.5122</v>
      </c>
      <c r="I1373" s="72">
        <v>165099.875</v>
      </c>
      <c r="J1373" s="70">
        <v>259.06799999999998</v>
      </c>
      <c r="K1373" s="72">
        <v>52581.878900000003</v>
      </c>
      <c r="L1373" s="72">
        <v>9.6959999999999997</v>
      </c>
      <c r="M1373" s="70">
        <v>41.597499999999997</v>
      </c>
      <c r="N1373" s="77">
        <v>120.49</v>
      </c>
      <c r="O1373" s="70">
        <v>4</v>
      </c>
      <c r="P1373" s="70"/>
      <c r="Q1373" s="70" t="s">
        <v>360</v>
      </c>
    </row>
    <row r="1374" spans="1:17" ht="13.8" customHeight="1" x14ac:dyDescent="0.3">
      <c r="A1374" s="73" t="s">
        <v>390</v>
      </c>
      <c r="B1374" s="79">
        <v>46141</v>
      </c>
      <c r="C1374" s="73">
        <v>222</v>
      </c>
      <c r="D1374" s="73" t="s">
        <v>256</v>
      </c>
      <c r="E1374" s="73">
        <v>5</v>
      </c>
      <c r="F1374" s="75">
        <v>45.1327</v>
      </c>
      <c r="G1374" s="75">
        <v>14.198600000000001</v>
      </c>
      <c r="H1374" s="75">
        <v>155.5549</v>
      </c>
      <c r="I1374" s="75">
        <v>165517.0938</v>
      </c>
      <c r="J1374" s="73">
        <v>125.9757</v>
      </c>
      <c r="K1374" s="75">
        <v>62459.183599999997</v>
      </c>
      <c r="L1374" s="75" t="s">
        <v>257</v>
      </c>
      <c r="M1374" s="73">
        <v>31.847000000000001</v>
      </c>
      <c r="N1374" s="76">
        <v>120.45</v>
      </c>
      <c r="O1374" s="73">
        <v>4</v>
      </c>
      <c r="P1374" s="73"/>
      <c r="Q1374" s="73" t="s">
        <v>360</v>
      </c>
    </row>
    <row r="1375" spans="1:17" ht="13.8" customHeight="1" x14ac:dyDescent="0.3">
      <c r="A1375" s="70" t="s">
        <v>390</v>
      </c>
      <c r="B1375" s="78">
        <v>46141</v>
      </c>
      <c r="C1375" s="70">
        <v>223</v>
      </c>
      <c r="D1375" s="70" t="s">
        <v>256</v>
      </c>
      <c r="E1375" s="70">
        <v>5</v>
      </c>
      <c r="F1375" s="72">
        <v>42.355699999999999</v>
      </c>
      <c r="G1375" s="72">
        <v>10.8886</v>
      </c>
      <c r="H1375" s="72">
        <v>162.1319</v>
      </c>
      <c r="I1375" s="72">
        <v>165280.07810000001</v>
      </c>
      <c r="J1375" s="70">
        <v>126.5163</v>
      </c>
      <c r="K1375" s="72">
        <v>61820.257799999999</v>
      </c>
      <c r="L1375" s="72" t="s">
        <v>257</v>
      </c>
      <c r="M1375" s="70">
        <v>36.756300000000003</v>
      </c>
      <c r="N1375" s="77">
        <v>120.07</v>
      </c>
      <c r="O1375" s="70">
        <v>4</v>
      </c>
      <c r="P1375" s="70"/>
      <c r="Q1375" s="70" t="s">
        <v>360</v>
      </c>
    </row>
    <row r="1376" spans="1:17" ht="13.8" customHeight="1" x14ac:dyDescent="0.3">
      <c r="A1376" s="73" t="s">
        <v>391</v>
      </c>
      <c r="B1376" s="79">
        <v>46141</v>
      </c>
      <c r="C1376" s="73">
        <v>224</v>
      </c>
      <c r="D1376" s="73" t="s">
        <v>256</v>
      </c>
      <c r="E1376" s="73">
        <v>1</v>
      </c>
      <c r="F1376" s="75" t="s">
        <v>257</v>
      </c>
      <c r="G1376" s="75">
        <v>1.9275</v>
      </c>
      <c r="H1376" s="75">
        <v>25.9299</v>
      </c>
      <c r="I1376" s="75">
        <v>13224.3359</v>
      </c>
      <c r="J1376" s="73">
        <v>34.649000000000001</v>
      </c>
      <c r="K1376" s="75">
        <v>3661.8593999999998</v>
      </c>
      <c r="L1376" s="75" t="s">
        <v>257</v>
      </c>
      <c r="M1376" s="73">
        <v>4.0467000000000004</v>
      </c>
      <c r="N1376" s="76">
        <v>110.24</v>
      </c>
      <c r="O1376" s="73">
        <v>4</v>
      </c>
      <c r="P1376" s="73"/>
      <c r="Q1376" s="73" t="s">
        <v>360</v>
      </c>
    </row>
    <row r="1377" spans="1:17" ht="13.8" customHeight="1" x14ac:dyDescent="0.3">
      <c r="A1377" s="70" t="s">
        <v>391</v>
      </c>
      <c r="B1377" s="78">
        <v>46141</v>
      </c>
      <c r="C1377" s="70">
        <v>225</v>
      </c>
      <c r="D1377" s="70" t="s">
        <v>256</v>
      </c>
      <c r="E1377" s="70">
        <v>1</v>
      </c>
      <c r="F1377" s="72">
        <v>3.7547999999999999</v>
      </c>
      <c r="G1377" s="72">
        <v>1.9568000000000001</v>
      </c>
      <c r="H1377" s="72">
        <v>17.6694</v>
      </c>
      <c r="I1377" s="72">
        <v>18030.7363</v>
      </c>
      <c r="J1377" s="70">
        <v>133.0119</v>
      </c>
      <c r="K1377" s="72">
        <v>3370.7930000000001</v>
      </c>
      <c r="L1377" s="72">
        <v>8.1661000000000001</v>
      </c>
      <c r="M1377" s="70">
        <v>26.5625</v>
      </c>
      <c r="N1377" s="77">
        <v>120.75</v>
      </c>
      <c r="O1377" s="70">
        <v>4</v>
      </c>
      <c r="P1377" s="70"/>
      <c r="Q1377" s="70" t="s">
        <v>360</v>
      </c>
    </row>
    <row r="1378" spans="1:17" ht="13.8" customHeight="1" x14ac:dyDescent="0.3">
      <c r="A1378" s="73" t="s">
        <v>391</v>
      </c>
      <c r="B1378" s="79">
        <v>46141</v>
      </c>
      <c r="C1378" s="73">
        <v>227</v>
      </c>
      <c r="D1378" s="73" t="s">
        <v>256</v>
      </c>
      <c r="E1378" s="73">
        <v>2</v>
      </c>
      <c r="F1378" s="75">
        <v>81.140500000000003</v>
      </c>
      <c r="G1378" s="75">
        <v>1.7265999999999999</v>
      </c>
      <c r="H1378" s="75" t="s">
        <v>257</v>
      </c>
      <c r="I1378" s="75">
        <v>3706.5684000000001</v>
      </c>
      <c r="J1378" s="73" t="s">
        <v>257</v>
      </c>
      <c r="K1378" s="75">
        <v>4791.1454999999996</v>
      </c>
      <c r="L1378" s="75" t="s">
        <v>257</v>
      </c>
      <c r="M1378" s="73">
        <v>64.740099999999998</v>
      </c>
      <c r="N1378" s="76">
        <v>120.75</v>
      </c>
      <c r="O1378" s="73">
        <v>4</v>
      </c>
      <c r="P1378" s="73"/>
      <c r="Q1378" s="73" t="s">
        <v>360</v>
      </c>
    </row>
    <row r="1379" spans="1:17" ht="13.8" customHeight="1" x14ac:dyDescent="0.3">
      <c r="A1379" s="70" t="s">
        <v>391</v>
      </c>
      <c r="B1379" s="78">
        <v>46141</v>
      </c>
      <c r="C1379" s="70">
        <v>228</v>
      </c>
      <c r="D1379" s="70" t="s">
        <v>256</v>
      </c>
      <c r="E1379" s="70">
        <v>2</v>
      </c>
      <c r="F1379" s="72">
        <v>82.502300000000005</v>
      </c>
      <c r="G1379" s="72" t="s">
        <v>257</v>
      </c>
      <c r="H1379" s="72">
        <v>3.8216999999999999</v>
      </c>
      <c r="I1379" s="72">
        <v>3816.1581999999999</v>
      </c>
      <c r="J1379" s="70" t="s">
        <v>257</v>
      </c>
      <c r="K1379" s="72">
        <v>4660.8867</v>
      </c>
      <c r="L1379" s="72" t="s">
        <v>257</v>
      </c>
      <c r="M1379" s="70">
        <v>62.388599999999997</v>
      </c>
      <c r="N1379" s="77">
        <v>126.11</v>
      </c>
      <c r="O1379" s="70">
        <v>4</v>
      </c>
      <c r="P1379" s="70"/>
      <c r="Q1379" s="70" t="s">
        <v>360</v>
      </c>
    </row>
    <row r="1380" spans="1:17" ht="13.8" customHeight="1" x14ac:dyDescent="0.3">
      <c r="A1380" s="73" t="s">
        <v>391</v>
      </c>
      <c r="B1380" s="79">
        <v>46141</v>
      </c>
      <c r="C1380" s="73">
        <v>229</v>
      </c>
      <c r="D1380" s="73" t="s">
        <v>256</v>
      </c>
      <c r="E1380" s="73">
        <v>3</v>
      </c>
      <c r="F1380" s="75">
        <v>23.910399999999999</v>
      </c>
      <c r="G1380" s="75" t="s">
        <v>257</v>
      </c>
      <c r="H1380" s="75" t="s">
        <v>257</v>
      </c>
      <c r="I1380" s="75">
        <v>552.63019999999995</v>
      </c>
      <c r="J1380" s="73" t="s">
        <v>257</v>
      </c>
      <c r="K1380" s="75">
        <v>1640.6445000000001</v>
      </c>
      <c r="L1380" s="75" t="s">
        <v>257</v>
      </c>
      <c r="M1380" s="73" t="s">
        <v>257</v>
      </c>
      <c r="N1380" s="76">
        <v>120.16</v>
      </c>
      <c r="O1380" s="73">
        <v>4</v>
      </c>
      <c r="P1380" s="73"/>
      <c r="Q1380" s="73" t="s">
        <v>360</v>
      </c>
    </row>
    <row r="1381" spans="1:17" ht="13.8" customHeight="1" x14ac:dyDescent="0.3">
      <c r="A1381" s="70" t="s">
        <v>391</v>
      </c>
      <c r="B1381" s="78">
        <v>46141</v>
      </c>
      <c r="C1381" s="70">
        <v>230</v>
      </c>
      <c r="D1381" s="70" t="s">
        <v>256</v>
      </c>
      <c r="E1381" s="70">
        <v>3</v>
      </c>
      <c r="F1381" s="72">
        <v>21.550699999999999</v>
      </c>
      <c r="G1381" s="72" t="s">
        <v>257</v>
      </c>
      <c r="H1381" s="72" t="s">
        <v>257</v>
      </c>
      <c r="I1381" s="72">
        <v>543.64179999999999</v>
      </c>
      <c r="J1381" s="70" t="s">
        <v>257</v>
      </c>
      <c r="K1381" s="72">
        <v>1662.8574000000001</v>
      </c>
      <c r="L1381" s="72" t="s">
        <v>257</v>
      </c>
      <c r="M1381" s="70" t="s">
        <v>257</v>
      </c>
      <c r="N1381" s="77">
        <v>120.61</v>
      </c>
      <c r="O1381" s="70">
        <v>4</v>
      </c>
      <c r="P1381" s="70"/>
      <c r="Q1381" s="70" t="s">
        <v>360</v>
      </c>
    </row>
    <row r="1382" spans="1:17" ht="13.8" customHeight="1" x14ac:dyDescent="0.3">
      <c r="A1382" s="73" t="s">
        <v>391</v>
      </c>
      <c r="B1382" s="79">
        <v>46141</v>
      </c>
      <c r="C1382" s="73">
        <v>231</v>
      </c>
      <c r="D1382" s="73" t="s">
        <v>256</v>
      </c>
      <c r="E1382" s="73">
        <v>4</v>
      </c>
      <c r="F1382" s="75">
        <v>19.448399999999999</v>
      </c>
      <c r="G1382" s="75" t="s">
        <v>257</v>
      </c>
      <c r="H1382" s="75" t="s">
        <v>257</v>
      </c>
      <c r="I1382" s="75">
        <v>1496.2040999999999</v>
      </c>
      <c r="J1382" s="73" t="s">
        <v>257</v>
      </c>
      <c r="K1382" s="75">
        <v>4690.4829</v>
      </c>
      <c r="L1382" s="75" t="s">
        <v>257</v>
      </c>
      <c r="M1382" s="73" t="s">
        <v>257</v>
      </c>
      <c r="N1382" s="76">
        <v>120.23</v>
      </c>
      <c r="O1382" s="73">
        <v>4</v>
      </c>
      <c r="P1382" s="73"/>
      <c r="Q1382" s="73" t="s">
        <v>360</v>
      </c>
    </row>
    <row r="1383" spans="1:17" ht="13.8" customHeight="1" x14ac:dyDescent="0.3">
      <c r="A1383" s="70" t="s">
        <v>391</v>
      </c>
      <c r="B1383" s="78">
        <v>46141</v>
      </c>
      <c r="C1383" s="70">
        <v>232</v>
      </c>
      <c r="D1383" s="70" t="s">
        <v>256</v>
      </c>
      <c r="E1383" s="70">
        <v>4</v>
      </c>
      <c r="F1383" s="72">
        <v>18.959700000000002</v>
      </c>
      <c r="G1383" s="72" t="s">
        <v>257</v>
      </c>
      <c r="H1383" s="72" t="s">
        <v>257</v>
      </c>
      <c r="I1383" s="72">
        <v>1466.7009</v>
      </c>
      <c r="J1383" s="70" t="s">
        <v>257</v>
      </c>
      <c r="K1383" s="72">
        <v>4449.0102999999999</v>
      </c>
      <c r="L1383" s="72" t="s">
        <v>257</v>
      </c>
      <c r="M1383" s="70" t="s">
        <v>257</v>
      </c>
      <c r="N1383" s="77">
        <v>125.59</v>
      </c>
      <c r="O1383" s="70">
        <v>4</v>
      </c>
      <c r="P1383" s="70"/>
      <c r="Q1383" s="70" t="s">
        <v>360</v>
      </c>
    </row>
    <row r="1384" spans="1:17" ht="13.8" customHeight="1" x14ac:dyDescent="0.3">
      <c r="A1384" s="73" t="s">
        <v>391</v>
      </c>
      <c r="B1384" s="79">
        <v>46141</v>
      </c>
      <c r="C1384" s="73">
        <v>233</v>
      </c>
      <c r="D1384" s="73" t="s">
        <v>256</v>
      </c>
      <c r="E1384" s="73">
        <v>5</v>
      </c>
      <c r="F1384" s="75">
        <v>130.203</v>
      </c>
      <c r="G1384" s="75" t="s">
        <v>257</v>
      </c>
      <c r="H1384" s="75" t="s">
        <v>257</v>
      </c>
      <c r="I1384" s="75">
        <v>1525.9713999999999</v>
      </c>
      <c r="J1384" s="73" t="s">
        <v>257</v>
      </c>
      <c r="K1384" s="75">
        <v>14016.918900000001</v>
      </c>
      <c r="L1384" s="75" t="s">
        <v>257</v>
      </c>
      <c r="M1384" s="73">
        <v>5.5095999999999998</v>
      </c>
      <c r="N1384" s="76">
        <v>120.71</v>
      </c>
      <c r="O1384" s="73">
        <v>4</v>
      </c>
      <c r="P1384" s="73"/>
      <c r="Q1384" s="73" t="s">
        <v>360</v>
      </c>
    </row>
    <row r="1385" spans="1:17" ht="13.8" customHeight="1" x14ac:dyDescent="0.3">
      <c r="A1385" s="70" t="s">
        <v>391</v>
      </c>
      <c r="B1385" s="78">
        <v>46141</v>
      </c>
      <c r="C1385" s="70">
        <v>234</v>
      </c>
      <c r="D1385" s="70" t="s">
        <v>256</v>
      </c>
      <c r="E1385" s="70">
        <v>5</v>
      </c>
      <c r="F1385" s="72">
        <v>162.99850000000001</v>
      </c>
      <c r="G1385" s="72" t="s">
        <v>257</v>
      </c>
      <c r="H1385" s="72" t="s">
        <v>257</v>
      </c>
      <c r="I1385" s="72">
        <v>1145.8496</v>
      </c>
      <c r="J1385" s="70" t="s">
        <v>257</v>
      </c>
      <c r="K1385" s="72">
        <v>13435.9756</v>
      </c>
      <c r="L1385" s="72" t="s">
        <v>257</v>
      </c>
      <c r="M1385" s="70">
        <v>10.666</v>
      </c>
      <c r="N1385" s="77">
        <v>120.4</v>
      </c>
      <c r="O1385" s="70">
        <v>4</v>
      </c>
      <c r="P1385" s="70"/>
      <c r="Q1385" s="70" t="s">
        <v>360</v>
      </c>
    </row>
    <row r="1386" spans="1:17" ht="13.8" customHeight="1" x14ac:dyDescent="0.3">
      <c r="A1386" s="73" t="s">
        <v>392</v>
      </c>
      <c r="B1386" s="79">
        <v>46141</v>
      </c>
      <c r="C1386" s="73">
        <v>235</v>
      </c>
      <c r="D1386" s="73" t="s">
        <v>256</v>
      </c>
      <c r="E1386" s="73">
        <v>1</v>
      </c>
      <c r="F1386" s="75" t="s">
        <v>257</v>
      </c>
      <c r="G1386" s="75">
        <v>9.6066000000000003</v>
      </c>
      <c r="H1386" s="75">
        <v>7.8857999999999997</v>
      </c>
      <c r="I1386" s="75">
        <v>25842.779299999998</v>
      </c>
      <c r="J1386" s="73">
        <v>359.6508</v>
      </c>
      <c r="K1386" s="75">
        <v>4955.5244000000002</v>
      </c>
      <c r="L1386" s="75">
        <v>26.971699999999998</v>
      </c>
      <c r="M1386" s="73">
        <v>5.6025999999999998</v>
      </c>
      <c r="N1386" s="76">
        <v>120.15</v>
      </c>
      <c r="O1386" s="73">
        <v>4</v>
      </c>
      <c r="P1386" s="73"/>
      <c r="Q1386" s="73" t="s">
        <v>360</v>
      </c>
    </row>
    <row r="1387" spans="1:17" ht="13.8" customHeight="1" x14ac:dyDescent="0.3">
      <c r="A1387" s="70" t="s">
        <v>392</v>
      </c>
      <c r="B1387" s="78">
        <v>46141</v>
      </c>
      <c r="C1387" s="70">
        <v>236</v>
      </c>
      <c r="D1387" s="70" t="s">
        <v>256</v>
      </c>
      <c r="E1387" s="70">
        <v>1</v>
      </c>
      <c r="F1387" s="72">
        <v>4.0247000000000002</v>
      </c>
      <c r="G1387" s="72">
        <v>8.3132999999999999</v>
      </c>
      <c r="H1387" s="72">
        <v>8.9560999999999993</v>
      </c>
      <c r="I1387" s="72">
        <v>25842.0684</v>
      </c>
      <c r="J1387" s="70">
        <v>380.4504</v>
      </c>
      <c r="K1387" s="72">
        <v>3416.3656999999998</v>
      </c>
      <c r="L1387" s="72">
        <v>29.7194</v>
      </c>
      <c r="M1387" s="70">
        <v>10.751099999999999</v>
      </c>
      <c r="N1387" s="77">
        <v>126.15</v>
      </c>
      <c r="O1387" s="70">
        <v>4</v>
      </c>
      <c r="P1387" s="70"/>
      <c r="Q1387" s="70" t="s">
        <v>360</v>
      </c>
    </row>
    <row r="1388" spans="1:17" ht="13.8" customHeight="1" x14ac:dyDescent="0.3">
      <c r="A1388" s="73" t="s">
        <v>392</v>
      </c>
      <c r="B1388" s="79">
        <v>46141</v>
      </c>
      <c r="C1388" s="73">
        <v>237</v>
      </c>
      <c r="D1388" s="73" t="s">
        <v>256</v>
      </c>
      <c r="E1388" s="73">
        <v>2</v>
      </c>
      <c r="F1388" s="75">
        <v>9.7080000000000002</v>
      </c>
      <c r="G1388" s="75">
        <v>27.337499999999999</v>
      </c>
      <c r="H1388" s="75">
        <v>42.726900000000001</v>
      </c>
      <c r="I1388" s="75">
        <v>25202.0605</v>
      </c>
      <c r="J1388" s="73">
        <v>191.8656</v>
      </c>
      <c r="K1388" s="75">
        <v>3875.6066999999998</v>
      </c>
      <c r="L1388" s="75">
        <v>26.357500000000002</v>
      </c>
      <c r="M1388" s="73">
        <v>14.168699999999999</v>
      </c>
      <c r="N1388" s="76">
        <v>120.19</v>
      </c>
      <c r="O1388" s="73">
        <v>4</v>
      </c>
      <c r="P1388" s="73"/>
      <c r="Q1388" s="73" t="s">
        <v>360</v>
      </c>
    </row>
    <row r="1389" spans="1:17" ht="13.8" customHeight="1" x14ac:dyDescent="0.3">
      <c r="A1389" s="70" t="s">
        <v>392</v>
      </c>
      <c r="B1389" s="78">
        <v>46141</v>
      </c>
      <c r="C1389" s="70">
        <v>238</v>
      </c>
      <c r="D1389" s="70" t="s">
        <v>256</v>
      </c>
      <c r="E1389" s="70">
        <v>2</v>
      </c>
      <c r="F1389" s="72">
        <v>8.1920000000000002</v>
      </c>
      <c r="G1389" s="72">
        <v>21.490500000000001</v>
      </c>
      <c r="H1389" s="72">
        <v>29.723500000000001</v>
      </c>
      <c r="I1389" s="72">
        <v>30171.0488</v>
      </c>
      <c r="J1389" s="70">
        <v>319.26100000000002</v>
      </c>
      <c r="K1389" s="72">
        <v>2798.0261</v>
      </c>
      <c r="L1389" s="72">
        <v>33.104999999999997</v>
      </c>
      <c r="M1389" s="70">
        <v>16.293399999999998</v>
      </c>
      <c r="N1389" s="77">
        <v>126.37</v>
      </c>
      <c r="O1389" s="70">
        <v>4</v>
      </c>
      <c r="P1389" s="70"/>
      <c r="Q1389" s="70" t="s">
        <v>360</v>
      </c>
    </row>
    <row r="1390" spans="1:17" ht="13.8" customHeight="1" x14ac:dyDescent="0.3">
      <c r="A1390" s="73" t="s">
        <v>392</v>
      </c>
      <c r="B1390" s="79">
        <v>46141</v>
      </c>
      <c r="C1390" s="73">
        <v>239</v>
      </c>
      <c r="D1390" s="73" t="s">
        <v>256</v>
      </c>
      <c r="E1390" s="73">
        <v>3</v>
      </c>
      <c r="F1390" s="75">
        <v>24.014700000000001</v>
      </c>
      <c r="G1390" s="75">
        <v>10.3695</v>
      </c>
      <c r="H1390" s="75">
        <v>23.4009</v>
      </c>
      <c r="I1390" s="75">
        <v>30391.972699999998</v>
      </c>
      <c r="J1390" s="73">
        <v>729.596</v>
      </c>
      <c r="K1390" s="75">
        <v>5159.9247999999998</v>
      </c>
      <c r="L1390" s="75">
        <v>29.2498</v>
      </c>
      <c r="M1390" s="73">
        <v>22.665600000000001</v>
      </c>
      <c r="N1390" s="76">
        <v>120.05</v>
      </c>
      <c r="O1390" s="73">
        <v>4</v>
      </c>
      <c r="P1390" s="73"/>
      <c r="Q1390" s="73" t="s">
        <v>360</v>
      </c>
    </row>
    <row r="1391" spans="1:17" ht="13.8" customHeight="1" x14ac:dyDescent="0.3">
      <c r="A1391" s="70" t="s">
        <v>392</v>
      </c>
      <c r="B1391" s="78">
        <v>46141</v>
      </c>
      <c r="C1391" s="70">
        <v>240</v>
      </c>
      <c r="D1391" s="70" t="s">
        <v>256</v>
      </c>
      <c r="E1391" s="70">
        <v>3</v>
      </c>
      <c r="F1391" s="72">
        <v>34.331600000000002</v>
      </c>
      <c r="G1391" s="72">
        <v>11.446999999999999</v>
      </c>
      <c r="H1391" s="72">
        <v>20.7593</v>
      </c>
      <c r="I1391" s="72">
        <v>30452.4902</v>
      </c>
      <c r="J1391" s="70">
        <v>595.85829999999999</v>
      </c>
      <c r="K1391" s="72">
        <v>7919.0469000000003</v>
      </c>
      <c r="L1391" s="72">
        <v>32.017600000000002</v>
      </c>
      <c r="M1391" s="70">
        <v>23.2546</v>
      </c>
      <c r="N1391" s="77">
        <v>126.35</v>
      </c>
      <c r="O1391" s="70">
        <v>4</v>
      </c>
      <c r="P1391" s="70"/>
      <c r="Q1391" s="70" t="s">
        <v>360</v>
      </c>
    </row>
    <row r="1392" spans="1:17" ht="13.8" customHeight="1" x14ac:dyDescent="0.3">
      <c r="A1392" s="73" t="s">
        <v>392</v>
      </c>
      <c r="B1392" s="79">
        <v>46141</v>
      </c>
      <c r="C1392" s="73">
        <v>241</v>
      </c>
      <c r="D1392" s="73" t="s">
        <v>256</v>
      </c>
      <c r="E1392" s="73">
        <v>4</v>
      </c>
      <c r="F1392" s="75">
        <v>89.078400000000002</v>
      </c>
      <c r="G1392" s="75">
        <v>24.037299999999998</v>
      </c>
      <c r="H1392" s="75">
        <v>42.436799999999998</v>
      </c>
      <c r="I1392" s="75">
        <v>45863.781199999998</v>
      </c>
      <c r="J1392" s="73">
        <v>3688.6370000000002</v>
      </c>
      <c r="K1392" s="75">
        <v>11849.4033</v>
      </c>
      <c r="L1392" s="75">
        <v>26.092099999999999</v>
      </c>
      <c r="M1392" s="73">
        <v>74.706999999999994</v>
      </c>
      <c r="N1392" s="76">
        <v>120.87</v>
      </c>
      <c r="O1392" s="73">
        <v>4</v>
      </c>
      <c r="P1392" s="73"/>
      <c r="Q1392" s="73" t="s">
        <v>360</v>
      </c>
    </row>
    <row r="1393" spans="1:17" ht="13.8" customHeight="1" x14ac:dyDescent="0.3">
      <c r="A1393" s="70" t="s">
        <v>392</v>
      </c>
      <c r="B1393" s="78">
        <v>46141</v>
      </c>
      <c r="C1393" s="70">
        <v>242</v>
      </c>
      <c r="D1393" s="70" t="s">
        <v>256</v>
      </c>
      <c r="E1393" s="70">
        <v>4</v>
      </c>
      <c r="F1393" s="72">
        <v>95.166799999999995</v>
      </c>
      <c r="G1393" s="72">
        <v>25.997599999999998</v>
      </c>
      <c r="H1393" s="72">
        <v>40.447099999999999</v>
      </c>
      <c r="I1393" s="72">
        <v>43477.960899999998</v>
      </c>
      <c r="J1393" s="70">
        <v>3354.5913</v>
      </c>
      <c r="K1393" s="72">
        <v>11654.203100000001</v>
      </c>
      <c r="L1393" s="72">
        <v>24.777999999999999</v>
      </c>
      <c r="M1393" s="70">
        <v>73.889700000000005</v>
      </c>
      <c r="N1393" s="77">
        <v>120.55</v>
      </c>
      <c r="O1393" s="70">
        <v>4</v>
      </c>
      <c r="P1393" s="70"/>
      <c r="Q1393" s="70" t="s">
        <v>360</v>
      </c>
    </row>
    <row r="1394" spans="1:17" ht="13.8" customHeight="1" x14ac:dyDescent="0.3">
      <c r="A1394" s="73" t="s">
        <v>392</v>
      </c>
      <c r="B1394" s="79">
        <v>46141</v>
      </c>
      <c r="C1394" s="73">
        <v>243</v>
      </c>
      <c r="D1394" s="73" t="s">
        <v>256</v>
      </c>
      <c r="E1394" s="73">
        <v>5</v>
      </c>
      <c r="F1394" s="75">
        <v>11.2288</v>
      </c>
      <c r="G1394" s="75">
        <v>5.5505000000000004</v>
      </c>
      <c r="H1394" s="75">
        <v>9.1065000000000005</v>
      </c>
      <c r="I1394" s="75">
        <v>37899.976600000002</v>
      </c>
      <c r="J1394" s="73">
        <v>476.37810000000002</v>
      </c>
      <c r="K1394" s="75">
        <v>10831.7734</v>
      </c>
      <c r="L1394" s="75">
        <v>25.384699999999999</v>
      </c>
      <c r="M1394" s="73">
        <v>17.514099999999999</v>
      </c>
      <c r="N1394" s="76">
        <v>99.49</v>
      </c>
      <c r="O1394" s="73">
        <v>4</v>
      </c>
      <c r="P1394" s="73"/>
      <c r="Q1394" s="73" t="s">
        <v>360</v>
      </c>
    </row>
    <row r="1395" spans="1:17" ht="13.8" customHeight="1" x14ac:dyDescent="0.3">
      <c r="A1395" s="70" t="s">
        <v>392</v>
      </c>
      <c r="B1395" s="78">
        <v>46141</v>
      </c>
      <c r="C1395" s="70">
        <v>244</v>
      </c>
      <c r="D1395" s="70" t="s">
        <v>256</v>
      </c>
      <c r="E1395" s="70">
        <v>5</v>
      </c>
      <c r="F1395" s="72">
        <v>12.2837</v>
      </c>
      <c r="G1395" s="72">
        <v>4.5094000000000003</v>
      </c>
      <c r="H1395" s="72">
        <v>7.66</v>
      </c>
      <c r="I1395" s="72">
        <v>34975.222699999998</v>
      </c>
      <c r="J1395" s="70">
        <v>471.9359</v>
      </c>
      <c r="K1395" s="72">
        <v>6186.2079999999996</v>
      </c>
      <c r="L1395" s="72">
        <v>27.426200000000001</v>
      </c>
      <c r="M1395" s="70">
        <v>15.611000000000001</v>
      </c>
      <c r="N1395" s="77">
        <v>120.68</v>
      </c>
      <c r="O1395" s="70">
        <v>4</v>
      </c>
      <c r="P1395" s="70"/>
      <c r="Q1395" s="70" t="s">
        <v>360</v>
      </c>
    </row>
    <row r="1396" spans="1:17" ht="13.8" customHeight="1" x14ac:dyDescent="0.3">
      <c r="A1396" s="73" t="s">
        <v>393</v>
      </c>
      <c r="B1396" s="79">
        <v>46141</v>
      </c>
      <c r="C1396" s="73">
        <v>245</v>
      </c>
      <c r="D1396" s="73" t="s">
        <v>256</v>
      </c>
      <c r="E1396" s="73">
        <v>1</v>
      </c>
      <c r="F1396" s="75">
        <v>5.0477999999999996</v>
      </c>
      <c r="G1396" s="75">
        <v>13.183</v>
      </c>
      <c r="H1396" s="75">
        <v>9.1012000000000004</v>
      </c>
      <c r="I1396" s="75">
        <v>5875.8158999999996</v>
      </c>
      <c r="J1396" s="73" t="s">
        <v>257</v>
      </c>
      <c r="K1396" s="75">
        <v>819.4769</v>
      </c>
      <c r="L1396" s="75" t="s">
        <v>257</v>
      </c>
      <c r="M1396" s="73" t="s">
        <v>257</v>
      </c>
      <c r="N1396" s="76">
        <v>126.24</v>
      </c>
      <c r="O1396" s="73">
        <v>4</v>
      </c>
      <c r="P1396" s="73"/>
      <c r="Q1396" s="73" t="s">
        <v>360</v>
      </c>
    </row>
    <row r="1397" spans="1:17" ht="13.8" customHeight="1" x14ac:dyDescent="0.3">
      <c r="A1397" s="70" t="s">
        <v>393</v>
      </c>
      <c r="B1397" s="78">
        <v>46141</v>
      </c>
      <c r="C1397" s="70">
        <v>246</v>
      </c>
      <c r="D1397" s="70" t="s">
        <v>256</v>
      </c>
      <c r="E1397" s="70">
        <v>1</v>
      </c>
      <c r="F1397" s="72">
        <v>6.7118000000000002</v>
      </c>
      <c r="G1397" s="72">
        <v>13.3538</v>
      </c>
      <c r="H1397" s="72">
        <v>10.0329</v>
      </c>
      <c r="I1397" s="72">
        <v>5766.9883</v>
      </c>
      <c r="J1397" s="70" t="s">
        <v>257</v>
      </c>
      <c r="K1397" s="72">
        <v>873.91930000000002</v>
      </c>
      <c r="L1397" s="72" t="s">
        <v>257</v>
      </c>
      <c r="M1397" s="70" t="s">
        <v>257</v>
      </c>
      <c r="N1397" s="77">
        <v>126.11</v>
      </c>
      <c r="O1397" s="70">
        <v>4</v>
      </c>
      <c r="P1397" s="70"/>
      <c r="Q1397" s="70" t="s">
        <v>360</v>
      </c>
    </row>
    <row r="1398" spans="1:17" ht="13.8" customHeight="1" x14ac:dyDescent="0.3">
      <c r="A1398" s="73" t="s">
        <v>393</v>
      </c>
      <c r="B1398" s="79">
        <v>46141</v>
      </c>
      <c r="C1398" s="73">
        <v>247</v>
      </c>
      <c r="D1398" s="73" t="s">
        <v>256</v>
      </c>
      <c r="E1398" s="73">
        <v>1</v>
      </c>
      <c r="F1398" s="75">
        <v>26.291399999999999</v>
      </c>
      <c r="G1398" s="75">
        <v>33.344499999999996</v>
      </c>
      <c r="H1398" s="75">
        <v>17.603999999999999</v>
      </c>
      <c r="I1398" s="75">
        <v>26504.945299999999</v>
      </c>
      <c r="J1398" s="73" t="s">
        <v>257</v>
      </c>
      <c r="K1398" s="75">
        <v>25330.421900000001</v>
      </c>
      <c r="L1398" s="75" t="s">
        <v>257</v>
      </c>
      <c r="M1398" s="73" t="s">
        <v>257</v>
      </c>
      <c r="N1398" s="76">
        <v>126.14</v>
      </c>
      <c r="O1398" s="73">
        <v>4</v>
      </c>
      <c r="P1398" s="73"/>
      <c r="Q1398" s="73" t="s">
        <v>360</v>
      </c>
    </row>
    <row r="1399" spans="1:17" ht="13.8" customHeight="1" x14ac:dyDescent="0.3">
      <c r="A1399" s="70" t="s">
        <v>393</v>
      </c>
      <c r="B1399" s="78">
        <v>46141</v>
      </c>
      <c r="C1399" s="70">
        <v>248</v>
      </c>
      <c r="D1399" s="70" t="s">
        <v>256</v>
      </c>
      <c r="E1399" s="70">
        <v>2</v>
      </c>
      <c r="F1399" s="72">
        <v>32.066800000000001</v>
      </c>
      <c r="G1399" s="72">
        <v>37.428199999999997</v>
      </c>
      <c r="H1399" s="72">
        <v>23.113199999999999</v>
      </c>
      <c r="I1399" s="72">
        <v>30233.349600000001</v>
      </c>
      <c r="J1399" s="70" t="s">
        <v>257</v>
      </c>
      <c r="K1399" s="72">
        <v>13292.675800000001</v>
      </c>
      <c r="L1399" s="72" t="s">
        <v>257</v>
      </c>
      <c r="M1399" s="70">
        <v>5.2923999999999998</v>
      </c>
      <c r="N1399" s="77">
        <v>120.83</v>
      </c>
      <c r="O1399" s="70">
        <v>4</v>
      </c>
      <c r="P1399" s="70"/>
      <c r="Q1399" s="70" t="s">
        <v>360</v>
      </c>
    </row>
    <row r="1400" spans="1:17" ht="13.8" customHeight="1" x14ac:dyDescent="0.3">
      <c r="A1400" s="73" t="s">
        <v>393</v>
      </c>
      <c r="B1400" s="79">
        <v>46141</v>
      </c>
      <c r="C1400" s="73">
        <v>249</v>
      </c>
      <c r="D1400" s="73" t="s">
        <v>256</v>
      </c>
      <c r="E1400" s="73">
        <v>2</v>
      </c>
      <c r="F1400" s="75">
        <v>8.6039999999999992</v>
      </c>
      <c r="G1400" s="75">
        <v>23.703600000000002</v>
      </c>
      <c r="H1400" s="75">
        <v>6.9542999999999999</v>
      </c>
      <c r="I1400" s="75">
        <v>7507.0972000000002</v>
      </c>
      <c r="J1400" s="73" t="s">
        <v>257</v>
      </c>
      <c r="K1400" s="75">
        <v>3005.0068000000001</v>
      </c>
      <c r="L1400" s="75" t="s">
        <v>257</v>
      </c>
      <c r="M1400" s="73" t="s">
        <v>257</v>
      </c>
      <c r="N1400" s="76">
        <v>120.09</v>
      </c>
      <c r="O1400" s="73">
        <v>4</v>
      </c>
      <c r="P1400" s="73"/>
      <c r="Q1400" s="73" t="s">
        <v>360</v>
      </c>
    </row>
    <row r="1401" spans="1:17" ht="13.8" customHeight="1" x14ac:dyDescent="0.3">
      <c r="A1401" s="70" t="s">
        <v>393</v>
      </c>
      <c r="B1401" s="78">
        <v>46141</v>
      </c>
      <c r="C1401" s="70">
        <v>250</v>
      </c>
      <c r="D1401" s="70" t="s">
        <v>256</v>
      </c>
      <c r="E1401" s="70">
        <v>3</v>
      </c>
      <c r="F1401" s="72">
        <v>6.8981000000000003</v>
      </c>
      <c r="G1401" s="72">
        <v>22.939699999999998</v>
      </c>
      <c r="H1401" s="72">
        <v>5.6694000000000004</v>
      </c>
      <c r="I1401" s="72">
        <v>7449.1387000000004</v>
      </c>
      <c r="J1401" s="70" t="s">
        <v>257</v>
      </c>
      <c r="K1401" s="72">
        <v>2954.1435999999999</v>
      </c>
      <c r="L1401" s="72" t="s">
        <v>257</v>
      </c>
      <c r="M1401" s="70" t="s">
        <v>257</v>
      </c>
      <c r="N1401" s="77">
        <v>120.78</v>
      </c>
      <c r="O1401" s="70">
        <v>4</v>
      </c>
      <c r="P1401" s="70"/>
      <c r="Q1401" s="70" t="s">
        <v>360</v>
      </c>
    </row>
    <row r="1402" spans="1:17" ht="13.8" customHeight="1" x14ac:dyDescent="0.3">
      <c r="A1402" s="73" t="s">
        <v>393</v>
      </c>
      <c r="B1402" s="79">
        <v>46141</v>
      </c>
      <c r="C1402" s="73">
        <v>251</v>
      </c>
      <c r="D1402" s="73" t="s">
        <v>256</v>
      </c>
      <c r="E1402" s="73">
        <v>3</v>
      </c>
      <c r="F1402" s="75">
        <v>9.0327999999999999</v>
      </c>
      <c r="G1402" s="75">
        <v>31.176300000000001</v>
      </c>
      <c r="H1402" s="75">
        <v>5.835</v>
      </c>
      <c r="I1402" s="75">
        <v>10426.6582</v>
      </c>
      <c r="J1402" s="73" t="s">
        <v>257</v>
      </c>
      <c r="K1402" s="75">
        <v>1161.2109</v>
      </c>
      <c r="L1402" s="75" t="s">
        <v>257</v>
      </c>
      <c r="M1402" s="73">
        <v>5.4154</v>
      </c>
      <c r="N1402" s="76">
        <v>120.11</v>
      </c>
      <c r="O1402" s="73">
        <v>4</v>
      </c>
      <c r="P1402" s="73"/>
      <c r="Q1402" s="73" t="s">
        <v>360</v>
      </c>
    </row>
    <row r="1403" spans="1:17" ht="13.8" customHeight="1" x14ac:dyDescent="0.3">
      <c r="A1403" s="70" t="s">
        <v>393</v>
      </c>
      <c r="B1403" s="78">
        <v>46141</v>
      </c>
      <c r="C1403" s="70">
        <v>252</v>
      </c>
      <c r="D1403" s="70" t="s">
        <v>256</v>
      </c>
      <c r="E1403" s="70">
        <v>4</v>
      </c>
      <c r="F1403" s="72">
        <v>10.4534</v>
      </c>
      <c r="G1403" s="72">
        <v>30.541399999999999</v>
      </c>
      <c r="H1403" s="72">
        <v>6.3030999999999997</v>
      </c>
      <c r="I1403" s="72">
        <v>10393.832</v>
      </c>
      <c r="J1403" s="70" t="s">
        <v>257</v>
      </c>
      <c r="K1403" s="72">
        <v>1359.1658</v>
      </c>
      <c r="L1403" s="72" t="s">
        <v>257</v>
      </c>
      <c r="M1403" s="70">
        <v>10.290699999999999</v>
      </c>
      <c r="N1403" s="77">
        <v>125.91</v>
      </c>
      <c r="O1403" s="70">
        <v>4</v>
      </c>
      <c r="P1403" s="70"/>
      <c r="Q1403" s="70" t="s">
        <v>360</v>
      </c>
    </row>
    <row r="1404" spans="1:17" ht="13.8" customHeight="1" x14ac:dyDescent="0.3">
      <c r="A1404" s="73" t="s">
        <v>393</v>
      </c>
      <c r="B1404" s="79">
        <v>46141</v>
      </c>
      <c r="C1404" s="73">
        <v>253</v>
      </c>
      <c r="D1404" s="73" t="s">
        <v>256</v>
      </c>
      <c r="E1404" s="73">
        <v>4</v>
      </c>
      <c r="F1404" s="75">
        <v>4.9497999999999998</v>
      </c>
      <c r="G1404" s="75">
        <v>6.6582999999999997</v>
      </c>
      <c r="H1404" s="75">
        <v>9.2645</v>
      </c>
      <c r="I1404" s="75">
        <v>2818.4938999999999</v>
      </c>
      <c r="J1404" s="73" t="s">
        <v>257</v>
      </c>
      <c r="K1404" s="75" t="s">
        <v>257</v>
      </c>
      <c r="L1404" s="75" t="s">
        <v>257</v>
      </c>
      <c r="M1404" s="73" t="s">
        <v>257</v>
      </c>
      <c r="N1404" s="76">
        <v>85.24</v>
      </c>
      <c r="O1404" s="73">
        <v>4</v>
      </c>
      <c r="P1404" s="73"/>
      <c r="Q1404" s="73" t="s">
        <v>360</v>
      </c>
    </row>
    <row r="1405" spans="1:17" ht="13.8" customHeight="1" x14ac:dyDescent="0.3">
      <c r="A1405" s="70" t="s">
        <v>393</v>
      </c>
      <c r="B1405" s="78">
        <v>46141</v>
      </c>
      <c r="C1405" s="70">
        <v>254</v>
      </c>
      <c r="D1405" s="70" t="s">
        <v>256</v>
      </c>
      <c r="E1405" s="70">
        <v>5</v>
      </c>
      <c r="F1405" s="72">
        <v>3.8885999999999998</v>
      </c>
      <c r="G1405" s="72">
        <v>7.6879</v>
      </c>
      <c r="H1405" s="72">
        <v>8.1631999999999998</v>
      </c>
      <c r="I1405" s="72">
        <v>3364.9807000000001</v>
      </c>
      <c r="J1405" s="70" t="s">
        <v>257</v>
      </c>
      <c r="K1405" s="72">
        <v>6549.9258</v>
      </c>
      <c r="L1405" s="72" t="s">
        <v>257</v>
      </c>
      <c r="M1405" s="70" t="s">
        <v>257</v>
      </c>
      <c r="N1405" s="77">
        <v>101.85</v>
      </c>
      <c r="O1405" s="70">
        <v>4</v>
      </c>
      <c r="P1405" s="70"/>
      <c r="Q1405" s="70" t="s">
        <v>360</v>
      </c>
    </row>
    <row r="1406" spans="1:17" ht="13.8" customHeight="1" x14ac:dyDescent="0.3">
      <c r="A1406" s="73" t="s">
        <v>393</v>
      </c>
      <c r="B1406" s="79">
        <v>46141</v>
      </c>
      <c r="C1406" s="73">
        <v>257</v>
      </c>
      <c r="D1406" s="73" t="s">
        <v>256</v>
      </c>
      <c r="E1406" s="73">
        <v>5</v>
      </c>
      <c r="F1406" s="75">
        <v>6.5758000000000001</v>
      </c>
      <c r="G1406" s="75">
        <v>9.4697999999999993</v>
      </c>
      <c r="H1406" s="75">
        <v>7.3659999999999997</v>
      </c>
      <c r="I1406" s="75">
        <v>2626.8955000000001</v>
      </c>
      <c r="J1406" s="73" t="s">
        <v>257</v>
      </c>
      <c r="K1406" s="75">
        <v>5850.3608000000004</v>
      </c>
      <c r="L1406" s="75" t="s">
        <v>257</v>
      </c>
      <c r="M1406" s="73">
        <v>4.7872000000000003</v>
      </c>
      <c r="N1406" s="76">
        <v>126.34</v>
      </c>
      <c r="O1406" s="73">
        <v>4</v>
      </c>
      <c r="P1406" s="73"/>
      <c r="Q1406" s="73" t="s">
        <v>360</v>
      </c>
    </row>
    <row r="1407" spans="1:17" ht="13.8" customHeight="1" x14ac:dyDescent="0.3">
      <c r="A1407" s="70" t="s">
        <v>394</v>
      </c>
      <c r="B1407" s="78">
        <v>46142</v>
      </c>
      <c r="C1407" s="70">
        <v>1367</v>
      </c>
      <c r="D1407" s="70" t="s">
        <v>256</v>
      </c>
      <c r="E1407" s="70">
        <v>1</v>
      </c>
      <c r="F1407" s="72" t="s">
        <v>257</v>
      </c>
      <c r="G1407" s="72" t="s">
        <v>257</v>
      </c>
      <c r="H1407" s="72">
        <v>12.1401</v>
      </c>
      <c r="I1407" s="72">
        <v>3072.2246</v>
      </c>
      <c r="J1407" s="70" t="s">
        <v>257</v>
      </c>
      <c r="K1407" s="72">
        <v>9169.3798999999999</v>
      </c>
      <c r="L1407" s="72" t="s">
        <v>257</v>
      </c>
      <c r="M1407" s="70" t="s">
        <v>257</v>
      </c>
      <c r="N1407" s="77">
        <v>122.73</v>
      </c>
      <c r="O1407" s="70">
        <v>4</v>
      </c>
      <c r="P1407" s="70"/>
      <c r="Q1407" s="62" t="s">
        <v>258</v>
      </c>
    </row>
    <row r="1408" spans="1:17" ht="13.8" customHeight="1" x14ac:dyDescent="0.3">
      <c r="A1408" s="73" t="s">
        <v>394</v>
      </c>
      <c r="B1408" s="79">
        <v>46142</v>
      </c>
      <c r="C1408" s="73">
        <v>1368</v>
      </c>
      <c r="D1408" s="73" t="s">
        <v>256</v>
      </c>
      <c r="E1408" s="73">
        <v>1</v>
      </c>
      <c r="F1408" s="75" t="s">
        <v>257</v>
      </c>
      <c r="G1408" s="75" t="s">
        <v>257</v>
      </c>
      <c r="H1408" s="75">
        <v>10.846399999999999</v>
      </c>
      <c r="I1408" s="75">
        <v>8902.8544999999995</v>
      </c>
      <c r="J1408" s="73" t="s">
        <v>257</v>
      </c>
      <c r="K1408" s="75">
        <v>3881.1496999999999</v>
      </c>
      <c r="L1408" s="75" t="s">
        <v>257</v>
      </c>
      <c r="M1408" s="73" t="s">
        <v>257</v>
      </c>
      <c r="N1408" s="76">
        <v>123.06</v>
      </c>
      <c r="O1408" s="73">
        <v>4</v>
      </c>
      <c r="P1408" s="73"/>
      <c r="Q1408" s="66" t="s">
        <v>258</v>
      </c>
    </row>
    <row r="1409" spans="1:17" ht="13.8" customHeight="1" x14ac:dyDescent="0.3">
      <c r="A1409" s="70" t="s">
        <v>394</v>
      </c>
      <c r="B1409" s="78">
        <v>46142</v>
      </c>
      <c r="C1409" s="70">
        <v>1369</v>
      </c>
      <c r="D1409" s="70" t="s">
        <v>256</v>
      </c>
      <c r="E1409" s="70">
        <v>1</v>
      </c>
      <c r="F1409" s="72">
        <v>3.2582</v>
      </c>
      <c r="G1409" s="72" t="s">
        <v>257</v>
      </c>
      <c r="H1409" s="72">
        <v>13.4787</v>
      </c>
      <c r="I1409" s="72">
        <v>11790.5947</v>
      </c>
      <c r="J1409" s="70" t="s">
        <v>257</v>
      </c>
      <c r="K1409" s="72">
        <v>3205.0425</v>
      </c>
      <c r="L1409" s="72" t="s">
        <v>257</v>
      </c>
      <c r="M1409" s="70" t="s">
        <v>257</v>
      </c>
      <c r="N1409" s="77">
        <v>120.59</v>
      </c>
      <c r="O1409" s="70">
        <v>4</v>
      </c>
      <c r="P1409" s="70"/>
      <c r="Q1409" s="62" t="s">
        <v>258</v>
      </c>
    </row>
    <row r="1410" spans="1:17" ht="13.8" customHeight="1" x14ac:dyDescent="0.3">
      <c r="A1410" s="73" t="s">
        <v>394</v>
      </c>
      <c r="B1410" s="79">
        <v>46142</v>
      </c>
      <c r="C1410" s="73">
        <v>1370</v>
      </c>
      <c r="D1410" s="73" t="s">
        <v>256</v>
      </c>
      <c r="E1410" s="73">
        <v>2</v>
      </c>
      <c r="F1410" s="75" t="s">
        <v>257</v>
      </c>
      <c r="G1410" s="75">
        <v>1.1897</v>
      </c>
      <c r="H1410" s="75">
        <v>10.176399999999999</v>
      </c>
      <c r="I1410" s="75">
        <v>15968.243200000001</v>
      </c>
      <c r="J1410" s="73" t="s">
        <v>257</v>
      </c>
      <c r="K1410" s="75">
        <v>2431.8521000000001</v>
      </c>
      <c r="L1410" s="75" t="s">
        <v>257</v>
      </c>
      <c r="M1410" s="73">
        <v>6.4446000000000003</v>
      </c>
      <c r="N1410" s="76">
        <v>122.79</v>
      </c>
      <c r="O1410" s="73">
        <v>4</v>
      </c>
      <c r="P1410" s="73"/>
      <c r="Q1410" s="66" t="s">
        <v>258</v>
      </c>
    </row>
    <row r="1411" spans="1:17" ht="13.8" customHeight="1" x14ac:dyDescent="0.3">
      <c r="A1411" s="70" t="s">
        <v>394</v>
      </c>
      <c r="B1411" s="78">
        <v>46142</v>
      </c>
      <c r="C1411" s="70">
        <v>1371</v>
      </c>
      <c r="D1411" s="70" t="s">
        <v>256</v>
      </c>
      <c r="E1411" s="70">
        <v>2</v>
      </c>
      <c r="F1411" s="72">
        <v>3.5649000000000002</v>
      </c>
      <c r="G1411" s="72">
        <v>2.9853000000000001</v>
      </c>
      <c r="H1411" s="72">
        <v>8.5699000000000005</v>
      </c>
      <c r="I1411" s="72">
        <v>14190.353499999999</v>
      </c>
      <c r="J1411" s="70" t="s">
        <v>257</v>
      </c>
      <c r="K1411" s="72">
        <v>2203.5592999999999</v>
      </c>
      <c r="L1411" s="72" t="s">
        <v>257</v>
      </c>
      <c r="M1411" s="70" t="s">
        <v>257</v>
      </c>
      <c r="N1411" s="77">
        <v>122.86</v>
      </c>
      <c r="O1411" s="70">
        <v>4</v>
      </c>
      <c r="P1411" s="70"/>
      <c r="Q1411" s="62" t="s">
        <v>258</v>
      </c>
    </row>
    <row r="1412" spans="1:17" ht="13.8" customHeight="1" x14ac:dyDescent="0.3">
      <c r="A1412" s="73" t="s">
        <v>394</v>
      </c>
      <c r="B1412" s="79">
        <v>46142</v>
      </c>
      <c r="C1412" s="73">
        <v>1372</v>
      </c>
      <c r="D1412" s="73" t="s">
        <v>256</v>
      </c>
      <c r="E1412" s="73">
        <v>3</v>
      </c>
      <c r="F1412" s="75" t="s">
        <v>257</v>
      </c>
      <c r="G1412" s="75" t="s">
        <v>257</v>
      </c>
      <c r="H1412" s="75" t="s">
        <v>257</v>
      </c>
      <c r="I1412" s="75">
        <v>18.1785</v>
      </c>
      <c r="J1412" s="73">
        <v>1024.1424999999999</v>
      </c>
      <c r="K1412" s="75">
        <v>12166.2598</v>
      </c>
      <c r="L1412" s="75" t="s">
        <v>257</v>
      </c>
      <c r="M1412" s="73" t="s">
        <v>257</v>
      </c>
      <c r="N1412" s="76">
        <v>124.08</v>
      </c>
      <c r="O1412" s="73">
        <v>4</v>
      </c>
      <c r="P1412" s="73"/>
      <c r="Q1412" s="66" t="s">
        <v>258</v>
      </c>
    </row>
    <row r="1413" spans="1:17" ht="13.8" customHeight="1" x14ac:dyDescent="0.3">
      <c r="A1413" s="70" t="s">
        <v>394</v>
      </c>
      <c r="B1413" s="78">
        <v>46142</v>
      </c>
      <c r="C1413" s="70">
        <v>1373</v>
      </c>
      <c r="D1413" s="70" t="s">
        <v>256</v>
      </c>
      <c r="E1413" s="70">
        <v>3</v>
      </c>
      <c r="F1413" s="72">
        <v>5.4696999999999996</v>
      </c>
      <c r="G1413" s="72">
        <v>1.6563000000000001</v>
      </c>
      <c r="H1413" s="72">
        <v>11.6982</v>
      </c>
      <c r="I1413" s="72">
        <v>11355.233399999999</v>
      </c>
      <c r="J1413" s="70" t="s">
        <v>257</v>
      </c>
      <c r="K1413" s="72">
        <v>2840.2997999999998</v>
      </c>
      <c r="L1413" s="72" t="s">
        <v>257</v>
      </c>
      <c r="M1413" s="70" t="s">
        <v>257</v>
      </c>
      <c r="N1413" s="77">
        <v>120.27</v>
      </c>
      <c r="O1413" s="70">
        <v>4</v>
      </c>
      <c r="P1413" s="70"/>
      <c r="Q1413" s="62" t="s">
        <v>258</v>
      </c>
    </row>
    <row r="1414" spans="1:17" ht="13.8" customHeight="1" x14ac:dyDescent="0.3">
      <c r="A1414" s="73" t="s">
        <v>394</v>
      </c>
      <c r="B1414" s="79">
        <v>46142</v>
      </c>
      <c r="C1414" s="73">
        <v>1374</v>
      </c>
      <c r="D1414" s="73" t="s">
        <v>256</v>
      </c>
      <c r="E1414" s="73">
        <v>3</v>
      </c>
      <c r="F1414" s="75">
        <v>10.223699999999999</v>
      </c>
      <c r="G1414" s="75">
        <v>1.8628</v>
      </c>
      <c r="H1414" s="75">
        <v>12.769500000000001</v>
      </c>
      <c r="I1414" s="75">
        <v>13477.3555</v>
      </c>
      <c r="J1414" s="73" t="s">
        <v>257</v>
      </c>
      <c r="K1414" s="75">
        <v>3298.3764999999999</v>
      </c>
      <c r="L1414" s="75" t="s">
        <v>257</v>
      </c>
      <c r="M1414" s="73">
        <v>4.0397999999999996</v>
      </c>
      <c r="N1414" s="76">
        <v>122.85</v>
      </c>
      <c r="O1414" s="73">
        <v>4</v>
      </c>
      <c r="P1414" s="73"/>
      <c r="Q1414" s="66" t="s">
        <v>258</v>
      </c>
    </row>
    <row r="1415" spans="1:17" ht="13.8" customHeight="1" x14ac:dyDescent="0.3">
      <c r="A1415" s="70" t="s">
        <v>394</v>
      </c>
      <c r="B1415" s="78">
        <v>46142</v>
      </c>
      <c r="C1415" s="70">
        <v>1375</v>
      </c>
      <c r="D1415" s="70" t="s">
        <v>256</v>
      </c>
      <c r="E1415" s="70">
        <v>4</v>
      </c>
      <c r="F1415" s="72">
        <v>7.1098999999999997</v>
      </c>
      <c r="G1415" s="72">
        <v>5.6239999999999997</v>
      </c>
      <c r="H1415" s="72">
        <v>15.2529</v>
      </c>
      <c r="I1415" s="72">
        <v>45730.882799999999</v>
      </c>
      <c r="J1415" s="70" t="s">
        <v>257</v>
      </c>
      <c r="K1415" s="72">
        <v>4173.9233000000004</v>
      </c>
      <c r="L1415" s="72">
        <v>3.2252000000000001</v>
      </c>
      <c r="M1415" s="70">
        <v>5.0965999999999996</v>
      </c>
      <c r="N1415" s="77">
        <v>120.03</v>
      </c>
      <c r="O1415" s="70">
        <v>4</v>
      </c>
      <c r="P1415" s="70"/>
      <c r="Q1415" s="62" t="s">
        <v>258</v>
      </c>
    </row>
    <row r="1416" spans="1:17" ht="13.8" customHeight="1" x14ac:dyDescent="0.3">
      <c r="A1416" s="73" t="s">
        <v>394</v>
      </c>
      <c r="B1416" s="79">
        <v>46142</v>
      </c>
      <c r="C1416" s="73">
        <v>1376</v>
      </c>
      <c r="D1416" s="73" t="s">
        <v>256</v>
      </c>
      <c r="E1416" s="73">
        <v>4</v>
      </c>
      <c r="F1416" s="75">
        <v>14.5441</v>
      </c>
      <c r="G1416" s="75">
        <v>6.6346999999999996</v>
      </c>
      <c r="H1416" s="75">
        <v>12.112399999999999</v>
      </c>
      <c r="I1416" s="75">
        <v>57195.414100000002</v>
      </c>
      <c r="J1416" s="73" t="s">
        <v>257</v>
      </c>
      <c r="K1416" s="75">
        <v>3884.6895</v>
      </c>
      <c r="L1416" s="75">
        <v>3.8201999999999998</v>
      </c>
      <c r="M1416" s="73">
        <v>14.211399999999999</v>
      </c>
      <c r="N1416" s="76">
        <v>120.65</v>
      </c>
      <c r="O1416" s="73">
        <v>4</v>
      </c>
      <c r="P1416" s="73"/>
      <c r="Q1416" s="66" t="s">
        <v>258</v>
      </c>
    </row>
    <row r="1417" spans="1:17" ht="13.8" customHeight="1" x14ac:dyDescent="0.3">
      <c r="A1417" s="70" t="s">
        <v>394</v>
      </c>
      <c r="B1417" s="78">
        <v>46142</v>
      </c>
      <c r="C1417" s="70">
        <v>1377</v>
      </c>
      <c r="D1417" s="70" t="s">
        <v>256</v>
      </c>
      <c r="E1417" s="70">
        <v>5</v>
      </c>
      <c r="F1417" s="72" t="s">
        <v>257</v>
      </c>
      <c r="G1417" s="72" t="s">
        <v>257</v>
      </c>
      <c r="H1417" s="72">
        <v>9.5253999999999994</v>
      </c>
      <c r="I1417" s="72">
        <v>3197.6914000000002</v>
      </c>
      <c r="J1417" s="70" t="s">
        <v>257</v>
      </c>
      <c r="K1417" s="72">
        <v>2664.4841000000001</v>
      </c>
      <c r="L1417" s="72">
        <v>4.8773</v>
      </c>
      <c r="M1417" s="70">
        <v>6.3529999999999998</v>
      </c>
      <c r="N1417" s="77">
        <v>122.94</v>
      </c>
      <c r="O1417" s="70">
        <v>4</v>
      </c>
      <c r="P1417" s="70"/>
      <c r="Q1417" s="62" t="s">
        <v>258</v>
      </c>
    </row>
    <row r="1418" spans="1:17" ht="13.8" customHeight="1" x14ac:dyDescent="0.3">
      <c r="A1418" s="73" t="s">
        <v>394</v>
      </c>
      <c r="B1418" s="79">
        <v>46142</v>
      </c>
      <c r="C1418" s="73">
        <v>1378</v>
      </c>
      <c r="D1418" s="73" t="s">
        <v>256</v>
      </c>
      <c r="E1418" s="73">
        <v>5</v>
      </c>
      <c r="F1418" s="75" t="s">
        <v>257</v>
      </c>
      <c r="G1418" s="75" t="s">
        <v>257</v>
      </c>
      <c r="H1418" s="75">
        <v>10.4671</v>
      </c>
      <c r="I1418" s="75">
        <v>2700.0749999999998</v>
      </c>
      <c r="J1418" s="73" t="s">
        <v>257</v>
      </c>
      <c r="K1418" s="75">
        <v>2614.6648</v>
      </c>
      <c r="L1418" s="75" t="s">
        <v>257</v>
      </c>
      <c r="M1418" s="73" t="s">
        <v>257</v>
      </c>
      <c r="N1418" s="76">
        <v>122.82</v>
      </c>
      <c r="O1418" s="73">
        <v>4</v>
      </c>
      <c r="P1418" s="73"/>
      <c r="Q1418" s="66" t="s">
        <v>258</v>
      </c>
    </row>
    <row r="1419" spans="1:17" ht="13.8" customHeight="1" x14ac:dyDescent="0.3">
      <c r="A1419" s="70" t="s">
        <v>395</v>
      </c>
      <c r="B1419" s="78">
        <v>46142</v>
      </c>
      <c r="C1419" s="70">
        <v>1379</v>
      </c>
      <c r="D1419" s="70" t="s">
        <v>256</v>
      </c>
      <c r="E1419" s="70">
        <v>1</v>
      </c>
      <c r="F1419" s="72">
        <v>24.0517</v>
      </c>
      <c r="G1419" s="72" t="s">
        <v>257</v>
      </c>
      <c r="H1419" s="72">
        <v>9.9026999999999994</v>
      </c>
      <c r="I1419" s="72">
        <v>14437.501</v>
      </c>
      <c r="J1419" s="70" t="s">
        <v>257</v>
      </c>
      <c r="K1419" s="72">
        <v>8516.0175999999992</v>
      </c>
      <c r="L1419" s="72" t="s">
        <v>257</v>
      </c>
      <c r="M1419" s="70">
        <v>5.6364000000000001</v>
      </c>
      <c r="N1419" s="77">
        <v>120.43</v>
      </c>
      <c r="O1419" s="70">
        <v>4</v>
      </c>
      <c r="P1419" s="70"/>
      <c r="Q1419" s="62" t="s">
        <v>258</v>
      </c>
    </row>
    <row r="1420" spans="1:17" ht="13.8" customHeight="1" x14ac:dyDescent="0.3">
      <c r="A1420" s="73" t="s">
        <v>395</v>
      </c>
      <c r="B1420" s="79">
        <v>46142</v>
      </c>
      <c r="C1420" s="73">
        <v>1380</v>
      </c>
      <c r="D1420" s="73" t="s">
        <v>256</v>
      </c>
      <c r="E1420" s="73">
        <v>1</v>
      </c>
      <c r="F1420" s="75">
        <v>27.91</v>
      </c>
      <c r="G1420" s="75" t="s">
        <v>257</v>
      </c>
      <c r="H1420" s="75">
        <v>8.8263999999999996</v>
      </c>
      <c r="I1420" s="75">
        <v>16854.9414</v>
      </c>
      <c r="J1420" s="73" t="s">
        <v>257</v>
      </c>
      <c r="K1420" s="75">
        <v>6455.8505999999998</v>
      </c>
      <c r="L1420" s="75" t="s">
        <v>257</v>
      </c>
      <c r="M1420" s="73">
        <v>7.4718999999999998</v>
      </c>
      <c r="N1420" s="76">
        <v>120.28</v>
      </c>
      <c r="O1420" s="73">
        <v>4</v>
      </c>
      <c r="P1420" s="73"/>
      <c r="Q1420" s="66" t="s">
        <v>258</v>
      </c>
    </row>
    <row r="1421" spans="1:17" ht="13.8" customHeight="1" x14ac:dyDescent="0.3">
      <c r="A1421" s="70" t="s">
        <v>395</v>
      </c>
      <c r="B1421" s="78">
        <v>46142</v>
      </c>
      <c r="C1421" s="70">
        <v>1381</v>
      </c>
      <c r="D1421" s="70" t="s">
        <v>256</v>
      </c>
      <c r="E1421" s="70">
        <v>2</v>
      </c>
      <c r="F1421" s="72">
        <v>8.7957999999999998</v>
      </c>
      <c r="G1421" s="72" t="s">
        <v>257</v>
      </c>
      <c r="H1421" s="72">
        <v>7.6436999999999999</v>
      </c>
      <c r="I1421" s="72">
        <v>14714.2832</v>
      </c>
      <c r="J1421" s="70" t="s">
        <v>257</v>
      </c>
      <c r="K1421" s="72">
        <v>8178.9844000000003</v>
      </c>
      <c r="L1421" s="72">
        <v>5.702</v>
      </c>
      <c r="M1421" s="70" t="s">
        <v>257</v>
      </c>
      <c r="N1421" s="77">
        <v>120.45</v>
      </c>
      <c r="O1421" s="70">
        <v>4</v>
      </c>
      <c r="P1421" s="70"/>
      <c r="Q1421" s="62" t="s">
        <v>258</v>
      </c>
    </row>
    <row r="1422" spans="1:17" ht="13.8" customHeight="1" x14ac:dyDescent="0.3">
      <c r="A1422" s="73" t="s">
        <v>395</v>
      </c>
      <c r="B1422" s="79">
        <v>46142</v>
      </c>
      <c r="C1422" s="73">
        <v>1382</v>
      </c>
      <c r="D1422" s="73" t="s">
        <v>256</v>
      </c>
      <c r="E1422" s="73">
        <v>2</v>
      </c>
      <c r="F1422" s="75">
        <v>5.4877000000000002</v>
      </c>
      <c r="G1422" s="75" t="s">
        <v>257</v>
      </c>
      <c r="H1422" s="75">
        <v>6.9538000000000002</v>
      </c>
      <c r="I1422" s="75">
        <v>13681.581099999999</v>
      </c>
      <c r="J1422" s="73" t="s">
        <v>257</v>
      </c>
      <c r="K1422" s="75">
        <v>7414.98</v>
      </c>
      <c r="L1422" s="75" t="s">
        <v>257</v>
      </c>
      <c r="M1422" s="73" t="s">
        <v>257</v>
      </c>
      <c r="N1422" s="76">
        <v>120.53</v>
      </c>
      <c r="O1422" s="73">
        <v>4</v>
      </c>
      <c r="P1422" s="73"/>
      <c r="Q1422" s="66" t="s">
        <v>258</v>
      </c>
    </row>
    <row r="1423" spans="1:17" ht="13.8" customHeight="1" x14ac:dyDescent="0.3">
      <c r="A1423" s="70" t="s">
        <v>395</v>
      </c>
      <c r="B1423" s="78">
        <v>46142</v>
      </c>
      <c r="C1423" s="70">
        <v>1383</v>
      </c>
      <c r="D1423" s="70" t="s">
        <v>256</v>
      </c>
      <c r="E1423" s="70">
        <v>3</v>
      </c>
      <c r="F1423" s="72">
        <v>613.33199999999999</v>
      </c>
      <c r="G1423" s="72">
        <v>11.0488</v>
      </c>
      <c r="H1423" s="72" t="s">
        <v>257</v>
      </c>
      <c r="I1423" s="72">
        <v>72725.570300000007</v>
      </c>
      <c r="J1423" s="70" t="s">
        <v>257</v>
      </c>
      <c r="K1423" s="72">
        <v>28696.636699999999</v>
      </c>
      <c r="L1423" s="72" t="s">
        <v>257</v>
      </c>
      <c r="M1423" s="70" t="s">
        <v>257</v>
      </c>
      <c r="N1423" s="77">
        <v>122.97</v>
      </c>
      <c r="O1423" s="70">
        <v>4</v>
      </c>
      <c r="P1423" s="70"/>
      <c r="Q1423" s="62" t="s">
        <v>258</v>
      </c>
    </row>
    <row r="1424" spans="1:17" ht="13.8" customHeight="1" x14ac:dyDescent="0.3">
      <c r="A1424" s="73" t="s">
        <v>395</v>
      </c>
      <c r="B1424" s="79">
        <v>46142</v>
      </c>
      <c r="C1424" s="73">
        <v>1384</v>
      </c>
      <c r="D1424" s="73" t="s">
        <v>256</v>
      </c>
      <c r="E1424" s="73">
        <v>3</v>
      </c>
      <c r="F1424" s="75">
        <v>767.6191</v>
      </c>
      <c r="G1424" s="75">
        <v>2.5095999999999998</v>
      </c>
      <c r="H1424" s="75" t="s">
        <v>257</v>
      </c>
      <c r="I1424" s="75">
        <v>36049.968800000002</v>
      </c>
      <c r="J1424" s="73" t="s">
        <v>257</v>
      </c>
      <c r="K1424" s="75">
        <v>20896.425800000001</v>
      </c>
      <c r="L1424" s="75" t="s">
        <v>257</v>
      </c>
      <c r="M1424" s="73" t="s">
        <v>257</v>
      </c>
      <c r="N1424" s="76">
        <v>120.04</v>
      </c>
      <c r="O1424" s="73">
        <v>4</v>
      </c>
      <c r="P1424" s="73"/>
      <c r="Q1424" s="66" t="s">
        <v>258</v>
      </c>
    </row>
    <row r="1425" spans="1:17" ht="13.8" customHeight="1" x14ac:dyDescent="0.3">
      <c r="A1425" s="70" t="s">
        <v>395</v>
      </c>
      <c r="B1425" s="78">
        <v>46142</v>
      </c>
      <c r="C1425" s="70">
        <v>1385</v>
      </c>
      <c r="D1425" s="70" t="s">
        <v>256</v>
      </c>
      <c r="E1425" s="70">
        <v>3</v>
      </c>
      <c r="F1425" s="72">
        <v>240.4554</v>
      </c>
      <c r="G1425" s="72">
        <v>3.2706</v>
      </c>
      <c r="H1425" s="72" t="s">
        <v>257</v>
      </c>
      <c r="I1425" s="72">
        <v>52461.027300000002</v>
      </c>
      <c r="J1425" s="70" t="s">
        <v>257</v>
      </c>
      <c r="K1425" s="72">
        <v>23302.480500000001</v>
      </c>
      <c r="L1425" s="72" t="s">
        <v>257</v>
      </c>
      <c r="M1425" s="70" t="s">
        <v>257</v>
      </c>
      <c r="N1425" s="77">
        <v>122.82</v>
      </c>
      <c r="O1425" s="70">
        <v>4</v>
      </c>
      <c r="P1425" s="70"/>
      <c r="Q1425" s="62" t="s">
        <v>258</v>
      </c>
    </row>
    <row r="1426" spans="1:17" ht="13.8" customHeight="1" x14ac:dyDescent="0.3">
      <c r="A1426" s="73" t="s">
        <v>395</v>
      </c>
      <c r="B1426" s="79">
        <v>46142</v>
      </c>
      <c r="C1426" s="73">
        <v>1386</v>
      </c>
      <c r="D1426" s="73" t="s">
        <v>256</v>
      </c>
      <c r="E1426" s="73">
        <v>4</v>
      </c>
      <c r="F1426" s="75">
        <v>10.598599999999999</v>
      </c>
      <c r="G1426" s="75">
        <v>2.9302000000000001</v>
      </c>
      <c r="H1426" s="75">
        <v>35.248100000000001</v>
      </c>
      <c r="I1426" s="75">
        <v>50994.667999999998</v>
      </c>
      <c r="J1426" s="73" t="s">
        <v>257</v>
      </c>
      <c r="K1426" s="75">
        <v>27025.919900000001</v>
      </c>
      <c r="L1426" s="75">
        <v>38.100299999999997</v>
      </c>
      <c r="M1426" s="73">
        <v>23.991399999999999</v>
      </c>
      <c r="N1426" s="76">
        <v>120.29</v>
      </c>
      <c r="O1426" s="73">
        <v>4</v>
      </c>
      <c r="P1426" s="73"/>
      <c r="Q1426" s="66" t="s">
        <v>258</v>
      </c>
    </row>
    <row r="1427" spans="1:17" ht="13.8" customHeight="1" x14ac:dyDescent="0.3">
      <c r="A1427" s="70" t="s">
        <v>395</v>
      </c>
      <c r="B1427" s="78">
        <v>46142</v>
      </c>
      <c r="C1427" s="70">
        <v>1387</v>
      </c>
      <c r="D1427" s="70" t="s">
        <v>256</v>
      </c>
      <c r="E1427" s="70">
        <v>4</v>
      </c>
      <c r="F1427" s="72">
        <v>12.0067</v>
      </c>
      <c r="G1427" s="72">
        <v>2.8079999999999998</v>
      </c>
      <c r="H1427" s="72">
        <v>35.193199999999997</v>
      </c>
      <c r="I1427" s="72">
        <v>53638.394500000002</v>
      </c>
      <c r="J1427" s="70" t="s">
        <v>257</v>
      </c>
      <c r="K1427" s="72" t="s">
        <v>257</v>
      </c>
      <c r="L1427" s="72">
        <v>41.4253</v>
      </c>
      <c r="M1427" s="70">
        <v>22.38</v>
      </c>
      <c r="N1427" s="77">
        <v>60.11</v>
      </c>
      <c r="O1427" s="70">
        <v>4</v>
      </c>
      <c r="P1427" s="70"/>
      <c r="Q1427" s="62" t="s">
        <v>258</v>
      </c>
    </row>
    <row r="1428" spans="1:17" ht="13.8" customHeight="1" x14ac:dyDescent="0.3">
      <c r="A1428" s="73" t="s">
        <v>395</v>
      </c>
      <c r="B1428" s="79">
        <v>46142</v>
      </c>
      <c r="C1428" s="73">
        <v>1389</v>
      </c>
      <c r="D1428" s="73" t="s">
        <v>256</v>
      </c>
      <c r="E1428" s="73">
        <v>4</v>
      </c>
      <c r="F1428" s="75">
        <v>8.9044000000000008</v>
      </c>
      <c r="G1428" s="75">
        <v>1.8146</v>
      </c>
      <c r="H1428" s="75">
        <v>25.7377</v>
      </c>
      <c r="I1428" s="75">
        <v>47252.589800000002</v>
      </c>
      <c r="J1428" s="73" t="s">
        <v>257</v>
      </c>
      <c r="K1428" s="75">
        <v>34015.585899999998</v>
      </c>
      <c r="L1428" s="75">
        <v>41.103700000000003</v>
      </c>
      <c r="M1428" s="73">
        <v>26.9343</v>
      </c>
      <c r="N1428" s="76">
        <v>122.73</v>
      </c>
      <c r="O1428" s="73">
        <v>4</v>
      </c>
      <c r="P1428" s="73"/>
      <c r="Q1428" s="66" t="s">
        <v>258</v>
      </c>
    </row>
    <row r="1429" spans="1:17" ht="13.8" customHeight="1" x14ac:dyDescent="0.3">
      <c r="A1429" s="70" t="s">
        <v>395</v>
      </c>
      <c r="B1429" s="78">
        <v>46142</v>
      </c>
      <c r="C1429" s="70">
        <v>1390</v>
      </c>
      <c r="D1429" s="70" t="s">
        <v>256</v>
      </c>
      <c r="E1429" s="70">
        <v>5</v>
      </c>
      <c r="F1429" s="72">
        <v>6.641</v>
      </c>
      <c r="G1429" s="72" t="s">
        <v>257</v>
      </c>
      <c r="H1429" s="72">
        <v>8.5182000000000002</v>
      </c>
      <c r="I1429" s="72">
        <v>31759.5488</v>
      </c>
      <c r="J1429" s="70">
        <v>456.9144</v>
      </c>
      <c r="K1429" s="72">
        <v>8707.6571999999996</v>
      </c>
      <c r="L1429" s="72">
        <v>92.409000000000006</v>
      </c>
      <c r="M1429" s="70">
        <v>12.8306</v>
      </c>
      <c r="N1429" s="77">
        <v>120.46</v>
      </c>
      <c r="O1429" s="70">
        <v>4</v>
      </c>
      <c r="P1429" s="70"/>
      <c r="Q1429" s="62" t="s">
        <v>258</v>
      </c>
    </row>
    <row r="1430" spans="1:17" ht="13.8" customHeight="1" x14ac:dyDescent="0.3">
      <c r="A1430" s="73" t="s">
        <v>395</v>
      </c>
      <c r="B1430" s="79">
        <v>46142</v>
      </c>
      <c r="C1430" s="73">
        <v>1391</v>
      </c>
      <c r="D1430" s="73" t="s">
        <v>256</v>
      </c>
      <c r="E1430" s="73">
        <v>5</v>
      </c>
      <c r="F1430" s="75">
        <v>13.330299999999999</v>
      </c>
      <c r="G1430" s="75" t="s">
        <v>257</v>
      </c>
      <c r="H1430" s="75">
        <v>8.9382000000000001</v>
      </c>
      <c r="I1430" s="75">
        <v>29008.877</v>
      </c>
      <c r="J1430" s="73">
        <v>293.56950000000001</v>
      </c>
      <c r="K1430" s="75">
        <v>9037.6182000000008</v>
      </c>
      <c r="L1430" s="75">
        <v>44.993699999999997</v>
      </c>
      <c r="M1430" s="73">
        <v>20.6279</v>
      </c>
      <c r="N1430" s="76">
        <v>122.99</v>
      </c>
      <c r="O1430" s="73">
        <v>4</v>
      </c>
      <c r="P1430" s="73"/>
      <c r="Q1430" s="66" t="s">
        <v>258</v>
      </c>
    </row>
    <row r="1431" spans="1:17" ht="13.8" customHeight="1" x14ac:dyDescent="0.3">
      <c r="A1431" s="70" t="s">
        <v>396</v>
      </c>
      <c r="B1431" s="78">
        <v>46142</v>
      </c>
      <c r="C1431" s="70">
        <v>1392</v>
      </c>
      <c r="D1431" s="70" t="s">
        <v>256</v>
      </c>
      <c r="E1431" s="70">
        <v>1</v>
      </c>
      <c r="F1431" s="72">
        <v>3.3298000000000001</v>
      </c>
      <c r="G1431" s="72" t="s">
        <v>257</v>
      </c>
      <c r="H1431" s="72">
        <v>11.3727</v>
      </c>
      <c r="I1431" s="72">
        <v>46784.300799999997</v>
      </c>
      <c r="J1431" s="70">
        <v>720.02290000000005</v>
      </c>
      <c r="K1431" s="72">
        <v>1240.1686</v>
      </c>
      <c r="L1431" s="72">
        <v>59.749200000000002</v>
      </c>
      <c r="M1431" s="70">
        <v>23.348700000000001</v>
      </c>
      <c r="N1431" s="77">
        <v>120.6</v>
      </c>
      <c r="O1431" s="70">
        <v>4</v>
      </c>
      <c r="P1431" s="70"/>
      <c r="Q1431" s="62" t="s">
        <v>258</v>
      </c>
    </row>
    <row r="1432" spans="1:17" ht="13.8" customHeight="1" x14ac:dyDescent="0.3">
      <c r="A1432" s="73" t="s">
        <v>396</v>
      </c>
      <c r="B1432" s="79">
        <v>46142</v>
      </c>
      <c r="C1432" s="73">
        <v>1393</v>
      </c>
      <c r="D1432" s="73" t="s">
        <v>256</v>
      </c>
      <c r="E1432" s="73">
        <v>1</v>
      </c>
      <c r="F1432" s="75" t="s">
        <v>257</v>
      </c>
      <c r="G1432" s="75" t="s">
        <v>257</v>
      </c>
      <c r="H1432" s="75">
        <v>7.2049000000000003</v>
      </c>
      <c r="I1432" s="75">
        <v>38493.507799999999</v>
      </c>
      <c r="J1432" s="73">
        <v>768.20569999999998</v>
      </c>
      <c r="K1432" s="75">
        <v>1019.9583</v>
      </c>
      <c r="L1432" s="75">
        <v>40.454099999999997</v>
      </c>
      <c r="M1432" s="73">
        <v>23.9102</v>
      </c>
      <c r="N1432" s="76">
        <v>122.88</v>
      </c>
      <c r="O1432" s="73">
        <v>4</v>
      </c>
      <c r="P1432" s="73"/>
      <c r="Q1432" s="66" t="s">
        <v>258</v>
      </c>
    </row>
    <row r="1433" spans="1:17" ht="13.8" customHeight="1" x14ac:dyDescent="0.3">
      <c r="A1433" s="70" t="s">
        <v>396</v>
      </c>
      <c r="B1433" s="78">
        <v>46142</v>
      </c>
      <c r="C1433" s="70">
        <v>1394</v>
      </c>
      <c r="D1433" s="70" t="s">
        <v>256</v>
      </c>
      <c r="E1433" s="70">
        <v>2</v>
      </c>
      <c r="F1433" s="72" t="s">
        <v>257</v>
      </c>
      <c r="G1433" s="72" t="s">
        <v>257</v>
      </c>
      <c r="H1433" s="72">
        <v>7.3266</v>
      </c>
      <c r="I1433" s="72">
        <v>36795.519500000002</v>
      </c>
      <c r="J1433" s="70">
        <v>1024.3320000000001</v>
      </c>
      <c r="K1433" s="72">
        <v>764.44650000000001</v>
      </c>
      <c r="L1433" s="72">
        <v>26.970400000000001</v>
      </c>
      <c r="M1433" s="70">
        <v>18.9269</v>
      </c>
      <c r="N1433" s="77">
        <v>122.82</v>
      </c>
      <c r="O1433" s="70">
        <v>4</v>
      </c>
      <c r="P1433" s="70"/>
      <c r="Q1433" s="62" t="s">
        <v>258</v>
      </c>
    </row>
    <row r="1434" spans="1:17" ht="13.8" customHeight="1" x14ac:dyDescent="0.3">
      <c r="A1434" s="73" t="s">
        <v>396</v>
      </c>
      <c r="B1434" s="79">
        <v>46142</v>
      </c>
      <c r="C1434" s="73">
        <v>1395</v>
      </c>
      <c r="D1434" s="73" t="s">
        <v>256</v>
      </c>
      <c r="E1434" s="73">
        <v>2</v>
      </c>
      <c r="F1434" s="75" t="s">
        <v>257</v>
      </c>
      <c r="G1434" s="75">
        <v>3.1402999999999999</v>
      </c>
      <c r="H1434" s="75">
        <v>11.019500000000001</v>
      </c>
      <c r="I1434" s="75">
        <v>36774.218800000002</v>
      </c>
      <c r="J1434" s="73">
        <v>1935.6868999999999</v>
      </c>
      <c r="K1434" s="75">
        <v>1101.6576</v>
      </c>
      <c r="L1434" s="75">
        <v>17.474</v>
      </c>
      <c r="M1434" s="73" t="s">
        <v>257</v>
      </c>
      <c r="N1434" s="76">
        <v>122.84</v>
      </c>
      <c r="O1434" s="73">
        <v>4</v>
      </c>
      <c r="P1434" s="73"/>
      <c r="Q1434" s="66" t="s">
        <v>258</v>
      </c>
    </row>
    <row r="1435" spans="1:17" ht="13.8" customHeight="1" x14ac:dyDescent="0.3">
      <c r="A1435" s="70" t="s">
        <v>396</v>
      </c>
      <c r="B1435" s="78">
        <v>46142</v>
      </c>
      <c r="C1435" s="70">
        <v>1396</v>
      </c>
      <c r="D1435" s="70" t="s">
        <v>256</v>
      </c>
      <c r="E1435" s="70">
        <v>3</v>
      </c>
      <c r="F1435" s="72">
        <v>5.4915000000000003</v>
      </c>
      <c r="G1435" s="72" t="s">
        <v>257</v>
      </c>
      <c r="H1435" s="72">
        <v>12.6112</v>
      </c>
      <c r="I1435" s="72">
        <v>68064.75</v>
      </c>
      <c r="J1435" s="70">
        <v>991.41989999999998</v>
      </c>
      <c r="K1435" s="72">
        <v>5786.9272000000001</v>
      </c>
      <c r="L1435" s="72">
        <v>77.719800000000006</v>
      </c>
      <c r="M1435" s="70">
        <v>20.976900000000001</v>
      </c>
      <c r="N1435" s="77">
        <v>120.21</v>
      </c>
      <c r="O1435" s="70">
        <v>4</v>
      </c>
      <c r="P1435" s="70"/>
      <c r="Q1435" s="62" t="s">
        <v>258</v>
      </c>
    </row>
    <row r="1436" spans="1:17" ht="13.8" customHeight="1" x14ac:dyDescent="0.3">
      <c r="A1436" s="73" t="s">
        <v>396</v>
      </c>
      <c r="B1436" s="79">
        <v>46142</v>
      </c>
      <c r="C1436" s="73">
        <v>1397</v>
      </c>
      <c r="D1436" s="73" t="s">
        <v>256</v>
      </c>
      <c r="E1436" s="73">
        <v>3</v>
      </c>
      <c r="F1436" s="75" t="s">
        <v>257</v>
      </c>
      <c r="G1436" s="75" t="s">
        <v>257</v>
      </c>
      <c r="H1436" s="75">
        <v>11.051299999999999</v>
      </c>
      <c r="I1436" s="75">
        <v>70041.484400000001</v>
      </c>
      <c r="J1436" s="73">
        <v>1019.3552</v>
      </c>
      <c r="K1436" s="75">
        <v>8096.7943999999998</v>
      </c>
      <c r="L1436" s="75">
        <v>71.874600000000001</v>
      </c>
      <c r="M1436" s="73">
        <v>17.055499999999999</v>
      </c>
      <c r="N1436" s="76">
        <v>120.3</v>
      </c>
      <c r="O1436" s="73">
        <v>4</v>
      </c>
      <c r="P1436" s="73"/>
      <c r="Q1436" s="66" t="s">
        <v>258</v>
      </c>
    </row>
    <row r="1437" spans="1:17" ht="13.8" customHeight="1" x14ac:dyDescent="0.3">
      <c r="A1437" s="70" t="s">
        <v>396</v>
      </c>
      <c r="B1437" s="78">
        <v>46142</v>
      </c>
      <c r="C1437" s="70">
        <v>1398</v>
      </c>
      <c r="D1437" s="70" t="s">
        <v>256</v>
      </c>
      <c r="E1437" s="70">
        <v>4</v>
      </c>
      <c r="F1437" s="72">
        <v>3.5537999999999998</v>
      </c>
      <c r="G1437" s="72" t="s">
        <v>257</v>
      </c>
      <c r="H1437" s="72">
        <v>9.8956</v>
      </c>
      <c r="I1437" s="72">
        <v>68684.328099999999</v>
      </c>
      <c r="J1437" s="70">
        <v>1083.1292000000001</v>
      </c>
      <c r="K1437" s="72">
        <v>2184.2235999999998</v>
      </c>
      <c r="L1437" s="72">
        <v>79.5458</v>
      </c>
      <c r="M1437" s="70">
        <v>14.19</v>
      </c>
      <c r="N1437" s="77">
        <v>123.07</v>
      </c>
      <c r="O1437" s="70">
        <v>4</v>
      </c>
      <c r="P1437" s="70"/>
      <c r="Q1437" s="62" t="s">
        <v>258</v>
      </c>
    </row>
    <row r="1438" spans="1:17" ht="13.8" customHeight="1" x14ac:dyDescent="0.3">
      <c r="A1438" s="73" t="s">
        <v>396</v>
      </c>
      <c r="B1438" s="79">
        <v>46142</v>
      </c>
      <c r="C1438" s="73">
        <v>1399</v>
      </c>
      <c r="D1438" s="73" t="s">
        <v>256</v>
      </c>
      <c r="E1438" s="73">
        <v>4</v>
      </c>
      <c r="F1438" s="75" t="s">
        <v>257</v>
      </c>
      <c r="G1438" s="75" t="s">
        <v>257</v>
      </c>
      <c r="H1438" s="75">
        <v>9.4268000000000001</v>
      </c>
      <c r="I1438" s="75">
        <v>66147.484400000001</v>
      </c>
      <c r="J1438" s="73">
        <v>1003.456</v>
      </c>
      <c r="K1438" s="75">
        <v>2216.9641000000001</v>
      </c>
      <c r="L1438" s="75">
        <v>71.811499999999995</v>
      </c>
      <c r="M1438" s="73">
        <v>15.050800000000001</v>
      </c>
      <c r="N1438" s="76">
        <v>122.93</v>
      </c>
      <c r="O1438" s="73">
        <v>4</v>
      </c>
      <c r="P1438" s="73"/>
      <c r="Q1438" s="66" t="s">
        <v>258</v>
      </c>
    </row>
    <row r="1439" spans="1:17" ht="13.8" customHeight="1" x14ac:dyDescent="0.3">
      <c r="A1439" s="70" t="s">
        <v>396</v>
      </c>
      <c r="B1439" s="78">
        <v>46142</v>
      </c>
      <c r="C1439" s="70">
        <v>1400</v>
      </c>
      <c r="D1439" s="70" t="s">
        <v>256</v>
      </c>
      <c r="E1439" s="70">
        <v>5</v>
      </c>
      <c r="F1439" s="72" t="s">
        <v>257</v>
      </c>
      <c r="G1439" s="72" t="s">
        <v>257</v>
      </c>
      <c r="H1439" s="72">
        <v>6.8817000000000004</v>
      </c>
      <c r="I1439" s="72">
        <v>42523.855499999998</v>
      </c>
      <c r="J1439" s="70">
        <v>674.11170000000004</v>
      </c>
      <c r="K1439" s="72">
        <v>2170.511</v>
      </c>
      <c r="L1439" s="72">
        <v>54.529400000000003</v>
      </c>
      <c r="M1439" s="70">
        <v>10.4498</v>
      </c>
      <c r="N1439" s="77">
        <v>122.72</v>
      </c>
      <c r="O1439" s="70">
        <v>4</v>
      </c>
      <c r="P1439" s="70"/>
      <c r="Q1439" s="62" t="s">
        <v>258</v>
      </c>
    </row>
    <row r="1440" spans="1:17" ht="13.8" customHeight="1" x14ac:dyDescent="0.3">
      <c r="A1440" s="73" t="s">
        <v>396</v>
      </c>
      <c r="B1440" s="79">
        <v>46142</v>
      </c>
      <c r="C1440" s="73">
        <v>1401</v>
      </c>
      <c r="D1440" s="73" t="s">
        <v>256</v>
      </c>
      <c r="E1440" s="73">
        <v>5</v>
      </c>
      <c r="F1440" s="75" t="s">
        <v>257</v>
      </c>
      <c r="G1440" s="75" t="s">
        <v>257</v>
      </c>
      <c r="H1440" s="75">
        <v>10.5924</v>
      </c>
      <c r="I1440" s="75">
        <v>43741.976600000002</v>
      </c>
      <c r="J1440" s="73">
        <v>708.34519999999998</v>
      </c>
      <c r="K1440" s="75">
        <v>1870.9005</v>
      </c>
      <c r="L1440" s="75">
        <v>53.538699999999999</v>
      </c>
      <c r="M1440" s="73">
        <v>13.979100000000001</v>
      </c>
      <c r="N1440" s="76">
        <v>120.55</v>
      </c>
      <c r="O1440" s="73">
        <v>4</v>
      </c>
      <c r="P1440" s="73"/>
      <c r="Q1440" s="66" t="s">
        <v>258</v>
      </c>
    </row>
    <row r="1441" spans="1:17" ht="13.8" customHeight="1" x14ac:dyDescent="0.3">
      <c r="A1441" s="70" t="s">
        <v>397</v>
      </c>
      <c r="B1441" s="78">
        <v>46142</v>
      </c>
      <c r="C1441" s="70">
        <v>264</v>
      </c>
      <c r="D1441" s="70" t="s">
        <v>256</v>
      </c>
      <c r="E1441" s="70">
        <v>1</v>
      </c>
      <c r="F1441" s="72">
        <v>6.9462000000000002</v>
      </c>
      <c r="G1441" s="72">
        <v>15.4077</v>
      </c>
      <c r="H1441" s="72">
        <v>61.731099999999998</v>
      </c>
      <c r="I1441" s="72">
        <v>93515.726599999995</v>
      </c>
      <c r="J1441" s="70">
        <v>89.251900000000006</v>
      </c>
      <c r="K1441" s="72">
        <v>53978.242200000001</v>
      </c>
      <c r="L1441" s="72">
        <v>9.3956</v>
      </c>
      <c r="M1441" s="70">
        <v>16.229800000000001</v>
      </c>
      <c r="N1441" s="77">
        <v>120.59</v>
      </c>
      <c r="O1441" s="70">
        <v>4</v>
      </c>
      <c r="P1441" s="70"/>
      <c r="Q1441" s="62" t="s">
        <v>360</v>
      </c>
    </row>
    <row r="1442" spans="1:17" ht="13.8" customHeight="1" x14ac:dyDescent="0.3">
      <c r="A1442" s="73" t="s">
        <v>397</v>
      </c>
      <c r="B1442" s="79">
        <v>46142</v>
      </c>
      <c r="C1442" s="73">
        <v>265</v>
      </c>
      <c r="D1442" s="73" t="s">
        <v>256</v>
      </c>
      <c r="E1442" s="73">
        <v>1</v>
      </c>
      <c r="F1442" s="75">
        <v>7.0677000000000003</v>
      </c>
      <c r="G1442" s="75">
        <v>12.568899999999999</v>
      </c>
      <c r="H1442" s="75">
        <v>50.5169</v>
      </c>
      <c r="I1442" s="75">
        <v>89940.359400000001</v>
      </c>
      <c r="J1442" s="73">
        <v>113.08880000000001</v>
      </c>
      <c r="K1442" s="75">
        <v>48446.578099999999</v>
      </c>
      <c r="L1442" s="75">
        <v>15.4396</v>
      </c>
      <c r="M1442" s="73">
        <v>20.154</v>
      </c>
      <c r="N1442" s="76">
        <v>120.56</v>
      </c>
      <c r="O1442" s="73">
        <v>4</v>
      </c>
      <c r="P1442" s="73"/>
      <c r="Q1442" s="66" t="s">
        <v>360</v>
      </c>
    </row>
    <row r="1443" spans="1:17" ht="13.8" customHeight="1" x14ac:dyDescent="0.3">
      <c r="A1443" s="70" t="s">
        <v>397</v>
      </c>
      <c r="B1443" s="78">
        <v>46142</v>
      </c>
      <c r="C1443" s="70">
        <v>266</v>
      </c>
      <c r="D1443" s="70" t="s">
        <v>256</v>
      </c>
      <c r="E1443" s="70">
        <v>2</v>
      </c>
      <c r="F1443" s="72">
        <v>53.196399999999997</v>
      </c>
      <c r="G1443" s="72">
        <v>2.3247</v>
      </c>
      <c r="H1443" s="72">
        <v>11.532400000000001</v>
      </c>
      <c r="I1443" s="72">
        <v>32174.285199999998</v>
      </c>
      <c r="J1443" s="70" t="s">
        <v>257</v>
      </c>
      <c r="K1443" s="72">
        <v>5537.8936000000003</v>
      </c>
      <c r="L1443" s="72" t="s">
        <v>257</v>
      </c>
      <c r="M1443" s="70">
        <v>5.5460000000000003</v>
      </c>
      <c r="N1443" s="77">
        <v>126.23</v>
      </c>
      <c r="O1443" s="70">
        <v>4</v>
      </c>
      <c r="P1443" s="70"/>
      <c r="Q1443" s="62" t="s">
        <v>360</v>
      </c>
    </row>
    <row r="1444" spans="1:17" ht="13.8" customHeight="1" x14ac:dyDescent="0.3">
      <c r="A1444" s="73" t="s">
        <v>397</v>
      </c>
      <c r="B1444" s="79">
        <v>46142</v>
      </c>
      <c r="C1444" s="73">
        <v>267</v>
      </c>
      <c r="D1444" s="73" t="s">
        <v>256</v>
      </c>
      <c r="E1444" s="73">
        <v>2</v>
      </c>
      <c r="F1444" s="75">
        <v>48.012799999999999</v>
      </c>
      <c r="G1444" s="75" t="s">
        <v>257</v>
      </c>
      <c r="H1444" s="75">
        <v>11.061400000000001</v>
      </c>
      <c r="I1444" s="75">
        <v>25577.578099999999</v>
      </c>
      <c r="J1444" s="73" t="s">
        <v>257</v>
      </c>
      <c r="K1444" s="75">
        <v>5833.5609999999997</v>
      </c>
      <c r="L1444" s="75" t="s">
        <v>257</v>
      </c>
      <c r="M1444" s="73" t="s">
        <v>257</v>
      </c>
      <c r="N1444" s="76">
        <v>120.89</v>
      </c>
      <c r="O1444" s="73">
        <v>4</v>
      </c>
      <c r="P1444" s="73"/>
      <c r="Q1444" s="66" t="s">
        <v>360</v>
      </c>
    </row>
    <row r="1445" spans="1:17" ht="13.8" customHeight="1" x14ac:dyDescent="0.3">
      <c r="A1445" s="70" t="s">
        <v>397</v>
      </c>
      <c r="B1445" s="78">
        <v>46142</v>
      </c>
      <c r="C1445" s="70">
        <v>268</v>
      </c>
      <c r="D1445" s="70" t="s">
        <v>256</v>
      </c>
      <c r="E1445" s="70">
        <v>3</v>
      </c>
      <c r="F1445" s="72">
        <v>7.5404999999999998</v>
      </c>
      <c r="G1445" s="72">
        <v>4.1696999999999997</v>
      </c>
      <c r="H1445" s="72">
        <v>17.252600000000001</v>
      </c>
      <c r="I1445" s="72">
        <v>112417.36719999999</v>
      </c>
      <c r="J1445" s="70" t="s">
        <v>257</v>
      </c>
      <c r="K1445" s="72">
        <v>56656.203099999999</v>
      </c>
      <c r="L1445" s="72">
        <v>6.9404000000000003</v>
      </c>
      <c r="M1445" s="70">
        <v>13.707800000000001</v>
      </c>
      <c r="N1445" s="77">
        <v>126.04</v>
      </c>
      <c r="O1445" s="70">
        <v>4</v>
      </c>
      <c r="P1445" s="70"/>
      <c r="Q1445" s="62" t="s">
        <v>360</v>
      </c>
    </row>
    <row r="1446" spans="1:17" ht="13.8" customHeight="1" x14ac:dyDescent="0.3">
      <c r="A1446" s="73" t="s">
        <v>397</v>
      </c>
      <c r="B1446" s="79">
        <v>46142</v>
      </c>
      <c r="C1446" s="73">
        <v>269</v>
      </c>
      <c r="D1446" s="73" t="s">
        <v>256</v>
      </c>
      <c r="E1446" s="73">
        <v>3</v>
      </c>
      <c r="F1446" s="75">
        <v>12.427099999999999</v>
      </c>
      <c r="G1446" s="75">
        <v>2.5649999999999999</v>
      </c>
      <c r="H1446" s="75">
        <v>14.903600000000001</v>
      </c>
      <c r="I1446" s="75">
        <v>94861.492199999993</v>
      </c>
      <c r="J1446" s="73">
        <v>30.331199999999999</v>
      </c>
      <c r="K1446" s="75">
        <v>56938.621099999997</v>
      </c>
      <c r="L1446" s="75">
        <v>4.6363000000000003</v>
      </c>
      <c r="M1446" s="73" t="s">
        <v>257</v>
      </c>
      <c r="N1446" s="76">
        <v>120.72</v>
      </c>
      <c r="O1446" s="73">
        <v>4</v>
      </c>
      <c r="P1446" s="73"/>
      <c r="Q1446" s="66" t="s">
        <v>360</v>
      </c>
    </row>
    <row r="1447" spans="1:17" ht="13.8" customHeight="1" x14ac:dyDescent="0.3">
      <c r="A1447" s="70" t="s">
        <v>397</v>
      </c>
      <c r="B1447" s="78">
        <v>46142</v>
      </c>
      <c r="C1447" s="70">
        <v>270</v>
      </c>
      <c r="D1447" s="70" t="s">
        <v>256</v>
      </c>
      <c r="E1447" s="70">
        <v>4</v>
      </c>
      <c r="F1447" s="72">
        <v>7.5570000000000004</v>
      </c>
      <c r="G1447" s="72" t="s">
        <v>257</v>
      </c>
      <c r="H1447" s="72">
        <v>8.7601999999999993</v>
      </c>
      <c r="I1447" s="72">
        <v>30285.804700000001</v>
      </c>
      <c r="J1447" s="70">
        <v>466.66</v>
      </c>
      <c r="K1447" s="72">
        <v>9115.1787000000004</v>
      </c>
      <c r="L1447" s="72">
        <v>31.905899999999999</v>
      </c>
      <c r="M1447" s="70">
        <v>8.984</v>
      </c>
      <c r="N1447" s="77">
        <v>120.24</v>
      </c>
      <c r="O1447" s="70">
        <v>4</v>
      </c>
      <c r="P1447" s="70"/>
      <c r="Q1447" s="62" t="s">
        <v>360</v>
      </c>
    </row>
    <row r="1448" spans="1:17" ht="13.8" customHeight="1" x14ac:dyDescent="0.3">
      <c r="A1448" s="73" t="s">
        <v>397</v>
      </c>
      <c r="B1448" s="79">
        <v>46142</v>
      </c>
      <c r="C1448" s="73">
        <v>271</v>
      </c>
      <c r="D1448" s="73" t="s">
        <v>256</v>
      </c>
      <c r="E1448" s="73">
        <v>4</v>
      </c>
      <c r="F1448" s="75">
        <v>4.5033000000000003</v>
      </c>
      <c r="G1448" s="75" t="s">
        <v>257</v>
      </c>
      <c r="H1448" s="75">
        <v>7.6894999999999998</v>
      </c>
      <c r="I1448" s="75">
        <v>30928.757799999999</v>
      </c>
      <c r="J1448" s="73">
        <v>537.50109999999995</v>
      </c>
      <c r="K1448" s="75">
        <v>8457.6728999999996</v>
      </c>
      <c r="L1448" s="75">
        <v>38.900799999999997</v>
      </c>
      <c r="M1448" s="73">
        <v>6.1932</v>
      </c>
      <c r="N1448" s="76">
        <v>120.7</v>
      </c>
      <c r="O1448" s="73">
        <v>4</v>
      </c>
      <c r="P1448" s="73"/>
      <c r="Q1448" s="66" t="s">
        <v>360</v>
      </c>
    </row>
    <row r="1449" spans="1:17" ht="13.8" customHeight="1" x14ac:dyDescent="0.3">
      <c r="A1449" s="70" t="s">
        <v>397</v>
      </c>
      <c r="B1449" s="78">
        <v>46142</v>
      </c>
      <c r="C1449" s="70">
        <v>272</v>
      </c>
      <c r="D1449" s="70" t="s">
        <v>256</v>
      </c>
      <c r="E1449" s="70">
        <v>5</v>
      </c>
      <c r="F1449" s="72">
        <v>25.1267</v>
      </c>
      <c r="G1449" s="72">
        <v>3.4803999999999999</v>
      </c>
      <c r="H1449" s="72">
        <v>10.181800000000001</v>
      </c>
      <c r="I1449" s="72">
        <v>37447.925799999997</v>
      </c>
      <c r="J1449" s="70">
        <v>23.161000000000001</v>
      </c>
      <c r="K1449" s="72" t="s">
        <v>257</v>
      </c>
      <c r="L1449" s="72">
        <v>5.7294999999999998</v>
      </c>
      <c r="M1449" s="70">
        <v>6.4500999999999999</v>
      </c>
      <c r="N1449" s="77">
        <v>90.48</v>
      </c>
      <c r="O1449" s="70">
        <v>4</v>
      </c>
      <c r="P1449" s="70"/>
      <c r="Q1449" s="62" t="s">
        <v>360</v>
      </c>
    </row>
    <row r="1450" spans="1:17" ht="13.8" customHeight="1" x14ac:dyDescent="0.3">
      <c r="A1450" s="73" t="s">
        <v>397</v>
      </c>
      <c r="B1450" s="79">
        <v>46142</v>
      </c>
      <c r="C1450" s="73">
        <v>273</v>
      </c>
      <c r="D1450" s="73" t="s">
        <v>256</v>
      </c>
      <c r="E1450" s="73">
        <v>5</v>
      </c>
      <c r="F1450" s="75">
        <v>22.328900000000001</v>
      </c>
      <c r="G1450" s="75">
        <v>2.7629000000000001</v>
      </c>
      <c r="H1450" s="75">
        <v>9.3675999999999995</v>
      </c>
      <c r="I1450" s="75">
        <v>33878.148399999998</v>
      </c>
      <c r="J1450" s="73" t="s">
        <v>257</v>
      </c>
      <c r="K1450" s="75">
        <v>14153.0254</v>
      </c>
      <c r="L1450" s="75">
        <v>6.3975999999999997</v>
      </c>
      <c r="M1450" s="73">
        <v>5.0726000000000004</v>
      </c>
      <c r="N1450" s="76">
        <v>120.62</v>
      </c>
      <c r="O1450" s="73">
        <v>4</v>
      </c>
      <c r="P1450" s="73"/>
      <c r="Q1450" s="66" t="s">
        <v>360</v>
      </c>
    </row>
    <row r="1451" spans="1:17" ht="13.8" customHeight="1" x14ac:dyDescent="0.3">
      <c r="A1451" s="70" t="s">
        <v>398</v>
      </c>
      <c r="B1451" s="78">
        <v>46142</v>
      </c>
      <c r="C1451" s="70">
        <v>274</v>
      </c>
      <c r="D1451" s="70" t="s">
        <v>256</v>
      </c>
      <c r="E1451" s="70">
        <v>1</v>
      </c>
      <c r="F1451" s="72">
        <v>6.6955</v>
      </c>
      <c r="G1451" s="72" t="s">
        <v>257</v>
      </c>
      <c r="H1451" s="72">
        <v>13.378</v>
      </c>
      <c r="I1451" s="72">
        <v>41471.785199999998</v>
      </c>
      <c r="J1451" s="70">
        <v>259.01400000000001</v>
      </c>
      <c r="K1451" s="72">
        <v>6801.0024000000003</v>
      </c>
      <c r="L1451" s="72">
        <v>37.820799999999998</v>
      </c>
      <c r="M1451" s="70">
        <v>21.7865</v>
      </c>
      <c r="N1451" s="77">
        <v>126.28</v>
      </c>
      <c r="O1451" s="70">
        <v>4</v>
      </c>
      <c r="P1451" s="70"/>
      <c r="Q1451" s="62" t="s">
        <v>360</v>
      </c>
    </row>
    <row r="1452" spans="1:17" ht="13.8" customHeight="1" x14ac:dyDescent="0.3">
      <c r="A1452" s="73" t="s">
        <v>398</v>
      </c>
      <c r="B1452" s="79">
        <v>46142</v>
      </c>
      <c r="C1452" s="73">
        <v>275</v>
      </c>
      <c r="D1452" s="73" t="s">
        <v>256</v>
      </c>
      <c r="E1452" s="73">
        <v>1</v>
      </c>
      <c r="F1452" s="75">
        <v>7.0278</v>
      </c>
      <c r="G1452" s="75">
        <v>2.6145</v>
      </c>
      <c r="H1452" s="75">
        <v>10.2034</v>
      </c>
      <c r="I1452" s="75">
        <v>37260.019500000002</v>
      </c>
      <c r="J1452" s="73">
        <v>228.12620000000001</v>
      </c>
      <c r="K1452" s="75">
        <v>6543.0342000000001</v>
      </c>
      <c r="L1452" s="75">
        <v>39.917900000000003</v>
      </c>
      <c r="M1452" s="73">
        <v>24.050899999999999</v>
      </c>
      <c r="N1452" s="76">
        <v>120.22</v>
      </c>
      <c r="O1452" s="73">
        <v>4</v>
      </c>
      <c r="P1452" s="73"/>
      <c r="Q1452" s="66" t="s">
        <v>360</v>
      </c>
    </row>
    <row r="1453" spans="1:17" ht="13.8" customHeight="1" x14ac:dyDescent="0.3">
      <c r="A1453" s="70" t="s">
        <v>398</v>
      </c>
      <c r="B1453" s="78">
        <v>46142</v>
      </c>
      <c r="C1453" s="70">
        <v>276</v>
      </c>
      <c r="D1453" s="70" t="s">
        <v>256</v>
      </c>
      <c r="E1453" s="70">
        <v>2</v>
      </c>
      <c r="F1453" s="72">
        <v>7.1372</v>
      </c>
      <c r="G1453" s="72">
        <v>1.1806000000000001</v>
      </c>
      <c r="H1453" s="72">
        <v>4.8731999999999998</v>
      </c>
      <c r="I1453" s="72">
        <v>15586.543900000001</v>
      </c>
      <c r="J1453" s="70" t="s">
        <v>257</v>
      </c>
      <c r="K1453" s="72">
        <v>2361.2770999999998</v>
      </c>
      <c r="L1453" s="72">
        <v>6.1791999999999998</v>
      </c>
      <c r="M1453" s="70" t="s">
        <v>257</v>
      </c>
      <c r="N1453" s="77">
        <v>120.8</v>
      </c>
      <c r="O1453" s="70">
        <v>4</v>
      </c>
      <c r="P1453" s="70"/>
      <c r="Q1453" s="62" t="s">
        <v>360</v>
      </c>
    </row>
    <row r="1454" spans="1:17" ht="13.8" customHeight="1" x14ac:dyDescent="0.3">
      <c r="A1454" s="73" t="s">
        <v>398</v>
      </c>
      <c r="B1454" s="79">
        <v>46142</v>
      </c>
      <c r="C1454" s="73">
        <v>277</v>
      </c>
      <c r="D1454" s="73" t="s">
        <v>256</v>
      </c>
      <c r="E1454" s="73">
        <v>2</v>
      </c>
      <c r="F1454" s="75" t="s">
        <v>257</v>
      </c>
      <c r="G1454" s="75" t="s">
        <v>257</v>
      </c>
      <c r="H1454" s="75">
        <v>5.8346999999999998</v>
      </c>
      <c r="I1454" s="75">
        <v>7958.0263999999997</v>
      </c>
      <c r="J1454" s="73" t="s">
        <v>257</v>
      </c>
      <c r="K1454" s="75">
        <v>1942.8624</v>
      </c>
      <c r="L1454" s="75">
        <v>2.3033999999999999</v>
      </c>
      <c r="M1454" s="73" t="s">
        <v>257</v>
      </c>
      <c r="N1454" s="76">
        <v>120.7</v>
      </c>
      <c r="O1454" s="73">
        <v>4</v>
      </c>
      <c r="P1454" s="73"/>
      <c r="Q1454" s="66" t="s">
        <v>360</v>
      </c>
    </row>
    <row r="1455" spans="1:17" ht="13.8" customHeight="1" x14ac:dyDescent="0.3">
      <c r="A1455" s="70" t="s">
        <v>398</v>
      </c>
      <c r="B1455" s="78">
        <v>46142</v>
      </c>
      <c r="C1455" s="70">
        <v>278</v>
      </c>
      <c r="D1455" s="70" t="s">
        <v>256</v>
      </c>
      <c r="E1455" s="70">
        <v>2</v>
      </c>
      <c r="F1455" s="72">
        <v>22.786999999999999</v>
      </c>
      <c r="G1455" s="72" t="s">
        <v>257</v>
      </c>
      <c r="H1455" s="72">
        <v>6.1456999999999997</v>
      </c>
      <c r="I1455" s="72">
        <v>8631.2852000000003</v>
      </c>
      <c r="J1455" s="70" t="s">
        <v>257</v>
      </c>
      <c r="K1455" s="72">
        <v>4608.8950000000004</v>
      </c>
      <c r="L1455" s="72">
        <v>5.5720000000000001</v>
      </c>
      <c r="M1455" s="70" t="s">
        <v>257</v>
      </c>
      <c r="N1455" s="77">
        <v>126.11</v>
      </c>
      <c r="O1455" s="70">
        <v>4</v>
      </c>
      <c r="P1455" s="70"/>
      <c r="Q1455" s="62" t="s">
        <v>360</v>
      </c>
    </row>
    <row r="1456" spans="1:17" ht="13.8" customHeight="1" x14ac:dyDescent="0.3">
      <c r="A1456" s="73" t="s">
        <v>398</v>
      </c>
      <c r="B1456" s="79">
        <v>46142</v>
      </c>
      <c r="C1456" s="73">
        <v>279</v>
      </c>
      <c r="D1456" s="73" t="s">
        <v>256</v>
      </c>
      <c r="E1456" s="73">
        <v>3</v>
      </c>
      <c r="F1456" s="75" t="s">
        <v>257</v>
      </c>
      <c r="G1456" s="75" t="s">
        <v>257</v>
      </c>
      <c r="H1456" s="75">
        <v>8.8977000000000004</v>
      </c>
      <c r="I1456" s="75">
        <v>52734.035199999998</v>
      </c>
      <c r="J1456" s="73">
        <v>370.09190000000001</v>
      </c>
      <c r="K1456" s="75">
        <v>30867.5527</v>
      </c>
      <c r="L1456" s="75">
        <v>60.018900000000002</v>
      </c>
      <c r="M1456" s="73">
        <v>100.55</v>
      </c>
      <c r="N1456" s="76">
        <v>125.77</v>
      </c>
      <c r="O1456" s="73">
        <v>4</v>
      </c>
      <c r="P1456" s="73"/>
      <c r="Q1456" s="66" t="s">
        <v>360</v>
      </c>
    </row>
    <row r="1457" spans="1:17" ht="13.8" customHeight="1" x14ac:dyDescent="0.3">
      <c r="A1457" s="70" t="s">
        <v>398</v>
      </c>
      <c r="B1457" s="78">
        <v>46142</v>
      </c>
      <c r="C1457" s="70">
        <v>280</v>
      </c>
      <c r="D1457" s="70" t="s">
        <v>256</v>
      </c>
      <c r="E1457" s="70">
        <v>3</v>
      </c>
      <c r="F1457" s="72" t="s">
        <v>257</v>
      </c>
      <c r="G1457" s="72" t="s">
        <v>257</v>
      </c>
      <c r="H1457" s="72">
        <v>8.8878000000000004</v>
      </c>
      <c r="I1457" s="72">
        <v>64868.316400000003</v>
      </c>
      <c r="J1457" s="70">
        <v>344.36939999999998</v>
      </c>
      <c r="K1457" s="72">
        <v>35010.855499999998</v>
      </c>
      <c r="L1457" s="72">
        <v>55.2378</v>
      </c>
      <c r="M1457" s="70">
        <v>100.6253</v>
      </c>
      <c r="N1457" s="77">
        <v>120.24</v>
      </c>
      <c r="O1457" s="70">
        <v>4</v>
      </c>
      <c r="P1457" s="70"/>
      <c r="Q1457" s="62" t="s">
        <v>360</v>
      </c>
    </row>
    <row r="1458" spans="1:17" ht="13.8" customHeight="1" x14ac:dyDescent="0.3">
      <c r="A1458" s="73" t="s">
        <v>398</v>
      </c>
      <c r="B1458" s="79">
        <v>46142</v>
      </c>
      <c r="C1458" s="73">
        <v>281</v>
      </c>
      <c r="D1458" s="73" t="s">
        <v>256</v>
      </c>
      <c r="E1458" s="73">
        <v>4</v>
      </c>
      <c r="F1458" s="75">
        <v>2.5811999999999999</v>
      </c>
      <c r="G1458" s="75" t="s">
        <v>257</v>
      </c>
      <c r="H1458" s="75">
        <v>5.867</v>
      </c>
      <c r="I1458" s="75">
        <v>32229.304700000001</v>
      </c>
      <c r="J1458" s="73">
        <v>513.79520000000002</v>
      </c>
      <c r="K1458" s="75">
        <v>5746.8788999999997</v>
      </c>
      <c r="L1458" s="75">
        <v>47.135300000000001</v>
      </c>
      <c r="M1458" s="73">
        <v>4.4012000000000002</v>
      </c>
      <c r="N1458" s="76">
        <v>120.49</v>
      </c>
      <c r="O1458" s="73">
        <v>4</v>
      </c>
      <c r="P1458" s="73"/>
      <c r="Q1458" s="66" t="s">
        <v>360</v>
      </c>
    </row>
    <row r="1459" spans="1:17" ht="13.8" customHeight="1" x14ac:dyDescent="0.3">
      <c r="A1459" s="70" t="s">
        <v>398</v>
      </c>
      <c r="B1459" s="78">
        <v>46142</v>
      </c>
      <c r="C1459" s="70">
        <v>282</v>
      </c>
      <c r="D1459" s="70" t="s">
        <v>256</v>
      </c>
      <c r="E1459" s="70">
        <v>4</v>
      </c>
      <c r="F1459" s="72" t="s">
        <v>257</v>
      </c>
      <c r="G1459" s="72" t="s">
        <v>257</v>
      </c>
      <c r="H1459" s="72">
        <v>9.1298999999999992</v>
      </c>
      <c r="I1459" s="72">
        <v>32627.492200000001</v>
      </c>
      <c r="J1459" s="70">
        <v>508.84070000000003</v>
      </c>
      <c r="K1459" s="72">
        <v>6297.4390000000003</v>
      </c>
      <c r="L1459" s="72">
        <v>58.752400000000002</v>
      </c>
      <c r="M1459" s="70" t="s">
        <v>257</v>
      </c>
      <c r="N1459" s="77">
        <v>120.82</v>
      </c>
      <c r="O1459" s="70">
        <v>4</v>
      </c>
      <c r="P1459" s="70"/>
      <c r="Q1459" s="62" t="s">
        <v>360</v>
      </c>
    </row>
    <row r="1460" spans="1:17" ht="13.8" customHeight="1" x14ac:dyDescent="0.3">
      <c r="A1460" s="73" t="s">
        <v>398</v>
      </c>
      <c r="B1460" s="79">
        <v>46142</v>
      </c>
      <c r="C1460" s="73">
        <v>283</v>
      </c>
      <c r="D1460" s="73" t="s">
        <v>256</v>
      </c>
      <c r="E1460" s="73">
        <v>5</v>
      </c>
      <c r="F1460" s="75">
        <v>9.3277999999999999</v>
      </c>
      <c r="G1460" s="75" t="s">
        <v>257</v>
      </c>
      <c r="H1460" s="75">
        <v>6.8906999999999998</v>
      </c>
      <c r="I1460" s="75">
        <v>61905.707000000002</v>
      </c>
      <c r="J1460" s="73">
        <v>241.8116</v>
      </c>
      <c r="K1460" s="75">
        <v>7771.6283999999996</v>
      </c>
      <c r="L1460" s="75">
        <v>67.241799999999998</v>
      </c>
      <c r="M1460" s="73">
        <v>22.405799999999999</v>
      </c>
      <c r="N1460" s="76">
        <v>125.96</v>
      </c>
      <c r="O1460" s="73">
        <v>4</v>
      </c>
      <c r="P1460" s="73"/>
      <c r="Q1460" s="66" t="s">
        <v>360</v>
      </c>
    </row>
    <row r="1461" spans="1:17" ht="13.8" customHeight="1" x14ac:dyDescent="0.3">
      <c r="A1461" s="70" t="s">
        <v>398</v>
      </c>
      <c r="B1461" s="78">
        <v>46142</v>
      </c>
      <c r="C1461" s="70">
        <v>284</v>
      </c>
      <c r="D1461" s="70" t="s">
        <v>256</v>
      </c>
      <c r="E1461" s="70">
        <v>5</v>
      </c>
      <c r="F1461" s="72">
        <v>7.7450000000000001</v>
      </c>
      <c r="G1461" s="72">
        <v>1.7498</v>
      </c>
      <c r="H1461" s="72">
        <v>5.1374000000000004</v>
      </c>
      <c r="I1461" s="72">
        <v>34026.757799999999</v>
      </c>
      <c r="J1461" s="70">
        <v>359.83519999999999</v>
      </c>
      <c r="K1461" s="72">
        <v>9422.7245999999996</v>
      </c>
      <c r="L1461" s="72">
        <v>67.811800000000005</v>
      </c>
      <c r="M1461" s="70">
        <v>19.195499999999999</v>
      </c>
      <c r="N1461" s="77">
        <v>120.15</v>
      </c>
      <c r="O1461" s="70">
        <v>4</v>
      </c>
      <c r="P1461" s="70"/>
      <c r="Q1461" s="62" t="s">
        <v>360</v>
      </c>
    </row>
    <row r="1462" spans="1:17" ht="13.8" customHeight="1" x14ac:dyDescent="0.3">
      <c r="A1462" s="73" t="s">
        <v>399</v>
      </c>
      <c r="B1462" s="79">
        <v>46142</v>
      </c>
      <c r="C1462" s="73">
        <v>285</v>
      </c>
      <c r="D1462" s="73" t="s">
        <v>256</v>
      </c>
      <c r="E1462" s="73">
        <v>1</v>
      </c>
      <c r="F1462" s="75" t="s">
        <v>257</v>
      </c>
      <c r="G1462" s="75">
        <v>5.3738999999999999</v>
      </c>
      <c r="H1462" s="75">
        <v>4.1421999999999999</v>
      </c>
      <c r="I1462" s="75">
        <v>1086.3671999999999</v>
      </c>
      <c r="J1462" s="73" t="s">
        <v>257</v>
      </c>
      <c r="K1462" s="75">
        <v>1641.0311999999999</v>
      </c>
      <c r="L1462" s="75">
        <v>5.0545999999999998</v>
      </c>
      <c r="M1462" s="73" t="s">
        <v>257</v>
      </c>
      <c r="N1462" s="76">
        <v>120.66</v>
      </c>
      <c r="O1462" s="73">
        <v>4</v>
      </c>
      <c r="P1462" s="73"/>
      <c r="Q1462" s="66" t="s">
        <v>360</v>
      </c>
    </row>
    <row r="1463" spans="1:17" ht="13.8" customHeight="1" x14ac:dyDescent="0.3">
      <c r="A1463" s="70" t="s">
        <v>399</v>
      </c>
      <c r="B1463" s="78">
        <v>46142</v>
      </c>
      <c r="C1463" s="70">
        <v>286</v>
      </c>
      <c r="D1463" s="70" t="s">
        <v>256</v>
      </c>
      <c r="E1463" s="70">
        <v>1</v>
      </c>
      <c r="F1463" s="72" t="s">
        <v>257</v>
      </c>
      <c r="G1463" s="72">
        <v>6.4896000000000003</v>
      </c>
      <c r="H1463" s="72">
        <v>3.3538999999999999</v>
      </c>
      <c r="I1463" s="72">
        <v>1119.8400999999999</v>
      </c>
      <c r="J1463" s="70" t="s">
        <v>257</v>
      </c>
      <c r="K1463" s="72">
        <v>1691.067</v>
      </c>
      <c r="L1463" s="72">
        <v>2.6008</v>
      </c>
      <c r="M1463" s="70" t="s">
        <v>257</v>
      </c>
      <c r="N1463" s="77">
        <v>120.62</v>
      </c>
      <c r="O1463" s="70">
        <v>4</v>
      </c>
      <c r="P1463" s="70"/>
      <c r="Q1463" s="62" t="s">
        <v>360</v>
      </c>
    </row>
    <row r="1464" spans="1:17" ht="13.8" customHeight="1" x14ac:dyDescent="0.3">
      <c r="A1464" s="73" t="s">
        <v>399</v>
      </c>
      <c r="B1464" s="79">
        <v>46142</v>
      </c>
      <c r="C1464" s="73">
        <v>287</v>
      </c>
      <c r="D1464" s="73" t="s">
        <v>256</v>
      </c>
      <c r="E1464" s="73">
        <v>2</v>
      </c>
      <c r="F1464" s="75">
        <v>16.343</v>
      </c>
      <c r="G1464" s="75">
        <v>5.3834</v>
      </c>
      <c r="H1464" s="75">
        <v>4.8159999999999998</v>
      </c>
      <c r="I1464" s="75">
        <v>1506.3788</v>
      </c>
      <c r="J1464" s="73" t="s">
        <v>257</v>
      </c>
      <c r="K1464" s="75">
        <v>885.76369999999997</v>
      </c>
      <c r="L1464" s="75">
        <v>11.9229</v>
      </c>
      <c r="M1464" s="73" t="s">
        <v>257</v>
      </c>
      <c r="N1464" s="76">
        <v>126.48</v>
      </c>
      <c r="O1464" s="73">
        <v>4</v>
      </c>
      <c r="P1464" s="73"/>
      <c r="Q1464" s="66" t="s">
        <v>360</v>
      </c>
    </row>
    <row r="1465" spans="1:17" ht="13.8" customHeight="1" x14ac:dyDescent="0.3">
      <c r="A1465" s="70" t="s">
        <v>399</v>
      </c>
      <c r="B1465" s="78">
        <v>46142</v>
      </c>
      <c r="C1465" s="70">
        <v>288</v>
      </c>
      <c r="D1465" s="70" t="s">
        <v>256</v>
      </c>
      <c r="E1465" s="70">
        <v>2</v>
      </c>
      <c r="F1465" s="72">
        <v>5.4919000000000002</v>
      </c>
      <c r="G1465" s="72">
        <v>4.4356</v>
      </c>
      <c r="H1465" s="72">
        <v>5.2763999999999998</v>
      </c>
      <c r="I1465" s="72">
        <v>1266.3543999999999</v>
      </c>
      <c r="J1465" s="70" t="s">
        <v>257</v>
      </c>
      <c r="K1465" s="72">
        <v>900.21680000000003</v>
      </c>
      <c r="L1465" s="72">
        <v>3.9283000000000001</v>
      </c>
      <c r="M1465" s="70" t="s">
        <v>257</v>
      </c>
      <c r="N1465" s="77">
        <v>120.81</v>
      </c>
      <c r="O1465" s="70">
        <v>4</v>
      </c>
      <c r="P1465" s="70"/>
      <c r="Q1465" s="62" t="s">
        <v>360</v>
      </c>
    </row>
    <row r="1466" spans="1:17" ht="13.8" customHeight="1" x14ac:dyDescent="0.3">
      <c r="A1466" s="73" t="s">
        <v>399</v>
      </c>
      <c r="B1466" s="79">
        <v>46142</v>
      </c>
      <c r="C1466" s="73">
        <v>289</v>
      </c>
      <c r="D1466" s="73" t="s">
        <v>256</v>
      </c>
      <c r="E1466" s="73">
        <v>2</v>
      </c>
      <c r="F1466" s="75">
        <v>29.8553</v>
      </c>
      <c r="G1466" s="75">
        <v>4.5479000000000003</v>
      </c>
      <c r="H1466" s="75">
        <v>6.8183999999999996</v>
      </c>
      <c r="I1466" s="75">
        <v>2049.0475999999999</v>
      </c>
      <c r="J1466" s="73" t="s">
        <v>257</v>
      </c>
      <c r="K1466" s="75">
        <v>1026.1962000000001</v>
      </c>
      <c r="L1466" s="75">
        <v>17.233899999999998</v>
      </c>
      <c r="M1466" s="73" t="s">
        <v>257</v>
      </c>
      <c r="N1466" s="76">
        <v>126.4</v>
      </c>
      <c r="O1466" s="73">
        <v>4</v>
      </c>
      <c r="P1466" s="73"/>
      <c r="Q1466" s="66" t="s">
        <v>360</v>
      </c>
    </row>
    <row r="1467" spans="1:17" ht="13.8" customHeight="1" x14ac:dyDescent="0.3">
      <c r="A1467" s="70" t="s">
        <v>399</v>
      </c>
      <c r="B1467" s="78">
        <v>46142</v>
      </c>
      <c r="C1467" s="70">
        <v>290</v>
      </c>
      <c r="D1467" s="70" t="s">
        <v>256</v>
      </c>
      <c r="E1467" s="70">
        <v>3</v>
      </c>
      <c r="F1467" s="72">
        <v>15.0162</v>
      </c>
      <c r="G1467" s="72">
        <v>13.966900000000001</v>
      </c>
      <c r="H1467" s="72">
        <v>20.225999999999999</v>
      </c>
      <c r="I1467" s="72">
        <v>6702.8423000000003</v>
      </c>
      <c r="J1467" s="70" t="s">
        <v>257</v>
      </c>
      <c r="K1467" s="72">
        <v>4373.7798000000003</v>
      </c>
      <c r="L1467" s="72">
        <v>54.940600000000003</v>
      </c>
      <c r="M1467" s="70">
        <v>19.219200000000001</v>
      </c>
      <c r="N1467" s="77">
        <v>120.47</v>
      </c>
      <c r="O1467" s="70">
        <v>4</v>
      </c>
      <c r="P1467" s="70"/>
      <c r="Q1467" s="62" t="s">
        <v>360</v>
      </c>
    </row>
    <row r="1468" spans="1:17" ht="13.8" customHeight="1" x14ac:dyDescent="0.3">
      <c r="A1468" s="73" t="s">
        <v>399</v>
      </c>
      <c r="B1468" s="79">
        <v>46142</v>
      </c>
      <c r="C1468" s="73">
        <v>291</v>
      </c>
      <c r="D1468" s="73" t="s">
        <v>256</v>
      </c>
      <c r="E1468" s="73">
        <v>3</v>
      </c>
      <c r="F1468" s="75">
        <v>16.469200000000001</v>
      </c>
      <c r="G1468" s="75">
        <v>10.377000000000001</v>
      </c>
      <c r="H1468" s="75">
        <v>19.681999999999999</v>
      </c>
      <c r="I1468" s="75">
        <v>6796.3022000000001</v>
      </c>
      <c r="J1468" s="73" t="s">
        <v>257</v>
      </c>
      <c r="K1468" s="75">
        <v>4712.5933000000005</v>
      </c>
      <c r="L1468" s="75">
        <v>50.211599999999997</v>
      </c>
      <c r="M1468" s="73">
        <v>17.664300000000001</v>
      </c>
      <c r="N1468" s="76">
        <v>120.79</v>
      </c>
      <c r="O1468" s="73">
        <v>4</v>
      </c>
      <c r="P1468" s="73"/>
      <c r="Q1468" s="66" t="s">
        <v>360</v>
      </c>
    </row>
    <row r="1469" spans="1:17" ht="13.8" customHeight="1" x14ac:dyDescent="0.3">
      <c r="A1469" s="70" t="s">
        <v>399</v>
      </c>
      <c r="B1469" s="78">
        <v>46142</v>
      </c>
      <c r="C1469" s="70">
        <v>292</v>
      </c>
      <c r="D1469" s="70" t="s">
        <v>256</v>
      </c>
      <c r="E1469" s="70">
        <v>4</v>
      </c>
      <c r="F1469" s="72">
        <v>47.3187</v>
      </c>
      <c r="G1469" s="72">
        <v>10.064</v>
      </c>
      <c r="H1469" s="72">
        <v>4.9843999999999999</v>
      </c>
      <c r="I1469" s="72">
        <v>2837.3020000000001</v>
      </c>
      <c r="J1469" s="70" t="s">
        <v>257</v>
      </c>
      <c r="K1469" s="72">
        <v>10234.5947</v>
      </c>
      <c r="L1469" s="72">
        <v>4.7882999999999996</v>
      </c>
      <c r="M1469" s="70" t="s">
        <v>257</v>
      </c>
      <c r="N1469" s="77">
        <v>126.22</v>
      </c>
      <c r="O1469" s="70">
        <v>4</v>
      </c>
      <c r="P1469" s="70"/>
      <c r="Q1469" s="62" t="s">
        <v>360</v>
      </c>
    </row>
    <row r="1470" spans="1:17" ht="13.8" customHeight="1" x14ac:dyDescent="0.3">
      <c r="A1470" s="73" t="s">
        <v>399</v>
      </c>
      <c r="B1470" s="79">
        <v>46142</v>
      </c>
      <c r="C1470" s="73">
        <v>293</v>
      </c>
      <c r="D1470" s="73" t="s">
        <v>256</v>
      </c>
      <c r="E1470" s="73">
        <v>4</v>
      </c>
      <c r="F1470" s="75">
        <v>2.59</v>
      </c>
      <c r="G1470" s="75">
        <v>9.5149000000000008</v>
      </c>
      <c r="H1470" s="75">
        <v>5.0033000000000003</v>
      </c>
      <c r="I1470" s="75">
        <v>2185.9308999999998</v>
      </c>
      <c r="J1470" s="73" t="s">
        <v>257</v>
      </c>
      <c r="K1470" s="75">
        <v>10076.320299999999</v>
      </c>
      <c r="L1470" s="75">
        <v>3.7187000000000001</v>
      </c>
      <c r="M1470" s="73" t="s">
        <v>257</v>
      </c>
      <c r="N1470" s="76">
        <v>120.82</v>
      </c>
      <c r="O1470" s="73">
        <v>4</v>
      </c>
      <c r="P1470" s="73"/>
      <c r="Q1470" s="66" t="s">
        <v>360</v>
      </c>
    </row>
    <row r="1471" spans="1:17" ht="13.8" customHeight="1" x14ac:dyDescent="0.3">
      <c r="A1471" s="70" t="s">
        <v>399</v>
      </c>
      <c r="B1471" s="78">
        <v>46142</v>
      </c>
      <c r="C1471" s="70">
        <v>294</v>
      </c>
      <c r="D1471" s="70" t="s">
        <v>256</v>
      </c>
      <c r="E1471" s="70">
        <v>4</v>
      </c>
      <c r="F1471" s="72" t="s">
        <v>257</v>
      </c>
      <c r="G1471" s="72">
        <v>8.6768000000000001</v>
      </c>
      <c r="H1471" s="72">
        <v>5.3987999999999996</v>
      </c>
      <c r="I1471" s="72">
        <v>2348.9083999999998</v>
      </c>
      <c r="J1471" s="70" t="s">
        <v>257</v>
      </c>
      <c r="K1471" s="72">
        <v>9931.6093999999994</v>
      </c>
      <c r="L1471" s="72">
        <v>11.9817</v>
      </c>
      <c r="M1471" s="70" t="s">
        <v>257</v>
      </c>
      <c r="N1471" s="77">
        <v>120.18</v>
      </c>
      <c r="O1471" s="70">
        <v>4</v>
      </c>
      <c r="P1471" s="70"/>
      <c r="Q1471" s="62" t="s">
        <v>360</v>
      </c>
    </row>
    <row r="1472" spans="1:17" ht="13.8" customHeight="1" x14ac:dyDescent="0.3">
      <c r="A1472" s="73" t="s">
        <v>399</v>
      </c>
      <c r="B1472" s="79">
        <v>46142</v>
      </c>
      <c r="C1472" s="73">
        <v>295</v>
      </c>
      <c r="D1472" s="73" t="s">
        <v>256</v>
      </c>
      <c r="E1472" s="73">
        <v>5</v>
      </c>
      <c r="F1472" s="75">
        <v>2.3281000000000001</v>
      </c>
      <c r="G1472" s="75">
        <v>10.900600000000001</v>
      </c>
      <c r="H1472" s="75">
        <v>39.523000000000003</v>
      </c>
      <c r="I1472" s="75">
        <v>6164.3770000000004</v>
      </c>
      <c r="J1472" s="73" t="s">
        <v>257</v>
      </c>
      <c r="K1472" s="75">
        <v>19645.4473</v>
      </c>
      <c r="L1472" s="75">
        <v>2.0455999999999999</v>
      </c>
      <c r="M1472" s="73" t="s">
        <v>257</v>
      </c>
      <c r="N1472" s="76">
        <v>126.18</v>
      </c>
      <c r="O1472" s="73">
        <v>4</v>
      </c>
      <c r="P1472" s="73"/>
      <c r="Q1472" s="66" t="s">
        <v>360</v>
      </c>
    </row>
    <row r="1473" spans="1:17" ht="13.8" customHeight="1" x14ac:dyDescent="0.3">
      <c r="A1473" s="70" t="s">
        <v>399</v>
      </c>
      <c r="B1473" s="78">
        <v>46142</v>
      </c>
      <c r="C1473" s="70">
        <v>296</v>
      </c>
      <c r="D1473" s="70" t="s">
        <v>256</v>
      </c>
      <c r="E1473" s="70">
        <v>5</v>
      </c>
      <c r="F1473" s="72">
        <v>2.33</v>
      </c>
      <c r="G1473" s="72">
        <v>9.9129000000000005</v>
      </c>
      <c r="H1473" s="72">
        <v>37.1387</v>
      </c>
      <c r="I1473" s="72">
        <v>4744.9184999999998</v>
      </c>
      <c r="J1473" s="70" t="s">
        <v>257</v>
      </c>
      <c r="K1473" s="72">
        <v>19164.5098</v>
      </c>
      <c r="L1473" s="72">
        <v>2.6233</v>
      </c>
      <c r="M1473" s="70" t="s">
        <v>257</v>
      </c>
      <c r="N1473" s="77">
        <v>125.99</v>
      </c>
      <c r="O1473" s="70">
        <v>4</v>
      </c>
      <c r="P1473" s="70"/>
      <c r="Q1473" s="62" t="s">
        <v>360</v>
      </c>
    </row>
    <row r="1474" spans="1:17" ht="13.8" customHeight="1" x14ac:dyDescent="0.3">
      <c r="A1474" s="73" t="s">
        <v>400</v>
      </c>
      <c r="B1474" s="79">
        <v>46142</v>
      </c>
      <c r="C1474" s="73">
        <v>297</v>
      </c>
      <c r="D1474" s="73" t="s">
        <v>256</v>
      </c>
      <c r="E1474" s="73">
        <v>1</v>
      </c>
      <c r="F1474" s="75">
        <v>3.9009</v>
      </c>
      <c r="G1474" s="75" t="s">
        <v>257</v>
      </c>
      <c r="H1474" s="75">
        <v>11.160600000000001</v>
      </c>
      <c r="I1474" s="75">
        <v>33864.976600000002</v>
      </c>
      <c r="J1474" s="73">
        <v>541.19230000000005</v>
      </c>
      <c r="K1474" s="75">
        <v>5686.7665999999999</v>
      </c>
      <c r="L1474" s="75">
        <v>151.3526</v>
      </c>
      <c r="M1474" s="73">
        <v>72.609200000000001</v>
      </c>
      <c r="N1474" s="76">
        <v>120.68</v>
      </c>
      <c r="O1474" s="73">
        <v>4</v>
      </c>
      <c r="P1474" s="73"/>
      <c r="Q1474" s="66" t="s">
        <v>360</v>
      </c>
    </row>
    <row r="1475" spans="1:17" ht="13.8" customHeight="1" x14ac:dyDescent="0.3">
      <c r="A1475" s="70" t="s">
        <v>400</v>
      </c>
      <c r="B1475" s="78">
        <v>46142</v>
      </c>
      <c r="C1475" s="70">
        <v>298</v>
      </c>
      <c r="D1475" s="70" t="s">
        <v>256</v>
      </c>
      <c r="E1475" s="70">
        <v>1</v>
      </c>
      <c r="F1475" s="72" t="s">
        <v>257</v>
      </c>
      <c r="G1475" s="72" t="s">
        <v>257</v>
      </c>
      <c r="H1475" s="72">
        <v>6.4950999999999999</v>
      </c>
      <c r="I1475" s="72">
        <v>27243.335899999998</v>
      </c>
      <c r="J1475" s="70">
        <v>420.88279999999997</v>
      </c>
      <c r="K1475" s="72">
        <v>9212.7147999999997</v>
      </c>
      <c r="L1475" s="72">
        <v>101.9577</v>
      </c>
      <c r="M1475" s="70">
        <v>47.979599999999998</v>
      </c>
      <c r="N1475" s="77">
        <v>126.03</v>
      </c>
      <c r="O1475" s="70">
        <v>4</v>
      </c>
      <c r="P1475" s="70"/>
      <c r="Q1475" s="62" t="s">
        <v>360</v>
      </c>
    </row>
    <row r="1476" spans="1:17" ht="13.8" customHeight="1" x14ac:dyDescent="0.3">
      <c r="A1476" s="73" t="s">
        <v>400</v>
      </c>
      <c r="B1476" s="79">
        <v>46142</v>
      </c>
      <c r="C1476" s="73">
        <v>299</v>
      </c>
      <c r="D1476" s="73" t="s">
        <v>256</v>
      </c>
      <c r="E1476" s="73">
        <v>2</v>
      </c>
      <c r="F1476" s="75">
        <v>14.567600000000001</v>
      </c>
      <c r="G1476" s="75">
        <v>3.4735</v>
      </c>
      <c r="H1476" s="75">
        <v>7.3963000000000001</v>
      </c>
      <c r="I1476" s="75">
        <v>39505.078099999999</v>
      </c>
      <c r="J1476" s="73">
        <v>271.67680000000001</v>
      </c>
      <c r="K1476" s="75">
        <v>12988.015600000001</v>
      </c>
      <c r="L1476" s="75">
        <v>86.947900000000004</v>
      </c>
      <c r="M1476" s="73">
        <v>10.883699999999999</v>
      </c>
      <c r="N1476" s="76">
        <v>120.86</v>
      </c>
      <c r="O1476" s="73">
        <v>4</v>
      </c>
      <c r="P1476" s="73"/>
      <c r="Q1476" s="66" t="s">
        <v>360</v>
      </c>
    </row>
    <row r="1477" spans="1:17" ht="13.8" customHeight="1" x14ac:dyDescent="0.3">
      <c r="A1477" s="70" t="s">
        <v>400</v>
      </c>
      <c r="B1477" s="78">
        <v>46142</v>
      </c>
      <c r="C1477" s="70">
        <v>300</v>
      </c>
      <c r="D1477" s="70" t="s">
        <v>256</v>
      </c>
      <c r="E1477" s="70">
        <v>2</v>
      </c>
      <c r="F1477" s="72">
        <v>10.0344</v>
      </c>
      <c r="G1477" s="72">
        <v>3.5320999999999998</v>
      </c>
      <c r="H1477" s="72">
        <v>6.4509999999999996</v>
      </c>
      <c r="I1477" s="72">
        <v>37155.031199999998</v>
      </c>
      <c r="J1477" s="70">
        <v>338.38</v>
      </c>
      <c r="K1477" s="72">
        <v>11509.857400000001</v>
      </c>
      <c r="L1477" s="72">
        <v>80.241900000000001</v>
      </c>
      <c r="M1477" s="70">
        <v>9.1449999999999996</v>
      </c>
      <c r="N1477" s="77">
        <v>120.41</v>
      </c>
      <c r="O1477" s="70">
        <v>4</v>
      </c>
      <c r="P1477" s="70"/>
      <c r="Q1477" s="62" t="s">
        <v>360</v>
      </c>
    </row>
    <row r="1478" spans="1:17" ht="13.8" customHeight="1" x14ac:dyDescent="0.3">
      <c r="A1478" s="73" t="s">
        <v>400</v>
      </c>
      <c r="B1478" s="79">
        <v>46142</v>
      </c>
      <c r="C1478" s="73">
        <v>301</v>
      </c>
      <c r="D1478" s="73" t="s">
        <v>256</v>
      </c>
      <c r="E1478" s="73">
        <v>3</v>
      </c>
      <c r="F1478" s="75" t="s">
        <v>257</v>
      </c>
      <c r="G1478" s="75" t="s">
        <v>257</v>
      </c>
      <c r="H1478" s="75">
        <v>6.4501999999999997</v>
      </c>
      <c r="I1478" s="75">
        <v>30547.109400000001</v>
      </c>
      <c r="J1478" s="73">
        <v>483.7362</v>
      </c>
      <c r="K1478" s="75">
        <v>6283.9813999999997</v>
      </c>
      <c r="L1478" s="75">
        <v>57.185899999999997</v>
      </c>
      <c r="M1478" s="73">
        <v>12.290800000000001</v>
      </c>
      <c r="N1478" s="76">
        <v>126</v>
      </c>
      <c r="O1478" s="73">
        <v>4</v>
      </c>
      <c r="P1478" s="73"/>
      <c r="Q1478" s="66" t="s">
        <v>360</v>
      </c>
    </row>
    <row r="1479" spans="1:17" ht="13.8" customHeight="1" x14ac:dyDescent="0.3">
      <c r="A1479" s="70" t="s">
        <v>400</v>
      </c>
      <c r="B1479" s="78">
        <v>46142</v>
      </c>
      <c r="C1479" s="70">
        <v>302</v>
      </c>
      <c r="D1479" s="70" t="s">
        <v>256</v>
      </c>
      <c r="E1479" s="70">
        <v>3</v>
      </c>
      <c r="F1479" s="72" t="s">
        <v>257</v>
      </c>
      <c r="G1479" s="72" t="s">
        <v>257</v>
      </c>
      <c r="H1479" s="72">
        <v>7.9953000000000003</v>
      </c>
      <c r="I1479" s="72">
        <v>32308.843799999999</v>
      </c>
      <c r="J1479" s="70">
        <v>507.97460000000001</v>
      </c>
      <c r="K1479" s="72">
        <v>5356.7725</v>
      </c>
      <c r="L1479" s="72">
        <v>89.459599999999995</v>
      </c>
      <c r="M1479" s="70">
        <v>13.9109</v>
      </c>
      <c r="N1479" s="77">
        <v>126.05</v>
      </c>
      <c r="O1479" s="70">
        <v>4</v>
      </c>
      <c r="P1479" s="70"/>
      <c r="Q1479" s="62" t="s">
        <v>360</v>
      </c>
    </row>
    <row r="1480" spans="1:17" ht="13.8" customHeight="1" x14ac:dyDescent="0.3">
      <c r="A1480" s="73" t="s">
        <v>400</v>
      </c>
      <c r="B1480" s="79">
        <v>46142</v>
      </c>
      <c r="C1480" s="73">
        <v>303</v>
      </c>
      <c r="D1480" s="73" t="s">
        <v>256</v>
      </c>
      <c r="E1480" s="73">
        <v>4</v>
      </c>
      <c r="F1480" s="75">
        <v>17.462700000000002</v>
      </c>
      <c r="G1480" s="75">
        <v>1.4862</v>
      </c>
      <c r="H1480" s="75">
        <v>8.8046000000000006</v>
      </c>
      <c r="I1480" s="75">
        <v>32850.816400000003</v>
      </c>
      <c r="J1480" s="73">
        <v>394.48779999999999</v>
      </c>
      <c r="K1480" s="75">
        <v>17735.511699999999</v>
      </c>
      <c r="L1480" s="75">
        <v>92.887600000000006</v>
      </c>
      <c r="M1480" s="73">
        <v>21.620899999999999</v>
      </c>
      <c r="N1480" s="76">
        <v>120.59</v>
      </c>
      <c r="O1480" s="73">
        <v>4</v>
      </c>
      <c r="P1480" s="73"/>
      <c r="Q1480" s="66" t="s">
        <v>360</v>
      </c>
    </row>
    <row r="1481" spans="1:17" ht="13.8" customHeight="1" x14ac:dyDescent="0.3">
      <c r="A1481" s="70" t="s">
        <v>400</v>
      </c>
      <c r="B1481" s="78">
        <v>46142</v>
      </c>
      <c r="C1481" s="70">
        <v>304</v>
      </c>
      <c r="D1481" s="70" t="s">
        <v>256</v>
      </c>
      <c r="E1481" s="70">
        <v>4</v>
      </c>
      <c r="F1481" s="72">
        <v>16.133199999999999</v>
      </c>
      <c r="G1481" s="72" t="s">
        <v>257</v>
      </c>
      <c r="H1481" s="72">
        <v>8.7561</v>
      </c>
      <c r="I1481" s="72">
        <v>32915.199200000003</v>
      </c>
      <c r="J1481" s="70">
        <v>374.4162</v>
      </c>
      <c r="K1481" s="72">
        <v>18171.033200000002</v>
      </c>
      <c r="L1481" s="72">
        <v>87.269900000000007</v>
      </c>
      <c r="M1481" s="70">
        <v>17.4998</v>
      </c>
      <c r="N1481" s="77">
        <v>120.42</v>
      </c>
      <c r="O1481" s="70">
        <v>4</v>
      </c>
      <c r="P1481" s="70"/>
      <c r="Q1481" s="62" t="s">
        <v>360</v>
      </c>
    </row>
    <row r="1482" spans="1:17" ht="13.8" customHeight="1" x14ac:dyDescent="0.3">
      <c r="A1482" s="73" t="s">
        <v>400</v>
      </c>
      <c r="B1482" s="79">
        <v>46142</v>
      </c>
      <c r="C1482" s="73">
        <v>305</v>
      </c>
      <c r="D1482" s="73" t="s">
        <v>256</v>
      </c>
      <c r="E1482" s="73">
        <v>5</v>
      </c>
      <c r="F1482" s="75">
        <v>52.037300000000002</v>
      </c>
      <c r="G1482" s="75">
        <v>1.5861000000000001</v>
      </c>
      <c r="H1482" s="75">
        <v>8.4675999999999991</v>
      </c>
      <c r="I1482" s="75">
        <v>67390.843800000002</v>
      </c>
      <c r="J1482" s="73">
        <v>375.10430000000002</v>
      </c>
      <c r="K1482" s="75">
        <v>13644.463900000001</v>
      </c>
      <c r="L1482" s="75">
        <v>67.066599999999994</v>
      </c>
      <c r="M1482" s="73">
        <v>16.985900000000001</v>
      </c>
      <c r="N1482" s="76">
        <v>126.17</v>
      </c>
      <c r="O1482" s="73">
        <v>4</v>
      </c>
      <c r="P1482" s="73"/>
      <c r="Q1482" s="66" t="s">
        <v>360</v>
      </c>
    </row>
    <row r="1483" spans="1:17" ht="13.8" customHeight="1" x14ac:dyDescent="0.3">
      <c r="A1483" s="70" t="s">
        <v>400</v>
      </c>
      <c r="B1483" s="78">
        <v>46142</v>
      </c>
      <c r="C1483" s="70">
        <v>307</v>
      </c>
      <c r="D1483" s="70" t="s">
        <v>256</v>
      </c>
      <c r="E1483" s="70">
        <v>5</v>
      </c>
      <c r="F1483" s="72">
        <v>23.5061</v>
      </c>
      <c r="G1483" s="72" t="s">
        <v>257</v>
      </c>
      <c r="H1483" s="72">
        <v>7.8954000000000004</v>
      </c>
      <c r="I1483" s="72">
        <v>43311.152300000002</v>
      </c>
      <c r="J1483" s="70">
        <v>438.26490000000001</v>
      </c>
      <c r="K1483" s="72">
        <v>12696.1895</v>
      </c>
      <c r="L1483" s="72">
        <v>61.305799999999998</v>
      </c>
      <c r="M1483" s="70">
        <v>21.3551</v>
      </c>
      <c r="N1483" s="77">
        <v>126.32</v>
      </c>
      <c r="O1483" s="70">
        <v>4</v>
      </c>
      <c r="P1483" s="70"/>
      <c r="Q1483" s="62" t="s">
        <v>360</v>
      </c>
    </row>
    <row r="1484" spans="1:17" ht="13.8" customHeight="1" x14ac:dyDescent="0.3">
      <c r="A1484" s="73" t="s">
        <v>400</v>
      </c>
      <c r="B1484" s="79">
        <v>46142</v>
      </c>
      <c r="C1484" s="73">
        <v>308</v>
      </c>
      <c r="D1484" s="73" t="s">
        <v>256</v>
      </c>
      <c r="E1484" s="73">
        <v>5</v>
      </c>
      <c r="F1484" s="75">
        <v>15.6744</v>
      </c>
      <c r="G1484" s="75" t="s">
        <v>257</v>
      </c>
      <c r="H1484" s="75">
        <v>7.3018000000000001</v>
      </c>
      <c r="I1484" s="75">
        <v>34066.472699999998</v>
      </c>
      <c r="J1484" s="73">
        <v>457.37830000000002</v>
      </c>
      <c r="K1484" s="75">
        <v>8646.3446999999996</v>
      </c>
      <c r="L1484" s="75">
        <v>70.121899999999997</v>
      </c>
      <c r="M1484" s="73">
        <v>16.307600000000001</v>
      </c>
      <c r="N1484" s="76">
        <v>125.84</v>
      </c>
      <c r="O1484" s="73">
        <v>4</v>
      </c>
      <c r="P1484" s="73"/>
      <c r="Q1484" s="66" t="s">
        <v>360</v>
      </c>
    </row>
    <row r="1485" spans="1:17" ht="13.8" customHeight="1" x14ac:dyDescent="0.3">
      <c r="A1485" s="70" t="s">
        <v>401</v>
      </c>
      <c r="B1485" s="78">
        <v>46142</v>
      </c>
      <c r="C1485" s="70">
        <v>309</v>
      </c>
      <c r="D1485" s="70" t="s">
        <v>256</v>
      </c>
      <c r="E1485" s="70">
        <v>1</v>
      </c>
      <c r="F1485" s="72" t="s">
        <v>257</v>
      </c>
      <c r="G1485" s="72" t="s">
        <v>257</v>
      </c>
      <c r="H1485" s="72" t="s">
        <v>257</v>
      </c>
      <c r="I1485" s="72">
        <v>34.709000000000003</v>
      </c>
      <c r="J1485" s="70">
        <v>772.23889999999994</v>
      </c>
      <c r="K1485" s="72">
        <v>34894.292999999998</v>
      </c>
      <c r="L1485" s="72" t="s">
        <v>257</v>
      </c>
      <c r="M1485" s="70" t="s">
        <v>257</v>
      </c>
      <c r="N1485" s="77">
        <v>126.22</v>
      </c>
      <c r="O1485" s="70">
        <v>4</v>
      </c>
      <c r="P1485" s="70"/>
      <c r="Q1485" s="62" t="s">
        <v>360</v>
      </c>
    </row>
    <row r="1486" spans="1:17" ht="13.8" customHeight="1" x14ac:dyDescent="0.3">
      <c r="A1486" s="73" t="s">
        <v>401</v>
      </c>
      <c r="B1486" s="79">
        <v>46142</v>
      </c>
      <c r="C1486" s="73">
        <v>310</v>
      </c>
      <c r="D1486" s="73" t="s">
        <v>256</v>
      </c>
      <c r="E1486" s="73">
        <v>1</v>
      </c>
      <c r="F1486" s="75">
        <v>36.104300000000002</v>
      </c>
      <c r="G1486" s="75">
        <v>2.2778999999999998</v>
      </c>
      <c r="H1486" s="75">
        <v>7.7931999999999997</v>
      </c>
      <c r="I1486" s="75">
        <v>1397.2708</v>
      </c>
      <c r="J1486" s="73" t="s">
        <v>257</v>
      </c>
      <c r="K1486" s="75">
        <v>9826.2011999999995</v>
      </c>
      <c r="L1486" s="75" t="s">
        <v>257</v>
      </c>
      <c r="M1486" s="73" t="s">
        <v>257</v>
      </c>
      <c r="N1486" s="76">
        <v>120.36</v>
      </c>
      <c r="O1486" s="73">
        <v>4</v>
      </c>
      <c r="P1486" s="73"/>
      <c r="Q1486" s="66" t="s">
        <v>360</v>
      </c>
    </row>
    <row r="1487" spans="1:17" ht="13.8" customHeight="1" x14ac:dyDescent="0.3">
      <c r="A1487" s="70" t="s">
        <v>401</v>
      </c>
      <c r="B1487" s="78">
        <v>46142</v>
      </c>
      <c r="C1487" s="70">
        <v>311</v>
      </c>
      <c r="D1487" s="70" t="s">
        <v>256</v>
      </c>
      <c r="E1487" s="70">
        <v>1</v>
      </c>
      <c r="F1487" s="72">
        <v>45.313099999999999</v>
      </c>
      <c r="G1487" s="72">
        <v>1.6178999999999999</v>
      </c>
      <c r="H1487" s="72">
        <v>13.048500000000001</v>
      </c>
      <c r="I1487" s="72">
        <v>1518.8965000000001</v>
      </c>
      <c r="J1487" s="70" t="s">
        <v>257</v>
      </c>
      <c r="K1487" s="72">
        <v>10284.690399999999</v>
      </c>
      <c r="L1487" s="72" t="s">
        <v>257</v>
      </c>
      <c r="M1487" s="70" t="s">
        <v>257</v>
      </c>
      <c r="N1487" s="77">
        <v>120.75</v>
      </c>
      <c r="O1487" s="70">
        <v>4</v>
      </c>
      <c r="P1487" s="70"/>
      <c r="Q1487" s="62" t="s">
        <v>360</v>
      </c>
    </row>
    <row r="1488" spans="1:17" ht="13.8" customHeight="1" x14ac:dyDescent="0.3">
      <c r="A1488" s="73" t="s">
        <v>401</v>
      </c>
      <c r="B1488" s="79">
        <v>46142</v>
      </c>
      <c r="C1488" s="73">
        <v>312</v>
      </c>
      <c r="D1488" s="73" t="s">
        <v>256</v>
      </c>
      <c r="E1488" s="73">
        <v>2</v>
      </c>
      <c r="F1488" s="75">
        <v>38.141300000000001</v>
      </c>
      <c r="G1488" s="75">
        <v>2.6657000000000002</v>
      </c>
      <c r="H1488" s="75">
        <v>12.1732</v>
      </c>
      <c r="I1488" s="75">
        <v>1777.9147</v>
      </c>
      <c r="J1488" s="73" t="s">
        <v>257</v>
      </c>
      <c r="K1488" s="75">
        <v>7850.3252000000002</v>
      </c>
      <c r="L1488" s="75">
        <v>4.8612000000000002</v>
      </c>
      <c r="M1488" s="73" t="s">
        <v>257</v>
      </c>
      <c r="N1488" s="76">
        <v>126.02</v>
      </c>
      <c r="O1488" s="73">
        <v>4</v>
      </c>
      <c r="P1488" s="73"/>
      <c r="Q1488" s="66" t="s">
        <v>360</v>
      </c>
    </row>
    <row r="1489" spans="1:17" ht="13.8" customHeight="1" x14ac:dyDescent="0.3">
      <c r="A1489" s="70" t="s">
        <v>401</v>
      </c>
      <c r="B1489" s="78">
        <v>46142</v>
      </c>
      <c r="C1489" s="70">
        <v>313</v>
      </c>
      <c r="D1489" s="70" t="s">
        <v>256</v>
      </c>
      <c r="E1489" s="70">
        <v>2</v>
      </c>
      <c r="F1489" s="72">
        <v>36.779600000000002</v>
      </c>
      <c r="G1489" s="72">
        <v>2.9701</v>
      </c>
      <c r="H1489" s="72">
        <v>7.8455000000000004</v>
      </c>
      <c r="I1489" s="72">
        <v>1594.7932000000001</v>
      </c>
      <c r="J1489" s="70" t="s">
        <v>257</v>
      </c>
      <c r="K1489" s="72">
        <v>10744.103499999999</v>
      </c>
      <c r="L1489" s="72">
        <v>9.3285</v>
      </c>
      <c r="M1489" s="70" t="s">
        <v>257</v>
      </c>
      <c r="N1489" s="77">
        <v>126.14</v>
      </c>
      <c r="O1489" s="70">
        <v>4</v>
      </c>
      <c r="P1489" s="70"/>
      <c r="Q1489" s="62" t="s">
        <v>360</v>
      </c>
    </row>
    <row r="1490" spans="1:17" ht="13.8" customHeight="1" x14ac:dyDescent="0.3">
      <c r="A1490" s="73" t="s">
        <v>401</v>
      </c>
      <c r="B1490" s="79">
        <v>46142</v>
      </c>
      <c r="C1490" s="73">
        <v>314</v>
      </c>
      <c r="D1490" s="73" t="s">
        <v>256</v>
      </c>
      <c r="E1490" s="73">
        <v>3</v>
      </c>
      <c r="F1490" s="75">
        <v>22.400600000000001</v>
      </c>
      <c r="G1490" s="75" t="s">
        <v>257</v>
      </c>
      <c r="H1490" s="75">
        <v>14.351800000000001</v>
      </c>
      <c r="I1490" s="75">
        <v>3146.4313999999999</v>
      </c>
      <c r="J1490" s="73" t="s">
        <v>257</v>
      </c>
      <c r="K1490" s="75">
        <v>9415.6406000000006</v>
      </c>
      <c r="L1490" s="75" t="s">
        <v>257</v>
      </c>
      <c r="M1490" s="73" t="s">
        <v>257</v>
      </c>
      <c r="N1490" s="76">
        <v>120.9</v>
      </c>
      <c r="O1490" s="73">
        <v>4</v>
      </c>
      <c r="P1490" s="73"/>
      <c r="Q1490" s="66" t="s">
        <v>360</v>
      </c>
    </row>
    <row r="1491" spans="1:17" ht="13.8" customHeight="1" x14ac:dyDescent="0.3">
      <c r="A1491" s="70" t="s">
        <v>401</v>
      </c>
      <c r="B1491" s="78">
        <v>46142</v>
      </c>
      <c r="C1491" s="70">
        <v>315</v>
      </c>
      <c r="D1491" s="70" t="s">
        <v>256</v>
      </c>
      <c r="E1491" s="70">
        <v>3</v>
      </c>
      <c r="F1491" s="72">
        <v>23.013100000000001</v>
      </c>
      <c r="G1491" s="72" t="s">
        <v>257</v>
      </c>
      <c r="H1491" s="72">
        <v>14.408200000000001</v>
      </c>
      <c r="I1491" s="72">
        <v>3209.0565999999999</v>
      </c>
      <c r="J1491" s="70" t="s">
        <v>257</v>
      </c>
      <c r="K1491" s="72">
        <v>9536.9434000000001</v>
      </c>
      <c r="L1491" s="72" t="s">
        <v>257</v>
      </c>
      <c r="M1491" s="70" t="s">
        <v>257</v>
      </c>
      <c r="N1491" s="77">
        <v>120.53</v>
      </c>
      <c r="O1491" s="70">
        <v>4</v>
      </c>
      <c r="P1491" s="70"/>
      <c r="Q1491" s="62" t="s">
        <v>360</v>
      </c>
    </row>
    <row r="1492" spans="1:17" ht="13.8" customHeight="1" x14ac:dyDescent="0.3">
      <c r="A1492" s="73" t="s">
        <v>401</v>
      </c>
      <c r="B1492" s="79">
        <v>46142</v>
      </c>
      <c r="C1492" s="73">
        <v>316</v>
      </c>
      <c r="D1492" s="73" t="s">
        <v>256</v>
      </c>
      <c r="E1492" s="73">
        <v>4</v>
      </c>
      <c r="F1492" s="75">
        <v>26.572800000000001</v>
      </c>
      <c r="G1492" s="75" t="s">
        <v>257</v>
      </c>
      <c r="H1492" s="75">
        <v>3.4683999999999999</v>
      </c>
      <c r="I1492" s="75">
        <v>798.48829999999998</v>
      </c>
      <c r="J1492" s="73" t="s">
        <v>257</v>
      </c>
      <c r="K1492" s="75">
        <v>9314.5468999999994</v>
      </c>
      <c r="L1492" s="75" t="s">
        <v>257</v>
      </c>
      <c r="M1492" s="73" t="s">
        <v>257</v>
      </c>
      <c r="N1492" s="76">
        <v>120.68</v>
      </c>
      <c r="O1492" s="73">
        <v>4</v>
      </c>
      <c r="P1492" s="73"/>
      <c r="Q1492" s="66" t="s">
        <v>360</v>
      </c>
    </row>
    <row r="1493" spans="1:17" ht="13.8" customHeight="1" x14ac:dyDescent="0.3">
      <c r="A1493" s="70" t="s">
        <v>401</v>
      </c>
      <c r="B1493" s="78">
        <v>46142</v>
      </c>
      <c r="C1493" s="70">
        <v>317</v>
      </c>
      <c r="D1493" s="70" t="s">
        <v>256</v>
      </c>
      <c r="E1493" s="70">
        <v>4</v>
      </c>
      <c r="F1493" s="72">
        <v>64.561599999999999</v>
      </c>
      <c r="G1493" s="72" t="s">
        <v>257</v>
      </c>
      <c r="H1493" s="72">
        <v>37.060299999999998</v>
      </c>
      <c r="I1493" s="72">
        <v>7706.4717000000001</v>
      </c>
      <c r="J1493" s="70" t="s">
        <v>257</v>
      </c>
      <c r="K1493" s="72">
        <v>11062.8691</v>
      </c>
      <c r="L1493" s="72" t="s">
        <v>257</v>
      </c>
      <c r="M1493" s="70">
        <v>6.5744999999999996</v>
      </c>
      <c r="N1493" s="77">
        <v>120.76</v>
      </c>
      <c r="O1493" s="70">
        <v>4</v>
      </c>
      <c r="P1493" s="70"/>
      <c r="Q1493" s="62" t="s">
        <v>360</v>
      </c>
    </row>
    <row r="1494" spans="1:17" ht="13.8" customHeight="1" x14ac:dyDescent="0.3">
      <c r="A1494" s="73" t="s">
        <v>401</v>
      </c>
      <c r="B1494" s="79">
        <v>46142</v>
      </c>
      <c r="C1494" s="73">
        <v>318</v>
      </c>
      <c r="D1494" s="73" t="s">
        <v>256</v>
      </c>
      <c r="E1494" s="73">
        <v>4</v>
      </c>
      <c r="F1494" s="75">
        <v>64.561599999999999</v>
      </c>
      <c r="G1494" s="75" t="s">
        <v>257</v>
      </c>
      <c r="H1494" s="75">
        <v>37.060299999999998</v>
      </c>
      <c r="I1494" s="75">
        <v>7706.4717000000001</v>
      </c>
      <c r="J1494" s="73" t="s">
        <v>257</v>
      </c>
      <c r="K1494" s="75">
        <v>11062.8691</v>
      </c>
      <c r="L1494" s="75" t="s">
        <v>257</v>
      </c>
      <c r="M1494" s="73">
        <v>6.5744999999999996</v>
      </c>
      <c r="N1494" s="76">
        <v>120.76</v>
      </c>
      <c r="O1494" s="73">
        <v>4</v>
      </c>
      <c r="P1494" s="73"/>
      <c r="Q1494" s="66" t="s">
        <v>360</v>
      </c>
    </row>
    <row r="1495" spans="1:17" ht="13.8" customHeight="1" x14ac:dyDescent="0.3">
      <c r="A1495" s="70" t="s">
        <v>401</v>
      </c>
      <c r="B1495" s="78">
        <v>46142</v>
      </c>
      <c r="C1495" s="70">
        <v>319</v>
      </c>
      <c r="D1495" s="70" t="s">
        <v>256</v>
      </c>
      <c r="E1495" s="70">
        <v>5</v>
      </c>
      <c r="F1495" s="72">
        <v>26.075600000000001</v>
      </c>
      <c r="G1495" s="72" t="s">
        <v>257</v>
      </c>
      <c r="H1495" s="72">
        <v>4.4707999999999997</v>
      </c>
      <c r="I1495" s="72">
        <v>916.39189999999996</v>
      </c>
      <c r="J1495" s="70" t="s">
        <v>257</v>
      </c>
      <c r="K1495" s="72">
        <v>2586.7860999999998</v>
      </c>
      <c r="L1495" s="72" t="s">
        <v>257</v>
      </c>
      <c r="M1495" s="70" t="s">
        <v>257</v>
      </c>
      <c r="N1495" s="77">
        <v>126.29</v>
      </c>
      <c r="O1495" s="70">
        <v>4</v>
      </c>
      <c r="P1495" s="70"/>
      <c r="Q1495" s="62" t="s">
        <v>360</v>
      </c>
    </row>
    <row r="1496" spans="1:17" ht="13.8" customHeight="1" x14ac:dyDescent="0.3">
      <c r="A1496" s="73" t="s">
        <v>401</v>
      </c>
      <c r="B1496" s="79">
        <v>46142</v>
      </c>
      <c r="C1496" s="73">
        <v>320</v>
      </c>
      <c r="D1496" s="73" t="s">
        <v>256</v>
      </c>
      <c r="E1496" s="73">
        <v>5</v>
      </c>
      <c r="F1496" s="75">
        <v>30.233699999999999</v>
      </c>
      <c r="G1496" s="75">
        <v>1.1049</v>
      </c>
      <c r="H1496" s="75">
        <v>5.1417000000000002</v>
      </c>
      <c r="I1496" s="75">
        <v>978.76620000000003</v>
      </c>
      <c r="J1496" s="73" t="s">
        <v>257</v>
      </c>
      <c r="K1496" s="75">
        <v>2565.1377000000002</v>
      </c>
      <c r="L1496" s="75" t="s">
        <v>257</v>
      </c>
      <c r="M1496" s="73" t="s">
        <v>257</v>
      </c>
      <c r="N1496" s="76">
        <v>126.28</v>
      </c>
      <c r="O1496" s="73">
        <v>4</v>
      </c>
      <c r="P1496" s="73"/>
      <c r="Q1496" s="66" t="s">
        <v>360</v>
      </c>
    </row>
    <row r="1497" spans="1:17" ht="13.8" customHeight="1" x14ac:dyDescent="0.3">
      <c r="A1497" s="70" t="s">
        <v>401</v>
      </c>
      <c r="B1497" s="78">
        <v>46142</v>
      </c>
      <c r="C1497" s="70">
        <v>321</v>
      </c>
      <c r="D1497" s="70" t="s">
        <v>256</v>
      </c>
      <c r="E1497" s="70">
        <v>5</v>
      </c>
      <c r="F1497" s="72">
        <v>30.233699999999999</v>
      </c>
      <c r="G1497" s="72">
        <v>1.1049</v>
      </c>
      <c r="H1497" s="72">
        <v>5.1417000000000002</v>
      </c>
      <c r="I1497" s="72">
        <v>978.76620000000003</v>
      </c>
      <c r="J1497" s="70" t="s">
        <v>257</v>
      </c>
      <c r="K1497" s="72">
        <v>2565.1377000000002</v>
      </c>
      <c r="L1497" s="72" t="s">
        <v>257</v>
      </c>
      <c r="M1497" s="70" t="s">
        <v>257</v>
      </c>
      <c r="N1497" s="77">
        <v>126.28</v>
      </c>
      <c r="O1497" s="70">
        <v>4</v>
      </c>
      <c r="P1497" s="70"/>
      <c r="Q1497" s="62" t="s">
        <v>360</v>
      </c>
    </row>
    <row r="1498" spans="1:17" ht="13.8" customHeight="1" x14ac:dyDescent="0.3">
      <c r="A1498" s="73" t="s">
        <v>402</v>
      </c>
      <c r="B1498" s="79">
        <v>46142</v>
      </c>
      <c r="C1498" s="73">
        <v>324</v>
      </c>
      <c r="D1498" s="73" t="s">
        <v>256</v>
      </c>
      <c r="E1498" s="73">
        <v>1</v>
      </c>
      <c r="F1498" s="75">
        <v>90.557299999999998</v>
      </c>
      <c r="G1498" s="75" t="s">
        <v>257</v>
      </c>
      <c r="H1498" s="75">
        <v>9.2446000000000002</v>
      </c>
      <c r="I1498" s="75">
        <v>29634.9355</v>
      </c>
      <c r="J1498" s="73" t="s">
        <v>257</v>
      </c>
      <c r="K1498" s="75">
        <v>25307.7539</v>
      </c>
      <c r="L1498" s="75" t="s">
        <v>257</v>
      </c>
      <c r="M1498" s="73">
        <v>17.937200000000001</v>
      </c>
      <c r="N1498" s="76">
        <v>120.32</v>
      </c>
      <c r="O1498" s="73">
        <v>4</v>
      </c>
      <c r="P1498" s="73"/>
      <c r="Q1498" s="66" t="s">
        <v>360</v>
      </c>
    </row>
    <row r="1499" spans="1:17" ht="13.8" customHeight="1" x14ac:dyDescent="0.3">
      <c r="A1499" s="70" t="s">
        <v>402</v>
      </c>
      <c r="B1499" s="78">
        <v>46142</v>
      </c>
      <c r="C1499" s="70">
        <v>326</v>
      </c>
      <c r="D1499" s="70" t="s">
        <v>256</v>
      </c>
      <c r="E1499" s="70">
        <v>1</v>
      </c>
      <c r="F1499" s="72">
        <v>32.9377</v>
      </c>
      <c r="G1499" s="72" t="s">
        <v>257</v>
      </c>
      <c r="H1499" s="72">
        <v>7.2736999999999998</v>
      </c>
      <c r="I1499" s="72">
        <v>8881.1699000000008</v>
      </c>
      <c r="J1499" s="70" t="s">
        <v>257</v>
      </c>
      <c r="K1499" s="72">
        <v>10379.4424</v>
      </c>
      <c r="L1499" s="72" t="s">
        <v>257</v>
      </c>
      <c r="M1499" s="70">
        <v>14.0503</v>
      </c>
      <c r="N1499" s="77">
        <v>120.95</v>
      </c>
      <c r="O1499" s="70">
        <v>4</v>
      </c>
      <c r="P1499" s="70"/>
      <c r="Q1499" s="62" t="s">
        <v>360</v>
      </c>
    </row>
    <row r="1500" spans="1:17" ht="13.8" customHeight="1" x14ac:dyDescent="0.3">
      <c r="A1500" s="73" t="s">
        <v>402</v>
      </c>
      <c r="B1500" s="79">
        <v>46142</v>
      </c>
      <c r="C1500" s="73">
        <v>327</v>
      </c>
      <c r="D1500" s="73" t="s">
        <v>256</v>
      </c>
      <c r="E1500" s="73">
        <v>1</v>
      </c>
      <c r="F1500" s="75">
        <v>56.363599999999998</v>
      </c>
      <c r="G1500" s="75" t="s">
        <v>257</v>
      </c>
      <c r="H1500" s="75">
        <v>9.4854000000000003</v>
      </c>
      <c r="I1500" s="75">
        <v>14804.6973</v>
      </c>
      <c r="J1500" s="73" t="s">
        <v>257</v>
      </c>
      <c r="K1500" s="75">
        <v>15472.497100000001</v>
      </c>
      <c r="L1500" s="75" t="s">
        <v>257</v>
      </c>
      <c r="M1500" s="73">
        <v>20.062999999999999</v>
      </c>
      <c r="N1500" s="76">
        <v>125.9</v>
      </c>
      <c r="O1500" s="73">
        <v>4</v>
      </c>
      <c r="P1500" s="73"/>
      <c r="Q1500" s="66" t="s">
        <v>360</v>
      </c>
    </row>
    <row r="1501" spans="1:17" ht="13.8" customHeight="1" x14ac:dyDescent="0.3">
      <c r="A1501" s="70" t="s">
        <v>402</v>
      </c>
      <c r="B1501" s="78">
        <v>46142</v>
      </c>
      <c r="C1501" s="70">
        <v>328</v>
      </c>
      <c r="D1501" s="70" t="s">
        <v>256</v>
      </c>
      <c r="E1501" s="70">
        <v>2</v>
      </c>
      <c r="F1501" s="72">
        <v>29.4267</v>
      </c>
      <c r="G1501" s="72">
        <v>1.9573</v>
      </c>
      <c r="H1501" s="72">
        <v>9.0922999999999998</v>
      </c>
      <c r="I1501" s="72">
        <v>7200.9434000000001</v>
      </c>
      <c r="J1501" s="70" t="s">
        <v>257</v>
      </c>
      <c r="K1501" s="72">
        <v>5170.8603999999996</v>
      </c>
      <c r="L1501" s="72" t="s">
        <v>257</v>
      </c>
      <c r="M1501" s="70">
        <v>10.5021</v>
      </c>
      <c r="N1501" s="77">
        <v>126.16</v>
      </c>
      <c r="O1501" s="70">
        <v>4</v>
      </c>
      <c r="P1501" s="70"/>
      <c r="Q1501" s="62" t="s">
        <v>360</v>
      </c>
    </row>
    <row r="1502" spans="1:17" ht="13.8" customHeight="1" x14ac:dyDescent="0.3">
      <c r="A1502" s="73" t="s">
        <v>402</v>
      </c>
      <c r="B1502" s="79">
        <v>46142</v>
      </c>
      <c r="C1502" s="73">
        <v>329</v>
      </c>
      <c r="D1502" s="73" t="s">
        <v>256</v>
      </c>
      <c r="E1502" s="73">
        <v>2</v>
      </c>
      <c r="F1502" s="75">
        <v>35.442399999999999</v>
      </c>
      <c r="G1502" s="75">
        <v>1.2928999999999999</v>
      </c>
      <c r="H1502" s="75">
        <v>8.4253999999999998</v>
      </c>
      <c r="I1502" s="75">
        <v>6058.6274000000003</v>
      </c>
      <c r="J1502" s="73" t="s">
        <v>257</v>
      </c>
      <c r="K1502" s="75">
        <v>5037.5736999999999</v>
      </c>
      <c r="L1502" s="75" t="s">
        <v>257</v>
      </c>
      <c r="M1502" s="73">
        <v>8.4914000000000005</v>
      </c>
      <c r="N1502" s="76">
        <v>125.94</v>
      </c>
      <c r="O1502" s="73">
        <v>4</v>
      </c>
      <c r="P1502" s="73"/>
      <c r="Q1502" s="66" t="s">
        <v>360</v>
      </c>
    </row>
    <row r="1503" spans="1:17" ht="13.8" customHeight="1" x14ac:dyDescent="0.3">
      <c r="A1503" s="70" t="s">
        <v>402</v>
      </c>
      <c r="B1503" s="78">
        <v>46142</v>
      </c>
      <c r="C1503" s="70">
        <v>330</v>
      </c>
      <c r="D1503" s="70" t="s">
        <v>256</v>
      </c>
      <c r="E1503" s="70">
        <v>3</v>
      </c>
      <c r="F1503" s="72">
        <v>2290.8235</v>
      </c>
      <c r="G1503" s="72">
        <v>2.7789000000000001</v>
      </c>
      <c r="H1503" s="72" t="s">
        <v>257</v>
      </c>
      <c r="I1503" s="72">
        <v>10841.8359</v>
      </c>
      <c r="J1503" s="70" t="s">
        <v>257</v>
      </c>
      <c r="K1503" s="72">
        <v>5267.0897999999997</v>
      </c>
      <c r="L1503" s="72" t="s">
        <v>257</v>
      </c>
      <c r="M1503" s="70" t="s">
        <v>257</v>
      </c>
      <c r="N1503" s="77">
        <v>120.49</v>
      </c>
      <c r="O1503" s="70">
        <v>4</v>
      </c>
      <c r="P1503" s="70"/>
      <c r="Q1503" s="62" t="s">
        <v>360</v>
      </c>
    </row>
    <row r="1504" spans="1:17" ht="13.8" customHeight="1" x14ac:dyDescent="0.3">
      <c r="A1504" s="73" t="s">
        <v>402</v>
      </c>
      <c r="B1504" s="79">
        <v>46142</v>
      </c>
      <c r="C1504" s="73">
        <v>331</v>
      </c>
      <c r="D1504" s="73" t="s">
        <v>256</v>
      </c>
      <c r="E1504" s="73">
        <v>3</v>
      </c>
      <c r="F1504" s="75">
        <v>1724.8698999999999</v>
      </c>
      <c r="G1504" s="75">
        <v>3.1490999999999998</v>
      </c>
      <c r="H1504" s="75" t="s">
        <v>257</v>
      </c>
      <c r="I1504" s="75">
        <v>9397.3212999999996</v>
      </c>
      <c r="J1504" s="73" t="s">
        <v>257</v>
      </c>
      <c r="K1504" s="75">
        <v>4788.3671999999997</v>
      </c>
      <c r="L1504" s="75" t="s">
        <v>257</v>
      </c>
      <c r="M1504" s="73" t="s">
        <v>257</v>
      </c>
      <c r="N1504" s="76">
        <v>120.36</v>
      </c>
      <c r="O1504" s="73">
        <v>4</v>
      </c>
      <c r="P1504" s="73"/>
      <c r="Q1504" s="66" t="s">
        <v>360</v>
      </c>
    </row>
    <row r="1505" spans="1:17" ht="13.8" customHeight="1" x14ac:dyDescent="0.3">
      <c r="A1505" s="70" t="s">
        <v>402</v>
      </c>
      <c r="B1505" s="78">
        <v>46142</v>
      </c>
      <c r="C1505" s="70">
        <v>332</v>
      </c>
      <c r="D1505" s="70" t="s">
        <v>256</v>
      </c>
      <c r="E1505" s="70">
        <v>3</v>
      </c>
      <c r="F1505" s="72">
        <v>73.875299999999996</v>
      </c>
      <c r="G1505" s="72">
        <v>2.4975999999999998</v>
      </c>
      <c r="H1505" s="72">
        <v>12.648400000000001</v>
      </c>
      <c r="I1505" s="72">
        <v>12574.0273</v>
      </c>
      <c r="J1505" s="70" t="s">
        <v>257</v>
      </c>
      <c r="K1505" s="72">
        <v>14241.4141</v>
      </c>
      <c r="L1505" s="72">
        <v>4.9074999999999998</v>
      </c>
      <c r="M1505" s="70">
        <v>9.7131000000000007</v>
      </c>
      <c r="N1505" s="77">
        <v>126.36</v>
      </c>
      <c r="O1505" s="70">
        <v>4</v>
      </c>
      <c r="P1505" s="70"/>
      <c r="Q1505" s="62" t="s">
        <v>360</v>
      </c>
    </row>
    <row r="1506" spans="1:17" ht="13.8" customHeight="1" x14ac:dyDescent="0.3">
      <c r="A1506" s="73" t="s">
        <v>402</v>
      </c>
      <c r="B1506" s="79">
        <v>46142</v>
      </c>
      <c r="C1506" s="73">
        <v>333</v>
      </c>
      <c r="D1506" s="73" t="s">
        <v>256</v>
      </c>
      <c r="E1506" s="73">
        <v>4</v>
      </c>
      <c r="F1506" s="75">
        <v>26.270499999999998</v>
      </c>
      <c r="G1506" s="75">
        <v>4.4584999999999999</v>
      </c>
      <c r="H1506" s="75">
        <v>13.040900000000001</v>
      </c>
      <c r="I1506" s="75">
        <v>14496.7412</v>
      </c>
      <c r="J1506" s="73" t="s">
        <v>257</v>
      </c>
      <c r="K1506" s="75">
        <v>5639.6791999999996</v>
      </c>
      <c r="L1506" s="75" t="s">
        <v>257</v>
      </c>
      <c r="M1506" s="73">
        <v>8.8701000000000008</v>
      </c>
      <c r="N1506" s="76">
        <v>126.01</v>
      </c>
      <c r="O1506" s="73">
        <v>4</v>
      </c>
      <c r="P1506" s="73"/>
      <c r="Q1506" s="66" t="s">
        <v>360</v>
      </c>
    </row>
    <row r="1507" spans="1:17" ht="13.8" customHeight="1" x14ac:dyDescent="0.3">
      <c r="A1507" s="70" t="s">
        <v>402</v>
      </c>
      <c r="B1507" s="78">
        <v>46142</v>
      </c>
      <c r="C1507" s="70">
        <v>334</v>
      </c>
      <c r="D1507" s="70" t="s">
        <v>256</v>
      </c>
      <c r="E1507" s="70">
        <v>4</v>
      </c>
      <c r="F1507" s="72">
        <v>27.6876</v>
      </c>
      <c r="G1507" s="72">
        <v>5.6220999999999997</v>
      </c>
      <c r="H1507" s="72">
        <v>13.522</v>
      </c>
      <c r="I1507" s="72">
        <v>14410.522499999999</v>
      </c>
      <c r="J1507" s="70" t="s">
        <v>257</v>
      </c>
      <c r="K1507" s="72">
        <v>5360.1962999999996</v>
      </c>
      <c r="L1507" s="72" t="s">
        <v>257</v>
      </c>
      <c r="M1507" s="70">
        <v>8.1675000000000004</v>
      </c>
      <c r="N1507" s="77">
        <v>120.34</v>
      </c>
      <c r="O1507" s="70">
        <v>4</v>
      </c>
      <c r="P1507" s="70"/>
      <c r="Q1507" s="62" t="s">
        <v>360</v>
      </c>
    </row>
    <row r="1508" spans="1:17" ht="13.8" customHeight="1" x14ac:dyDescent="0.3">
      <c r="A1508" s="73" t="s">
        <v>402</v>
      </c>
      <c r="B1508" s="79">
        <v>46142</v>
      </c>
      <c r="C1508" s="73">
        <v>337</v>
      </c>
      <c r="D1508" s="73" t="s">
        <v>256</v>
      </c>
      <c r="E1508" s="73">
        <v>5</v>
      </c>
      <c r="F1508" s="75">
        <v>68.116699999999994</v>
      </c>
      <c r="G1508" s="75">
        <v>10.9222</v>
      </c>
      <c r="H1508" s="75">
        <v>20.310300000000002</v>
      </c>
      <c r="I1508" s="75">
        <v>71888.617199999993</v>
      </c>
      <c r="J1508" s="73" t="s">
        <v>257</v>
      </c>
      <c r="K1508" s="75">
        <v>7662.8720999999996</v>
      </c>
      <c r="L1508" s="75" t="s">
        <v>257</v>
      </c>
      <c r="M1508" s="73">
        <v>19.2912</v>
      </c>
      <c r="N1508" s="76">
        <v>126.1</v>
      </c>
      <c r="O1508" s="73">
        <v>4</v>
      </c>
      <c r="P1508" s="73"/>
      <c r="Q1508" s="66" t="s">
        <v>360</v>
      </c>
    </row>
    <row r="1509" spans="1:17" ht="13.8" customHeight="1" x14ac:dyDescent="0.3">
      <c r="A1509" s="70" t="s">
        <v>402</v>
      </c>
      <c r="B1509" s="78">
        <v>46142</v>
      </c>
      <c r="C1509" s="70">
        <v>338</v>
      </c>
      <c r="D1509" s="70" t="s">
        <v>256</v>
      </c>
      <c r="E1509" s="70">
        <v>5</v>
      </c>
      <c r="F1509" s="72">
        <v>74.421099999999996</v>
      </c>
      <c r="G1509" s="72">
        <v>10.444100000000001</v>
      </c>
      <c r="H1509" s="72">
        <v>16.9636</v>
      </c>
      <c r="I1509" s="72">
        <v>69592.601599999995</v>
      </c>
      <c r="J1509" s="70" t="s">
        <v>257</v>
      </c>
      <c r="K1509" s="72">
        <v>7806.0879000000004</v>
      </c>
      <c r="L1509" s="72" t="s">
        <v>257</v>
      </c>
      <c r="M1509" s="70">
        <v>16.260999999999999</v>
      </c>
      <c r="N1509" s="77">
        <v>126.11</v>
      </c>
      <c r="O1509" s="70">
        <v>4</v>
      </c>
      <c r="P1509" s="70"/>
      <c r="Q1509" s="62" t="s">
        <v>360</v>
      </c>
    </row>
    <row r="1510" spans="1:17" ht="13.8" customHeight="1" x14ac:dyDescent="0.3">
      <c r="A1510" s="73" t="s">
        <v>403</v>
      </c>
      <c r="B1510" s="79">
        <v>46142</v>
      </c>
      <c r="C1510" s="73">
        <v>339</v>
      </c>
      <c r="D1510" s="73" t="s">
        <v>256</v>
      </c>
      <c r="E1510" s="73">
        <v>1</v>
      </c>
      <c r="F1510" s="75">
        <v>22.5166</v>
      </c>
      <c r="G1510" s="75">
        <v>1.1129</v>
      </c>
      <c r="H1510" s="75" t="s">
        <v>257</v>
      </c>
      <c r="I1510" s="75">
        <v>460.49619999999999</v>
      </c>
      <c r="J1510" s="73" t="s">
        <v>257</v>
      </c>
      <c r="K1510" s="75">
        <v>666.52890000000002</v>
      </c>
      <c r="L1510" s="75" t="s">
        <v>257</v>
      </c>
      <c r="M1510" s="73" t="s">
        <v>257</v>
      </c>
      <c r="N1510" s="76">
        <v>99.3</v>
      </c>
      <c r="O1510" s="73">
        <v>4</v>
      </c>
      <c r="P1510" s="73"/>
      <c r="Q1510" s="66" t="s">
        <v>360</v>
      </c>
    </row>
    <row r="1511" spans="1:17" ht="13.8" customHeight="1" x14ac:dyDescent="0.3">
      <c r="A1511" s="70" t="s">
        <v>403</v>
      </c>
      <c r="B1511" s="78">
        <v>46142</v>
      </c>
      <c r="C1511" s="70">
        <v>340</v>
      </c>
      <c r="D1511" s="70" t="s">
        <v>256</v>
      </c>
      <c r="E1511" s="70">
        <v>1</v>
      </c>
      <c r="F1511" s="72">
        <v>9.6483000000000008</v>
      </c>
      <c r="G1511" s="72">
        <v>0.69750000000000001</v>
      </c>
      <c r="H1511" s="72" t="s">
        <v>257</v>
      </c>
      <c r="I1511" s="72">
        <v>322.05189999999999</v>
      </c>
      <c r="J1511" s="70" t="s">
        <v>257</v>
      </c>
      <c r="K1511" s="72">
        <v>580.96029999999996</v>
      </c>
      <c r="L1511" s="72" t="s">
        <v>257</v>
      </c>
      <c r="M1511" s="70" t="s">
        <v>257</v>
      </c>
      <c r="N1511" s="77">
        <v>120.24</v>
      </c>
      <c r="O1511" s="70">
        <v>4</v>
      </c>
      <c r="P1511" s="70"/>
      <c r="Q1511" s="62" t="s">
        <v>360</v>
      </c>
    </row>
    <row r="1512" spans="1:17" ht="13.8" customHeight="1" x14ac:dyDescent="0.3">
      <c r="A1512" s="73" t="s">
        <v>403</v>
      </c>
      <c r="B1512" s="79">
        <v>46142</v>
      </c>
      <c r="C1512" s="73">
        <v>341</v>
      </c>
      <c r="D1512" s="73" t="s">
        <v>256</v>
      </c>
      <c r="E1512" s="73">
        <v>1</v>
      </c>
      <c r="F1512" s="75">
        <v>11.3703</v>
      </c>
      <c r="G1512" s="75" t="s">
        <v>257</v>
      </c>
      <c r="H1512" s="75" t="s">
        <v>257</v>
      </c>
      <c r="I1512" s="75">
        <v>377.54259999999999</v>
      </c>
      <c r="J1512" s="73" t="s">
        <v>257</v>
      </c>
      <c r="K1512" s="75">
        <v>743.2903</v>
      </c>
      <c r="L1512" s="75" t="s">
        <v>257</v>
      </c>
      <c r="M1512" s="73" t="s">
        <v>257</v>
      </c>
      <c r="N1512" s="76">
        <v>120.58</v>
      </c>
      <c r="O1512" s="73">
        <v>4</v>
      </c>
      <c r="P1512" s="73"/>
      <c r="Q1512" s="66" t="s">
        <v>360</v>
      </c>
    </row>
    <row r="1513" spans="1:17" ht="13.8" customHeight="1" x14ac:dyDescent="0.3">
      <c r="A1513" s="70" t="s">
        <v>403</v>
      </c>
      <c r="B1513" s="78">
        <v>46142</v>
      </c>
      <c r="C1513" s="70">
        <v>342</v>
      </c>
      <c r="D1513" s="70" t="s">
        <v>256</v>
      </c>
      <c r="E1513" s="70">
        <v>2</v>
      </c>
      <c r="F1513" s="72">
        <v>13.2203</v>
      </c>
      <c r="G1513" s="72">
        <v>1.5336000000000001</v>
      </c>
      <c r="H1513" s="72" t="s">
        <v>257</v>
      </c>
      <c r="I1513" s="72">
        <v>719.71130000000005</v>
      </c>
      <c r="J1513" s="70" t="s">
        <v>257</v>
      </c>
      <c r="K1513" s="72">
        <v>656.97699999999998</v>
      </c>
      <c r="L1513" s="72" t="s">
        <v>257</v>
      </c>
      <c r="M1513" s="70" t="s">
        <v>257</v>
      </c>
      <c r="N1513" s="77">
        <v>120.72</v>
      </c>
      <c r="O1513" s="70">
        <v>4</v>
      </c>
      <c r="P1513" s="70"/>
      <c r="Q1513" s="62" t="s">
        <v>360</v>
      </c>
    </row>
    <row r="1514" spans="1:17" ht="13.8" customHeight="1" x14ac:dyDescent="0.3">
      <c r="A1514" s="73" t="s">
        <v>403</v>
      </c>
      <c r="B1514" s="79">
        <v>46142</v>
      </c>
      <c r="C1514" s="73">
        <v>343</v>
      </c>
      <c r="D1514" s="73" t="s">
        <v>256</v>
      </c>
      <c r="E1514" s="73">
        <v>2</v>
      </c>
      <c r="F1514" s="75" t="s">
        <v>257</v>
      </c>
      <c r="G1514" s="75" t="s">
        <v>257</v>
      </c>
      <c r="H1514" s="75" t="s">
        <v>257</v>
      </c>
      <c r="I1514" s="75">
        <v>50.154600000000002</v>
      </c>
      <c r="J1514" s="73">
        <v>1044.9304999999999</v>
      </c>
      <c r="K1514" s="75">
        <v>3074.0612999999998</v>
      </c>
      <c r="L1514" s="75" t="s">
        <v>257</v>
      </c>
      <c r="M1514" s="73" t="s">
        <v>257</v>
      </c>
      <c r="N1514" s="76">
        <v>126.2</v>
      </c>
      <c r="O1514" s="73">
        <v>4</v>
      </c>
      <c r="P1514" s="73"/>
      <c r="Q1514" s="66" t="s">
        <v>360</v>
      </c>
    </row>
    <row r="1515" spans="1:17" ht="13.8" customHeight="1" x14ac:dyDescent="0.3">
      <c r="A1515" s="70" t="s">
        <v>403</v>
      </c>
      <c r="B1515" s="78">
        <v>46142</v>
      </c>
      <c r="C1515" s="70">
        <v>344</v>
      </c>
      <c r="D1515" s="70" t="s">
        <v>256</v>
      </c>
      <c r="E1515" s="70">
        <v>2</v>
      </c>
      <c r="F1515" s="72">
        <v>48.471899999999998</v>
      </c>
      <c r="G1515" s="72">
        <v>2.6453000000000002</v>
      </c>
      <c r="H1515" s="72" t="s">
        <v>257</v>
      </c>
      <c r="I1515" s="72">
        <v>753.81960000000004</v>
      </c>
      <c r="J1515" s="70" t="s">
        <v>257</v>
      </c>
      <c r="K1515" s="72">
        <v>486.50670000000002</v>
      </c>
      <c r="L1515" s="72" t="s">
        <v>257</v>
      </c>
      <c r="M1515" s="70" t="s">
        <v>257</v>
      </c>
      <c r="N1515" s="77">
        <v>126.08</v>
      </c>
      <c r="O1515" s="70">
        <v>4</v>
      </c>
      <c r="P1515" s="70"/>
      <c r="Q1515" s="62" t="s">
        <v>360</v>
      </c>
    </row>
    <row r="1516" spans="1:17" ht="13.8" customHeight="1" x14ac:dyDescent="0.3">
      <c r="A1516" s="73" t="s">
        <v>403</v>
      </c>
      <c r="B1516" s="79">
        <v>46142</v>
      </c>
      <c r="C1516" s="73">
        <v>345</v>
      </c>
      <c r="D1516" s="73" t="s">
        <v>256</v>
      </c>
      <c r="E1516" s="73">
        <v>3</v>
      </c>
      <c r="F1516" s="75">
        <v>8.9739000000000004</v>
      </c>
      <c r="G1516" s="75">
        <v>1.895</v>
      </c>
      <c r="H1516" s="75" t="s">
        <v>257</v>
      </c>
      <c r="I1516" s="75">
        <v>626.12379999999996</v>
      </c>
      <c r="J1516" s="73" t="s">
        <v>257</v>
      </c>
      <c r="K1516" s="75">
        <v>584.36189999999999</v>
      </c>
      <c r="L1516" s="75" t="s">
        <v>257</v>
      </c>
      <c r="M1516" s="73" t="s">
        <v>257</v>
      </c>
      <c r="N1516" s="76">
        <v>120.7</v>
      </c>
      <c r="O1516" s="73">
        <v>4</v>
      </c>
      <c r="P1516" s="73"/>
      <c r="Q1516" s="66" t="s">
        <v>360</v>
      </c>
    </row>
    <row r="1517" spans="1:17" ht="13.8" customHeight="1" x14ac:dyDescent="0.3">
      <c r="A1517" s="70" t="s">
        <v>403</v>
      </c>
      <c r="B1517" s="78">
        <v>46142</v>
      </c>
      <c r="C1517" s="70">
        <v>346</v>
      </c>
      <c r="D1517" s="70" t="s">
        <v>256</v>
      </c>
      <c r="E1517" s="70">
        <v>3</v>
      </c>
      <c r="F1517" s="72">
        <v>30.028500000000001</v>
      </c>
      <c r="G1517" s="72">
        <v>2.4045000000000001</v>
      </c>
      <c r="H1517" s="72" t="s">
        <v>257</v>
      </c>
      <c r="I1517" s="72">
        <v>772.74739999999997</v>
      </c>
      <c r="J1517" s="70" t="s">
        <v>257</v>
      </c>
      <c r="K1517" s="72">
        <v>566.44989999999996</v>
      </c>
      <c r="L1517" s="72" t="s">
        <v>257</v>
      </c>
      <c r="M1517" s="70" t="s">
        <v>257</v>
      </c>
      <c r="N1517" s="77">
        <v>120.77</v>
      </c>
      <c r="O1517" s="70">
        <v>4</v>
      </c>
      <c r="P1517" s="70"/>
      <c r="Q1517" s="62" t="s">
        <v>360</v>
      </c>
    </row>
    <row r="1518" spans="1:17" ht="13.8" customHeight="1" x14ac:dyDescent="0.3">
      <c r="A1518" s="73" t="s">
        <v>403</v>
      </c>
      <c r="B1518" s="79">
        <v>46142</v>
      </c>
      <c r="C1518" s="73">
        <v>347</v>
      </c>
      <c r="D1518" s="73" t="s">
        <v>256</v>
      </c>
      <c r="E1518" s="73">
        <v>4</v>
      </c>
      <c r="F1518" s="75" t="s">
        <v>257</v>
      </c>
      <c r="G1518" s="75" t="s">
        <v>257</v>
      </c>
      <c r="H1518" s="75" t="s">
        <v>257</v>
      </c>
      <c r="I1518" s="75">
        <v>48.1145</v>
      </c>
      <c r="J1518" s="73">
        <v>1042.5233000000001</v>
      </c>
      <c r="K1518" s="75">
        <v>3852.7637</v>
      </c>
      <c r="L1518" s="75" t="s">
        <v>257</v>
      </c>
      <c r="M1518" s="73" t="s">
        <v>257</v>
      </c>
      <c r="N1518" s="76">
        <v>126.12</v>
      </c>
      <c r="O1518" s="73">
        <v>4</v>
      </c>
      <c r="P1518" s="73"/>
      <c r="Q1518" s="66" t="s">
        <v>360</v>
      </c>
    </row>
    <row r="1519" spans="1:17" ht="13.8" customHeight="1" x14ac:dyDescent="0.3">
      <c r="A1519" s="70" t="s">
        <v>403</v>
      </c>
      <c r="B1519" s="78">
        <v>46142</v>
      </c>
      <c r="C1519" s="70">
        <v>348</v>
      </c>
      <c r="D1519" s="70" t="s">
        <v>256</v>
      </c>
      <c r="E1519" s="70">
        <v>4</v>
      </c>
      <c r="F1519" s="72" t="s">
        <v>257</v>
      </c>
      <c r="G1519" s="72" t="s">
        <v>257</v>
      </c>
      <c r="H1519" s="72">
        <v>4.4059999999999997</v>
      </c>
      <c r="I1519" s="72">
        <v>353.07589999999999</v>
      </c>
      <c r="J1519" s="70" t="s">
        <v>257</v>
      </c>
      <c r="K1519" s="72">
        <v>827.548</v>
      </c>
      <c r="L1519" s="72" t="s">
        <v>257</v>
      </c>
      <c r="M1519" s="70" t="s">
        <v>257</v>
      </c>
      <c r="N1519" s="77">
        <v>120.16</v>
      </c>
      <c r="O1519" s="70">
        <v>4</v>
      </c>
      <c r="P1519" s="70"/>
      <c r="Q1519" s="62" t="s">
        <v>360</v>
      </c>
    </row>
    <row r="1520" spans="1:17" ht="13.8" customHeight="1" x14ac:dyDescent="0.3">
      <c r="A1520" s="73" t="s">
        <v>403</v>
      </c>
      <c r="B1520" s="79">
        <v>46142</v>
      </c>
      <c r="C1520" s="73">
        <v>349</v>
      </c>
      <c r="D1520" s="73" t="s">
        <v>256</v>
      </c>
      <c r="E1520" s="73">
        <v>5</v>
      </c>
      <c r="F1520" s="75">
        <v>3.5707</v>
      </c>
      <c r="G1520" s="75">
        <v>1.2387999999999999</v>
      </c>
      <c r="H1520" s="75">
        <v>7.0670999999999999</v>
      </c>
      <c r="I1520" s="75">
        <v>3404.2941999999998</v>
      </c>
      <c r="J1520" s="73" t="s">
        <v>257</v>
      </c>
      <c r="K1520" s="75">
        <v>429.9348</v>
      </c>
      <c r="L1520" s="75">
        <v>7.8695000000000004</v>
      </c>
      <c r="M1520" s="73" t="s">
        <v>257</v>
      </c>
      <c r="N1520" s="76">
        <v>126</v>
      </c>
      <c r="O1520" s="73">
        <v>4</v>
      </c>
      <c r="P1520" s="73"/>
      <c r="Q1520" s="66" t="s">
        <v>360</v>
      </c>
    </row>
    <row r="1521" spans="1:17" ht="13.8" customHeight="1" x14ac:dyDescent="0.3">
      <c r="A1521" s="70" t="s">
        <v>403</v>
      </c>
      <c r="B1521" s="78">
        <v>46142</v>
      </c>
      <c r="C1521" s="70">
        <v>350</v>
      </c>
      <c r="D1521" s="70" t="s">
        <v>256</v>
      </c>
      <c r="E1521" s="70">
        <v>5</v>
      </c>
      <c r="F1521" s="72">
        <v>4.5575000000000001</v>
      </c>
      <c r="G1521" s="72">
        <v>1.8349</v>
      </c>
      <c r="H1521" s="72">
        <v>6.6281999999999996</v>
      </c>
      <c r="I1521" s="72">
        <v>3317.1731</v>
      </c>
      <c r="J1521" s="70" t="s">
        <v>257</v>
      </c>
      <c r="K1521" s="72">
        <v>468.7122</v>
      </c>
      <c r="L1521" s="72">
        <v>8.9545999999999992</v>
      </c>
      <c r="M1521" s="70" t="s">
        <v>257</v>
      </c>
      <c r="N1521" s="77">
        <v>120.76</v>
      </c>
      <c r="O1521" s="70">
        <v>4</v>
      </c>
      <c r="P1521" s="70"/>
      <c r="Q1521" s="62" t="s">
        <v>360</v>
      </c>
    </row>
    <row r="1522" spans="1:17" ht="13.8" customHeight="1" x14ac:dyDescent="0.3">
      <c r="A1522" s="73" t="s">
        <v>404</v>
      </c>
      <c r="B1522" s="79">
        <v>46143</v>
      </c>
      <c r="C1522" s="73">
        <v>1406</v>
      </c>
      <c r="D1522" s="73" t="s">
        <v>256</v>
      </c>
      <c r="E1522" s="73">
        <v>1</v>
      </c>
      <c r="F1522" s="75">
        <v>14.524800000000001</v>
      </c>
      <c r="G1522" s="75">
        <v>24.182500000000001</v>
      </c>
      <c r="H1522" s="75">
        <v>68.950299999999999</v>
      </c>
      <c r="I1522" s="75">
        <v>80714.789099999995</v>
      </c>
      <c r="J1522" s="73">
        <v>518.47349999999994</v>
      </c>
      <c r="K1522" s="75">
        <v>16566.027300000002</v>
      </c>
      <c r="L1522" s="75">
        <v>129.71940000000001</v>
      </c>
      <c r="M1522" s="73">
        <v>41.869700000000002</v>
      </c>
      <c r="N1522" s="76">
        <v>120.1</v>
      </c>
      <c r="O1522" s="73">
        <v>4</v>
      </c>
      <c r="P1522" s="73"/>
      <c r="Q1522" s="66" t="s">
        <v>258</v>
      </c>
    </row>
    <row r="1523" spans="1:17" ht="13.8" customHeight="1" x14ac:dyDescent="0.3">
      <c r="A1523" s="70" t="s">
        <v>404</v>
      </c>
      <c r="B1523" s="78">
        <v>46143</v>
      </c>
      <c r="C1523" s="70">
        <v>1407</v>
      </c>
      <c r="D1523" s="70" t="s">
        <v>256</v>
      </c>
      <c r="E1523" s="70">
        <v>1</v>
      </c>
      <c r="F1523" s="72">
        <v>8.4640000000000004</v>
      </c>
      <c r="G1523" s="72">
        <v>27.2926</v>
      </c>
      <c r="H1523" s="72">
        <v>76.117000000000004</v>
      </c>
      <c r="I1523" s="72">
        <v>86443.195300000007</v>
      </c>
      <c r="J1523" s="70">
        <v>528.12570000000005</v>
      </c>
      <c r="K1523" s="72">
        <v>10223.609399999999</v>
      </c>
      <c r="L1523" s="72">
        <v>131.5341</v>
      </c>
      <c r="M1523" s="70">
        <v>37.071300000000001</v>
      </c>
      <c r="N1523" s="77">
        <v>123.04</v>
      </c>
      <c r="O1523" s="70">
        <v>4</v>
      </c>
      <c r="P1523" s="70"/>
      <c r="Q1523" s="62" t="s">
        <v>258</v>
      </c>
    </row>
    <row r="1524" spans="1:17" ht="13.8" customHeight="1" x14ac:dyDescent="0.3">
      <c r="A1524" s="73" t="s">
        <v>404</v>
      </c>
      <c r="B1524" s="79">
        <v>46143</v>
      </c>
      <c r="C1524" s="73">
        <v>1409</v>
      </c>
      <c r="D1524" s="73" t="s">
        <v>256</v>
      </c>
      <c r="E1524" s="73">
        <v>2</v>
      </c>
      <c r="F1524" s="75">
        <v>9.4291999999999998</v>
      </c>
      <c r="G1524" s="75">
        <v>12.619400000000001</v>
      </c>
      <c r="H1524" s="75">
        <v>42.129800000000003</v>
      </c>
      <c r="I1524" s="75">
        <v>110378.25</v>
      </c>
      <c r="J1524" s="73">
        <v>644.78430000000003</v>
      </c>
      <c r="K1524" s="75">
        <v>12173.868200000001</v>
      </c>
      <c r="L1524" s="75">
        <v>68.753100000000003</v>
      </c>
      <c r="M1524" s="73">
        <v>26.296800000000001</v>
      </c>
      <c r="N1524" s="76">
        <v>120.12</v>
      </c>
      <c r="O1524" s="73">
        <v>4</v>
      </c>
      <c r="P1524" s="73"/>
      <c r="Q1524" s="66" t="s">
        <v>258</v>
      </c>
    </row>
    <row r="1525" spans="1:17" ht="13.8" customHeight="1" x14ac:dyDescent="0.3">
      <c r="A1525" s="70" t="s">
        <v>404</v>
      </c>
      <c r="B1525" s="78">
        <v>46143</v>
      </c>
      <c r="C1525" s="70">
        <v>1410</v>
      </c>
      <c r="D1525" s="70" t="s">
        <v>256</v>
      </c>
      <c r="E1525" s="70">
        <v>2</v>
      </c>
      <c r="F1525" s="72">
        <v>10.0905</v>
      </c>
      <c r="G1525" s="72">
        <v>12.0261</v>
      </c>
      <c r="H1525" s="72">
        <v>43.084299999999999</v>
      </c>
      <c r="I1525" s="72">
        <v>107580.83590000001</v>
      </c>
      <c r="J1525" s="70">
        <v>612.85590000000002</v>
      </c>
      <c r="K1525" s="72">
        <v>12210.857400000001</v>
      </c>
      <c r="L1525" s="72">
        <v>63.484099999999998</v>
      </c>
      <c r="M1525" s="70">
        <v>23.922799999999999</v>
      </c>
      <c r="N1525" s="77">
        <v>120.58</v>
      </c>
      <c r="O1525" s="70">
        <v>4</v>
      </c>
      <c r="P1525" s="70"/>
      <c r="Q1525" s="62" t="s">
        <v>258</v>
      </c>
    </row>
    <row r="1526" spans="1:17" ht="13.8" customHeight="1" x14ac:dyDescent="0.3">
      <c r="A1526" s="73" t="s">
        <v>404</v>
      </c>
      <c r="B1526" s="79">
        <v>46143</v>
      </c>
      <c r="C1526" s="73">
        <v>1411</v>
      </c>
      <c r="D1526" s="73" t="s">
        <v>256</v>
      </c>
      <c r="E1526" s="73">
        <v>3</v>
      </c>
      <c r="F1526" s="75">
        <v>8.6189</v>
      </c>
      <c r="G1526" s="75">
        <v>21.300999999999998</v>
      </c>
      <c r="H1526" s="75">
        <v>44.989199999999997</v>
      </c>
      <c r="I1526" s="75">
        <v>125755.2812</v>
      </c>
      <c r="J1526" s="73">
        <v>647.50869999999998</v>
      </c>
      <c r="K1526" s="75">
        <v>14668.8457</v>
      </c>
      <c r="L1526" s="75">
        <v>70.297399999999996</v>
      </c>
      <c r="M1526" s="73">
        <v>15.160399999999999</v>
      </c>
      <c r="N1526" s="76">
        <v>120.73</v>
      </c>
      <c r="O1526" s="73">
        <v>4</v>
      </c>
      <c r="P1526" s="73"/>
      <c r="Q1526" s="66" t="s">
        <v>258</v>
      </c>
    </row>
    <row r="1527" spans="1:17" ht="13.8" customHeight="1" x14ac:dyDescent="0.3">
      <c r="A1527" s="70" t="s">
        <v>404</v>
      </c>
      <c r="B1527" s="78">
        <v>46143</v>
      </c>
      <c r="C1527" s="70">
        <v>1413</v>
      </c>
      <c r="D1527" s="70" t="s">
        <v>256</v>
      </c>
      <c r="E1527" s="70">
        <v>3</v>
      </c>
      <c r="F1527" s="72">
        <v>6.5385</v>
      </c>
      <c r="G1527" s="72">
        <v>17.7913</v>
      </c>
      <c r="H1527" s="72">
        <v>44.461399999999998</v>
      </c>
      <c r="I1527" s="72">
        <v>93937.109400000001</v>
      </c>
      <c r="J1527" s="70">
        <v>414.98910000000001</v>
      </c>
      <c r="K1527" s="72">
        <v>13514.0635</v>
      </c>
      <c r="L1527" s="72">
        <v>52.282899999999998</v>
      </c>
      <c r="M1527" s="70">
        <v>7.3566000000000003</v>
      </c>
      <c r="N1527" s="77">
        <v>123.1</v>
      </c>
      <c r="O1527" s="70">
        <v>4</v>
      </c>
      <c r="P1527" s="70"/>
      <c r="Q1527" s="62" t="s">
        <v>258</v>
      </c>
    </row>
    <row r="1528" spans="1:17" ht="13.8" customHeight="1" x14ac:dyDescent="0.3">
      <c r="A1528" s="73" t="s">
        <v>404</v>
      </c>
      <c r="B1528" s="79">
        <v>46143</v>
      </c>
      <c r="C1528" s="73">
        <v>1414</v>
      </c>
      <c r="D1528" s="73" t="s">
        <v>256</v>
      </c>
      <c r="E1528" s="73">
        <v>4</v>
      </c>
      <c r="F1528" s="75">
        <v>13.222799999999999</v>
      </c>
      <c r="G1528" s="75">
        <v>20.299299999999999</v>
      </c>
      <c r="H1528" s="75">
        <v>56.4756</v>
      </c>
      <c r="I1528" s="75">
        <v>95960.546900000001</v>
      </c>
      <c r="J1528" s="73">
        <v>431.00970000000001</v>
      </c>
      <c r="K1528" s="75">
        <v>13702.3838</v>
      </c>
      <c r="L1528" s="75">
        <v>90.844099999999997</v>
      </c>
      <c r="M1528" s="73">
        <v>34.117400000000004</v>
      </c>
      <c r="N1528" s="76">
        <v>123.29</v>
      </c>
      <c r="O1528" s="73">
        <v>4</v>
      </c>
      <c r="P1528" s="73"/>
      <c r="Q1528" s="66" t="s">
        <v>258</v>
      </c>
    </row>
    <row r="1529" spans="1:17" ht="13.8" customHeight="1" x14ac:dyDescent="0.3">
      <c r="A1529" s="70" t="s">
        <v>404</v>
      </c>
      <c r="B1529" s="78">
        <v>46143</v>
      </c>
      <c r="C1529" s="70">
        <v>1415</v>
      </c>
      <c r="D1529" s="70" t="s">
        <v>256</v>
      </c>
      <c r="E1529" s="70">
        <v>4</v>
      </c>
      <c r="F1529" s="72">
        <v>12.448600000000001</v>
      </c>
      <c r="G1529" s="72">
        <v>22.703800000000001</v>
      </c>
      <c r="H1529" s="72">
        <v>54.483600000000003</v>
      </c>
      <c r="I1529" s="72">
        <v>97052.828099999999</v>
      </c>
      <c r="J1529" s="70">
        <v>430.67559999999997</v>
      </c>
      <c r="K1529" s="72">
        <v>13833.733399999999</v>
      </c>
      <c r="L1529" s="72">
        <v>94.179100000000005</v>
      </c>
      <c r="M1529" s="70">
        <v>25.851199999999999</v>
      </c>
      <c r="N1529" s="77">
        <v>120.68</v>
      </c>
      <c r="O1529" s="70">
        <v>4</v>
      </c>
      <c r="P1529" s="70"/>
      <c r="Q1529" s="62" t="s">
        <v>258</v>
      </c>
    </row>
    <row r="1530" spans="1:17" ht="13.8" customHeight="1" x14ac:dyDescent="0.3">
      <c r="A1530" s="73" t="s">
        <v>404</v>
      </c>
      <c r="B1530" s="79">
        <v>46143</v>
      </c>
      <c r="C1530" s="73">
        <v>1416</v>
      </c>
      <c r="D1530" s="73" t="s">
        <v>256</v>
      </c>
      <c r="E1530" s="73">
        <v>5</v>
      </c>
      <c r="F1530" s="75">
        <v>17.0547</v>
      </c>
      <c r="G1530" s="75">
        <v>25.5854</v>
      </c>
      <c r="H1530" s="75">
        <v>108.15770000000001</v>
      </c>
      <c r="I1530" s="75">
        <v>90992.382800000007</v>
      </c>
      <c r="J1530" s="73">
        <v>465.67380000000003</v>
      </c>
      <c r="K1530" s="75">
        <v>47662.597699999998</v>
      </c>
      <c r="L1530" s="75">
        <v>59.954000000000001</v>
      </c>
      <c r="M1530" s="73">
        <v>18.506499999999999</v>
      </c>
      <c r="N1530" s="76">
        <v>123.35</v>
      </c>
      <c r="O1530" s="73">
        <v>4</v>
      </c>
      <c r="P1530" s="73"/>
      <c r="Q1530" s="66" t="s">
        <v>258</v>
      </c>
    </row>
    <row r="1531" spans="1:17" ht="13.8" customHeight="1" x14ac:dyDescent="0.3">
      <c r="A1531" s="70" t="s">
        <v>404</v>
      </c>
      <c r="B1531" s="78">
        <v>46143</v>
      </c>
      <c r="C1531" s="70">
        <v>1417</v>
      </c>
      <c r="D1531" s="70" t="s">
        <v>256</v>
      </c>
      <c r="E1531" s="70">
        <v>5</v>
      </c>
      <c r="F1531" s="72">
        <v>17.393899999999999</v>
      </c>
      <c r="G1531" s="72">
        <v>23.2681</v>
      </c>
      <c r="H1531" s="72">
        <v>99.844399999999993</v>
      </c>
      <c r="I1531" s="72">
        <v>89369.898400000005</v>
      </c>
      <c r="J1531" s="70">
        <v>485.22089999999997</v>
      </c>
      <c r="K1531" s="72">
        <v>53745.824200000003</v>
      </c>
      <c r="L1531" s="72">
        <v>49.055999999999997</v>
      </c>
      <c r="M1531" s="70">
        <v>25.812100000000001</v>
      </c>
      <c r="N1531" s="77">
        <v>120.48</v>
      </c>
      <c r="O1531" s="70">
        <v>4</v>
      </c>
      <c r="P1531" s="70"/>
      <c r="Q1531" s="62" t="s">
        <v>258</v>
      </c>
    </row>
    <row r="1532" spans="1:17" ht="13.8" customHeight="1" x14ac:dyDescent="0.3">
      <c r="A1532" s="73" t="s">
        <v>405</v>
      </c>
      <c r="B1532" s="79">
        <v>46143</v>
      </c>
      <c r="C1532" s="73">
        <v>1418</v>
      </c>
      <c r="D1532" s="73" t="s">
        <v>256</v>
      </c>
      <c r="E1532" s="73">
        <v>1</v>
      </c>
      <c r="F1532" s="75">
        <v>49.9848</v>
      </c>
      <c r="G1532" s="75" t="s">
        <v>257</v>
      </c>
      <c r="H1532" s="75">
        <v>8.7369000000000003</v>
      </c>
      <c r="I1532" s="75">
        <v>126584.02340000001</v>
      </c>
      <c r="J1532" s="73">
        <v>107.8288</v>
      </c>
      <c r="K1532" s="75">
        <v>43175.105499999998</v>
      </c>
      <c r="L1532" s="75">
        <v>11.172599999999999</v>
      </c>
      <c r="M1532" s="73" t="s">
        <v>257</v>
      </c>
      <c r="N1532" s="76">
        <v>120.12</v>
      </c>
      <c r="O1532" s="73">
        <v>4</v>
      </c>
      <c r="P1532" s="73"/>
      <c r="Q1532" s="66" t="s">
        <v>258</v>
      </c>
    </row>
    <row r="1533" spans="1:17" ht="13.8" customHeight="1" x14ac:dyDescent="0.3">
      <c r="A1533" s="70" t="s">
        <v>405</v>
      </c>
      <c r="B1533" s="78">
        <v>46143</v>
      </c>
      <c r="C1533" s="70">
        <v>1419</v>
      </c>
      <c r="D1533" s="70" t="s">
        <v>256</v>
      </c>
      <c r="E1533" s="70">
        <v>1</v>
      </c>
      <c r="F1533" s="72">
        <v>43.656100000000002</v>
      </c>
      <c r="G1533" s="72" t="s">
        <v>257</v>
      </c>
      <c r="H1533" s="72">
        <v>12.697100000000001</v>
      </c>
      <c r="I1533" s="72">
        <v>124998.7969</v>
      </c>
      <c r="J1533" s="70">
        <v>135.03559999999999</v>
      </c>
      <c r="K1533" s="72">
        <v>43363.171900000001</v>
      </c>
      <c r="L1533" s="72">
        <v>10.3309</v>
      </c>
      <c r="M1533" s="70" t="s">
        <v>257</v>
      </c>
      <c r="N1533" s="77">
        <v>120.07</v>
      </c>
      <c r="O1533" s="70">
        <v>4</v>
      </c>
      <c r="P1533" s="70"/>
      <c r="Q1533" s="62" t="s">
        <v>258</v>
      </c>
    </row>
    <row r="1534" spans="1:17" ht="13.8" customHeight="1" x14ac:dyDescent="0.3">
      <c r="A1534" s="73" t="s">
        <v>405</v>
      </c>
      <c r="B1534" s="79">
        <v>46143</v>
      </c>
      <c r="C1534" s="73">
        <v>1420</v>
      </c>
      <c r="D1534" s="73" t="s">
        <v>256</v>
      </c>
      <c r="E1534" s="73">
        <v>2</v>
      </c>
      <c r="F1534" s="75">
        <v>36.977400000000003</v>
      </c>
      <c r="G1534" s="75" t="s">
        <v>257</v>
      </c>
      <c r="H1534" s="75">
        <v>6.1089000000000002</v>
      </c>
      <c r="I1534" s="75">
        <v>87837.351599999995</v>
      </c>
      <c r="J1534" s="73">
        <v>261.31119999999999</v>
      </c>
      <c r="K1534" s="75">
        <v>60571.640599999999</v>
      </c>
      <c r="L1534" s="75">
        <v>44.165199999999999</v>
      </c>
      <c r="M1534" s="73" t="s">
        <v>257</v>
      </c>
      <c r="N1534" s="76">
        <v>120.68</v>
      </c>
      <c r="O1534" s="73">
        <v>4</v>
      </c>
      <c r="P1534" s="73"/>
      <c r="Q1534" s="66" t="s">
        <v>258</v>
      </c>
    </row>
    <row r="1535" spans="1:17" ht="13.8" customHeight="1" x14ac:dyDescent="0.3">
      <c r="A1535" s="70" t="s">
        <v>405</v>
      </c>
      <c r="B1535" s="78">
        <v>46143</v>
      </c>
      <c r="C1535" s="70">
        <v>1421</v>
      </c>
      <c r="D1535" s="70" t="s">
        <v>256</v>
      </c>
      <c r="E1535" s="70">
        <v>2</v>
      </c>
      <c r="F1535" s="72">
        <v>32.870199999999997</v>
      </c>
      <c r="G1535" s="72" t="s">
        <v>257</v>
      </c>
      <c r="H1535" s="72">
        <v>5.5023999999999997</v>
      </c>
      <c r="I1535" s="72">
        <v>83532.992199999993</v>
      </c>
      <c r="J1535" s="70">
        <v>260.0437</v>
      </c>
      <c r="K1535" s="72">
        <v>60664.781199999998</v>
      </c>
      <c r="L1535" s="72">
        <v>40.127600000000001</v>
      </c>
      <c r="M1535" s="70">
        <v>6.5076000000000001</v>
      </c>
      <c r="N1535" s="77">
        <v>120.41</v>
      </c>
      <c r="O1535" s="70">
        <v>4</v>
      </c>
      <c r="P1535" s="70"/>
      <c r="Q1535" s="62" t="s">
        <v>258</v>
      </c>
    </row>
    <row r="1536" spans="1:17" ht="13.8" customHeight="1" x14ac:dyDescent="0.3">
      <c r="A1536" s="73" t="s">
        <v>405</v>
      </c>
      <c r="B1536" s="79">
        <v>46143</v>
      </c>
      <c r="C1536" s="73">
        <v>1422</v>
      </c>
      <c r="D1536" s="73" t="s">
        <v>256</v>
      </c>
      <c r="E1536" s="73">
        <v>3</v>
      </c>
      <c r="F1536" s="75">
        <v>24.210899999999999</v>
      </c>
      <c r="G1536" s="75" t="s">
        <v>257</v>
      </c>
      <c r="H1536" s="75">
        <v>23.100300000000001</v>
      </c>
      <c r="I1536" s="75">
        <v>212807.45310000001</v>
      </c>
      <c r="J1536" s="73">
        <v>72.966700000000003</v>
      </c>
      <c r="K1536" s="75">
        <v>59499.828099999999</v>
      </c>
      <c r="L1536" s="75">
        <v>15.363799999999999</v>
      </c>
      <c r="M1536" s="73" t="s">
        <v>257</v>
      </c>
      <c r="N1536" s="76">
        <v>120.64</v>
      </c>
      <c r="O1536" s="73">
        <v>4</v>
      </c>
      <c r="P1536" s="73"/>
      <c r="Q1536" s="66" t="s">
        <v>258</v>
      </c>
    </row>
    <row r="1537" spans="1:17" ht="13.8" customHeight="1" x14ac:dyDescent="0.3">
      <c r="A1537" s="70" t="s">
        <v>405</v>
      </c>
      <c r="B1537" s="78">
        <v>46143</v>
      </c>
      <c r="C1537" s="70">
        <v>1424</v>
      </c>
      <c r="D1537" s="70" t="s">
        <v>256</v>
      </c>
      <c r="E1537" s="70">
        <v>3</v>
      </c>
      <c r="F1537" s="72">
        <v>14.355700000000001</v>
      </c>
      <c r="G1537" s="72" t="s">
        <v>257</v>
      </c>
      <c r="H1537" s="72">
        <v>14.595499999999999</v>
      </c>
      <c r="I1537" s="72">
        <v>343066.28120000003</v>
      </c>
      <c r="J1537" s="70" t="s">
        <v>257</v>
      </c>
      <c r="K1537" s="72">
        <v>41441.949200000003</v>
      </c>
      <c r="L1537" s="72" t="s">
        <v>257</v>
      </c>
      <c r="M1537" s="70" t="s">
        <v>257</v>
      </c>
      <c r="N1537" s="77">
        <v>123.15</v>
      </c>
      <c r="O1537" s="70">
        <v>4</v>
      </c>
      <c r="P1537" s="70"/>
      <c r="Q1537" s="62" t="s">
        <v>258</v>
      </c>
    </row>
    <row r="1538" spans="1:17" ht="13.8" customHeight="1" x14ac:dyDescent="0.3">
      <c r="A1538" s="73" t="s">
        <v>405</v>
      </c>
      <c r="B1538" s="79">
        <v>46143</v>
      </c>
      <c r="C1538" s="73">
        <v>1425</v>
      </c>
      <c r="D1538" s="73" t="s">
        <v>256</v>
      </c>
      <c r="E1538" s="73">
        <v>4</v>
      </c>
      <c r="F1538" s="75">
        <v>8.8280999999999992</v>
      </c>
      <c r="G1538" s="75" t="s">
        <v>257</v>
      </c>
      <c r="H1538" s="75">
        <v>17.393799999999999</v>
      </c>
      <c r="I1538" s="75">
        <v>261541.7812</v>
      </c>
      <c r="J1538" s="73" t="s">
        <v>257</v>
      </c>
      <c r="K1538" s="75">
        <v>45455.714800000002</v>
      </c>
      <c r="L1538" s="75" t="s">
        <v>257</v>
      </c>
      <c r="M1538" s="73" t="s">
        <v>257</v>
      </c>
      <c r="N1538" s="76">
        <v>120.49</v>
      </c>
      <c r="O1538" s="73">
        <v>4</v>
      </c>
      <c r="P1538" s="73"/>
      <c r="Q1538" s="66" t="s">
        <v>258</v>
      </c>
    </row>
    <row r="1539" spans="1:17" ht="13.8" customHeight="1" x14ac:dyDescent="0.3">
      <c r="A1539" s="70" t="s">
        <v>405</v>
      </c>
      <c r="B1539" s="78">
        <v>46143</v>
      </c>
      <c r="C1539" s="70">
        <v>1426</v>
      </c>
      <c r="D1539" s="70" t="s">
        <v>256</v>
      </c>
      <c r="E1539" s="70">
        <v>4</v>
      </c>
      <c r="F1539" s="72">
        <v>27.832599999999999</v>
      </c>
      <c r="G1539" s="72" t="s">
        <v>257</v>
      </c>
      <c r="H1539" s="72">
        <v>19.510000000000002</v>
      </c>
      <c r="I1539" s="72">
        <v>242994.26560000001</v>
      </c>
      <c r="J1539" s="70" t="s">
        <v>257</v>
      </c>
      <c r="K1539" s="72">
        <v>43878.441400000003</v>
      </c>
      <c r="L1539" s="72">
        <v>8.9136000000000006</v>
      </c>
      <c r="M1539" s="70" t="s">
        <v>257</v>
      </c>
      <c r="N1539" s="77">
        <v>123.25</v>
      </c>
      <c r="O1539" s="70">
        <v>4</v>
      </c>
      <c r="P1539" s="70"/>
      <c r="Q1539" s="62" t="s">
        <v>258</v>
      </c>
    </row>
    <row r="1540" spans="1:17" ht="13.8" customHeight="1" x14ac:dyDescent="0.3">
      <c r="A1540" s="73" t="s">
        <v>405</v>
      </c>
      <c r="B1540" s="79">
        <v>46143</v>
      </c>
      <c r="C1540" s="73">
        <v>1427</v>
      </c>
      <c r="D1540" s="73" t="s">
        <v>256</v>
      </c>
      <c r="E1540" s="73">
        <v>5</v>
      </c>
      <c r="F1540" s="75">
        <v>114.4982</v>
      </c>
      <c r="G1540" s="75" t="s">
        <v>257</v>
      </c>
      <c r="H1540" s="75">
        <v>9.1228999999999996</v>
      </c>
      <c r="I1540" s="75">
        <v>80911.5625</v>
      </c>
      <c r="J1540" s="73">
        <v>129.37440000000001</v>
      </c>
      <c r="K1540" s="75">
        <v>41705.765599999999</v>
      </c>
      <c r="L1540" s="75">
        <v>25.554600000000001</v>
      </c>
      <c r="M1540" s="73" t="s">
        <v>257</v>
      </c>
      <c r="N1540" s="76">
        <v>120.43</v>
      </c>
      <c r="O1540" s="73">
        <v>4</v>
      </c>
      <c r="P1540" s="73"/>
      <c r="Q1540" s="66" t="s">
        <v>258</v>
      </c>
    </row>
    <row r="1541" spans="1:17" ht="13.8" customHeight="1" x14ac:dyDescent="0.3">
      <c r="A1541" s="70" t="s">
        <v>405</v>
      </c>
      <c r="B1541" s="78">
        <v>46143</v>
      </c>
      <c r="C1541" s="70">
        <v>1428</v>
      </c>
      <c r="D1541" s="70" t="s">
        <v>256</v>
      </c>
      <c r="E1541" s="70">
        <v>5</v>
      </c>
      <c r="F1541" s="72">
        <v>85.497399999999999</v>
      </c>
      <c r="G1541" s="72" t="s">
        <v>257</v>
      </c>
      <c r="H1541" s="72">
        <v>6.0839999999999996</v>
      </c>
      <c r="I1541" s="72">
        <v>76891.640599999999</v>
      </c>
      <c r="J1541" s="70">
        <v>108.6785</v>
      </c>
      <c r="K1541" s="72">
        <v>42306.656199999998</v>
      </c>
      <c r="L1541" s="72">
        <v>23.366900000000001</v>
      </c>
      <c r="M1541" s="70" t="s">
        <v>257</v>
      </c>
      <c r="N1541" s="77">
        <v>123.3</v>
      </c>
      <c r="O1541" s="70">
        <v>4</v>
      </c>
      <c r="P1541" s="70"/>
      <c r="Q1541" s="62" t="s">
        <v>258</v>
      </c>
    </row>
    <row r="1542" spans="1:17" ht="13.8" customHeight="1" x14ac:dyDescent="0.3">
      <c r="A1542" s="73" t="s">
        <v>406</v>
      </c>
      <c r="B1542" s="79">
        <v>46143</v>
      </c>
      <c r="C1542" s="73">
        <v>1429</v>
      </c>
      <c r="D1542" s="73" t="s">
        <v>256</v>
      </c>
      <c r="E1542" s="73">
        <v>1</v>
      </c>
      <c r="F1542" s="75">
        <v>3.0911</v>
      </c>
      <c r="G1542" s="75" t="s">
        <v>257</v>
      </c>
      <c r="H1542" s="75">
        <v>8.7446000000000002</v>
      </c>
      <c r="I1542" s="75">
        <v>43252.324200000003</v>
      </c>
      <c r="J1542" s="73">
        <v>543.2971</v>
      </c>
      <c r="K1542" s="75">
        <v>8016.5420000000004</v>
      </c>
      <c r="L1542" s="75">
        <v>42.1051</v>
      </c>
      <c r="M1542" s="73">
        <v>20.748000000000001</v>
      </c>
      <c r="N1542" s="76">
        <v>120.33</v>
      </c>
      <c r="O1542" s="73">
        <v>4</v>
      </c>
      <c r="P1542" s="73"/>
      <c r="Q1542" s="66" t="s">
        <v>258</v>
      </c>
    </row>
    <row r="1543" spans="1:17" ht="13.8" customHeight="1" x14ac:dyDescent="0.3">
      <c r="A1543" s="70" t="s">
        <v>406</v>
      </c>
      <c r="B1543" s="78">
        <v>46143</v>
      </c>
      <c r="C1543" s="70">
        <v>1430</v>
      </c>
      <c r="D1543" s="70" t="s">
        <v>256</v>
      </c>
      <c r="E1543" s="70">
        <v>1</v>
      </c>
      <c r="F1543" s="72" t="s">
        <v>257</v>
      </c>
      <c r="G1543" s="72" t="s">
        <v>257</v>
      </c>
      <c r="H1543" s="72">
        <v>5.0674000000000001</v>
      </c>
      <c r="I1543" s="72">
        <v>37662.605499999998</v>
      </c>
      <c r="J1543" s="70">
        <v>520.62630000000001</v>
      </c>
      <c r="K1543" s="72">
        <v>7229.3905999999997</v>
      </c>
      <c r="L1543" s="72">
        <v>43.097799999999999</v>
      </c>
      <c r="M1543" s="70">
        <v>18.571100000000001</v>
      </c>
      <c r="N1543" s="77">
        <v>120.5</v>
      </c>
      <c r="O1543" s="70">
        <v>4</v>
      </c>
      <c r="P1543" s="70"/>
      <c r="Q1543" s="62" t="s">
        <v>258</v>
      </c>
    </row>
    <row r="1544" spans="1:17" ht="13.8" customHeight="1" x14ac:dyDescent="0.3">
      <c r="A1544" s="73" t="s">
        <v>406</v>
      </c>
      <c r="B1544" s="79">
        <v>46143</v>
      </c>
      <c r="C1544" s="73">
        <v>1431</v>
      </c>
      <c r="D1544" s="73" t="s">
        <v>256</v>
      </c>
      <c r="E1544" s="73">
        <v>2</v>
      </c>
      <c r="F1544" s="75">
        <v>4.3653000000000004</v>
      </c>
      <c r="G1544" s="75" t="s">
        <v>257</v>
      </c>
      <c r="H1544" s="75">
        <v>8.5526</v>
      </c>
      <c r="I1544" s="75">
        <v>51464.792999999998</v>
      </c>
      <c r="J1544" s="73">
        <v>524.74680000000001</v>
      </c>
      <c r="K1544" s="75">
        <v>13714.731400000001</v>
      </c>
      <c r="L1544" s="75">
        <v>40.451599999999999</v>
      </c>
      <c r="M1544" s="73">
        <v>21.9846</v>
      </c>
      <c r="N1544" s="76">
        <v>120.46</v>
      </c>
      <c r="O1544" s="73">
        <v>4</v>
      </c>
      <c r="P1544" s="73"/>
      <c r="Q1544" s="66" t="s">
        <v>258</v>
      </c>
    </row>
    <row r="1545" spans="1:17" ht="13.8" customHeight="1" x14ac:dyDescent="0.3">
      <c r="A1545" s="70" t="s">
        <v>406</v>
      </c>
      <c r="B1545" s="78">
        <v>46143</v>
      </c>
      <c r="C1545" s="70">
        <v>1432</v>
      </c>
      <c r="D1545" s="70" t="s">
        <v>256</v>
      </c>
      <c r="E1545" s="70">
        <v>2</v>
      </c>
      <c r="F1545" s="72">
        <v>5.8632999999999997</v>
      </c>
      <c r="G1545" s="72" t="s">
        <v>257</v>
      </c>
      <c r="H1545" s="72">
        <v>10.305999999999999</v>
      </c>
      <c r="I1545" s="72">
        <v>53348.75</v>
      </c>
      <c r="J1545" s="70">
        <v>531.60799999999995</v>
      </c>
      <c r="K1545" s="72">
        <v>12748.265600000001</v>
      </c>
      <c r="L1545" s="72">
        <v>44.416600000000003</v>
      </c>
      <c r="M1545" s="70">
        <v>20.4437</v>
      </c>
      <c r="N1545" s="77">
        <v>122.85</v>
      </c>
      <c r="O1545" s="70">
        <v>4</v>
      </c>
      <c r="P1545" s="70"/>
      <c r="Q1545" s="62" t="s">
        <v>258</v>
      </c>
    </row>
    <row r="1546" spans="1:17" ht="13.8" customHeight="1" x14ac:dyDescent="0.3">
      <c r="A1546" s="73" t="s">
        <v>406</v>
      </c>
      <c r="B1546" s="79">
        <v>46143</v>
      </c>
      <c r="C1546" s="73">
        <v>1433</v>
      </c>
      <c r="D1546" s="73" t="s">
        <v>256</v>
      </c>
      <c r="E1546" s="73">
        <v>3</v>
      </c>
      <c r="F1546" s="75">
        <v>5.1684999999999999</v>
      </c>
      <c r="G1546" s="75" t="s">
        <v>257</v>
      </c>
      <c r="H1546" s="75">
        <v>11.1945</v>
      </c>
      <c r="I1546" s="75">
        <v>59876.855499999998</v>
      </c>
      <c r="J1546" s="73">
        <v>596.48569999999995</v>
      </c>
      <c r="K1546" s="75">
        <v>15359.4805</v>
      </c>
      <c r="L1546" s="75">
        <v>44.869300000000003</v>
      </c>
      <c r="M1546" s="73">
        <v>13.2204</v>
      </c>
      <c r="N1546" s="76">
        <v>120.16</v>
      </c>
      <c r="O1546" s="73">
        <v>4</v>
      </c>
      <c r="P1546" s="73"/>
      <c r="Q1546" s="66" t="s">
        <v>258</v>
      </c>
    </row>
    <row r="1547" spans="1:17" ht="13.8" customHeight="1" x14ac:dyDescent="0.3">
      <c r="A1547" s="70" t="s">
        <v>406</v>
      </c>
      <c r="B1547" s="78">
        <v>46143</v>
      </c>
      <c r="C1547" s="70">
        <v>1434</v>
      </c>
      <c r="D1547" s="70" t="s">
        <v>256</v>
      </c>
      <c r="E1547" s="70">
        <v>3</v>
      </c>
      <c r="F1547" s="72">
        <v>3.4165999999999999</v>
      </c>
      <c r="G1547" s="72" t="s">
        <v>257</v>
      </c>
      <c r="H1547" s="72">
        <v>11.6822</v>
      </c>
      <c r="I1547" s="72">
        <v>59848.394500000002</v>
      </c>
      <c r="J1547" s="70">
        <v>602.25160000000005</v>
      </c>
      <c r="K1547" s="72">
        <v>16209.829100000001</v>
      </c>
      <c r="L1547" s="72">
        <v>46.475999999999999</v>
      </c>
      <c r="M1547" s="70">
        <v>17.1282</v>
      </c>
      <c r="N1547" s="77">
        <v>120.16</v>
      </c>
      <c r="O1547" s="70">
        <v>4</v>
      </c>
      <c r="P1547" s="70"/>
      <c r="Q1547" s="62" t="s">
        <v>258</v>
      </c>
    </row>
    <row r="1548" spans="1:17" ht="13.8" customHeight="1" x14ac:dyDescent="0.3">
      <c r="A1548" s="73" t="s">
        <v>406</v>
      </c>
      <c r="B1548" s="79">
        <v>46143</v>
      </c>
      <c r="C1548" s="73">
        <v>1436</v>
      </c>
      <c r="D1548" s="73" t="s">
        <v>256</v>
      </c>
      <c r="E1548" s="73">
        <v>4</v>
      </c>
      <c r="F1548" s="75">
        <v>4.7415000000000003</v>
      </c>
      <c r="G1548" s="75" t="s">
        <v>257</v>
      </c>
      <c r="H1548" s="75">
        <v>9.6760000000000002</v>
      </c>
      <c r="I1548" s="75">
        <v>44030.851600000002</v>
      </c>
      <c r="J1548" s="73">
        <v>574.21079999999995</v>
      </c>
      <c r="K1548" s="75">
        <v>13272.122100000001</v>
      </c>
      <c r="L1548" s="75">
        <v>44.037399999999998</v>
      </c>
      <c r="M1548" s="73">
        <v>28.316099999999999</v>
      </c>
      <c r="N1548" s="76">
        <v>120.73</v>
      </c>
      <c r="O1548" s="73">
        <v>4</v>
      </c>
      <c r="P1548" s="73"/>
      <c r="Q1548" s="66" t="s">
        <v>258</v>
      </c>
    </row>
    <row r="1549" spans="1:17" ht="13.8" customHeight="1" x14ac:dyDescent="0.3">
      <c r="A1549" s="70" t="s">
        <v>406</v>
      </c>
      <c r="B1549" s="78">
        <v>46143</v>
      </c>
      <c r="C1549" s="70">
        <v>1437</v>
      </c>
      <c r="D1549" s="70" t="s">
        <v>256</v>
      </c>
      <c r="E1549" s="70">
        <v>4</v>
      </c>
      <c r="F1549" s="72">
        <v>7.0517000000000003</v>
      </c>
      <c r="G1549" s="72" t="s">
        <v>257</v>
      </c>
      <c r="H1549" s="72">
        <v>13.793799999999999</v>
      </c>
      <c r="I1549" s="72">
        <v>51906.917999999998</v>
      </c>
      <c r="J1549" s="70">
        <v>547.48019999999997</v>
      </c>
      <c r="K1549" s="72">
        <v>8617.9032999999999</v>
      </c>
      <c r="L1549" s="72">
        <v>49.672199999999997</v>
      </c>
      <c r="M1549" s="70">
        <v>25.805599999999998</v>
      </c>
      <c r="N1549" s="77">
        <v>120.39</v>
      </c>
      <c r="O1549" s="70">
        <v>4</v>
      </c>
      <c r="P1549" s="70"/>
      <c r="Q1549" s="62" t="s">
        <v>258</v>
      </c>
    </row>
    <row r="1550" spans="1:17" ht="13.8" customHeight="1" x14ac:dyDescent="0.3">
      <c r="A1550" s="73" t="s">
        <v>406</v>
      </c>
      <c r="B1550" s="79">
        <v>46143</v>
      </c>
      <c r="C1550" s="73">
        <v>1438</v>
      </c>
      <c r="D1550" s="73" t="s">
        <v>256</v>
      </c>
      <c r="E1550" s="73">
        <v>5</v>
      </c>
      <c r="F1550" s="75">
        <v>4.7196999999999996</v>
      </c>
      <c r="G1550" s="75">
        <v>1.9994000000000001</v>
      </c>
      <c r="H1550" s="75">
        <v>15.6411</v>
      </c>
      <c r="I1550" s="75">
        <v>54137.660199999998</v>
      </c>
      <c r="J1550" s="73">
        <v>576.44709999999998</v>
      </c>
      <c r="K1550" s="75">
        <v>20458.289100000002</v>
      </c>
      <c r="L1550" s="75">
        <v>58.318300000000001</v>
      </c>
      <c r="M1550" s="73">
        <v>34.270899999999997</v>
      </c>
      <c r="N1550" s="76">
        <v>122.98</v>
      </c>
      <c r="O1550" s="73">
        <v>4</v>
      </c>
      <c r="P1550" s="73"/>
      <c r="Q1550" s="66" t="s">
        <v>258</v>
      </c>
    </row>
    <row r="1551" spans="1:17" ht="13.8" customHeight="1" x14ac:dyDescent="0.3">
      <c r="A1551" s="70" t="s">
        <v>406</v>
      </c>
      <c r="B1551" s="78">
        <v>46143</v>
      </c>
      <c r="C1551" s="70">
        <v>1439</v>
      </c>
      <c r="D1551" s="70" t="s">
        <v>256</v>
      </c>
      <c r="E1551" s="70">
        <v>5</v>
      </c>
      <c r="F1551" s="72">
        <v>8.4140999999999995</v>
      </c>
      <c r="G1551" s="72">
        <v>2.6907999999999999</v>
      </c>
      <c r="H1551" s="72">
        <v>17.2409</v>
      </c>
      <c r="I1551" s="72">
        <v>54360.105499999998</v>
      </c>
      <c r="J1551" s="70">
        <v>581.31449999999995</v>
      </c>
      <c r="K1551" s="72">
        <v>17974.1113</v>
      </c>
      <c r="L1551" s="72">
        <v>61.680900000000001</v>
      </c>
      <c r="M1551" s="70">
        <v>37.557699999999997</v>
      </c>
      <c r="N1551" s="77">
        <v>120.12</v>
      </c>
      <c r="O1551" s="70">
        <v>4</v>
      </c>
      <c r="P1551" s="70"/>
      <c r="Q1551" s="62" t="s">
        <v>258</v>
      </c>
    </row>
    <row r="1552" spans="1:17" ht="13.8" customHeight="1" x14ac:dyDescent="0.3">
      <c r="A1552" s="73" t="s">
        <v>407</v>
      </c>
      <c r="B1552" s="79">
        <v>46143</v>
      </c>
      <c r="C1552" s="73">
        <v>1440</v>
      </c>
      <c r="D1552" s="73" t="s">
        <v>256</v>
      </c>
      <c r="E1552" s="73">
        <v>1</v>
      </c>
      <c r="F1552" s="75" t="s">
        <v>257</v>
      </c>
      <c r="G1552" s="75" t="s">
        <v>257</v>
      </c>
      <c r="H1552" s="75">
        <v>3.8159000000000001</v>
      </c>
      <c r="I1552" s="75">
        <v>5291.4839000000002</v>
      </c>
      <c r="J1552" s="73" t="s">
        <v>257</v>
      </c>
      <c r="K1552" s="75">
        <v>3678.4121</v>
      </c>
      <c r="L1552" s="75" t="s">
        <v>257</v>
      </c>
      <c r="M1552" s="73" t="s">
        <v>257</v>
      </c>
      <c r="N1552" s="76">
        <v>120.67</v>
      </c>
      <c r="O1552" s="73">
        <v>4</v>
      </c>
      <c r="P1552" s="73"/>
      <c r="Q1552" s="66" t="s">
        <v>258</v>
      </c>
    </row>
    <row r="1553" spans="1:17" ht="13.8" customHeight="1" x14ac:dyDescent="0.3">
      <c r="A1553" s="70" t="s">
        <v>407</v>
      </c>
      <c r="B1553" s="78">
        <v>46143</v>
      </c>
      <c r="C1553" s="70">
        <v>1441</v>
      </c>
      <c r="D1553" s="70" t="s">
        <v>256</v>
      </c>
      <c r="E1553" s="70">
        <v>1</v>
      </c>
      <c r="F1553" s="72" t="s">
        <v>257</v>
      </c>
      <c r="G1553" s="72" t="s">
        <v>257</v>
      </c>
      <c r="H1553" s="72">
        <v>5.2896000000000001</v>
      </c>
      <c r="I1553" s="72">
        <v>1298.3159000000001</v>
      </c>
      <c r="J1553" s="70" t="s">
        <v>257</v>
      </c>
      <c r="K1553" s="72">
        <v>938.61680000000001</v>
      </c>
      <c r="L1553" s="72" t="s">
        <v>257</v>
      </c>
      <c r="M1553" s="70" t="s">
        <v>257</v>
      </c>
      <c r="N1553" s="77">
        <v>120.52</v>
      </c>
      <c r="O1553" s="70">
        <v>4</v>
      </c>
      <c r="P1553" s="70"/>
      <c r="Q1553" s="62" t="s">
        <v>258</v>
      </c>
    </row>
    <row r="1554" spans="1:17" ht="13.8" customHeight="1" x14ac:dyDescent="0.3">
      <c r="A1554" s="73" t="s">
        <v>407</v>
      </c>
      <c r="B1554" s="79">
        <v>46143</v>
      </c>
      <c r="C1554" s="73">
        <v>1442</v>
      </c>
      <c r="D1554" s="73" t="s">
        <v>256</v>
      </c>
      <c r="E1554" s="73">
        <v>2</v>
      </c>
      <c r="F1554" s="75">
        <v>5.6277999999999997</v>
      </c>
      <c r="G1554" s="75">
        <v>1.3463000000000001</v>
      </c>
      <c r="H1554" s="75" t="s">
        <v>257</v>
      </c>
      <c r="I1554" s="75">
        <v>1037.8571999999999</v>
      </c>
      <c r="J1554" s="73" t="s">
        <v>257</v>
      </c>
      <c r="K1554" s="75">
        <v>1084.8549</v>
      </c>
      <c r="L1554" s="75" t="s">
        <v>257</v>
      </c>
      <c r="M1554" s="73" t="s">
        <v>257</v>
      </c>
      <c r="N1554" s="76">
        <v>120.11</v>
      </c>
      <c r="O1554" s="73">
        <v>4</v>
      </c>
      <c r="P1554" s="73"/>
      <c r="Q1554" s="66" t="s">
        <v>258</v>
      </c>
    </row>
    <row r="1555" spans="1:17" ht="13.8" customHeight="1" x14ac:dyDescent="0.3">
      <c r="A1555" s="70" t="s">
        <v>407</v>
      </c>
      <c r="B1555" s="78">
        <v>46143</v>
      </c>
      <c r="C1555" s="70">
        <v>1443</v>
      </c>
      <c r="D1555" s="70" t="s">
        <v>256</v>
      </c>
      <c r="E1555" s="70">
        <v>2</v>
      </c>
      <c r="F1555" s="72">
        <v>5.5629999999999997</v>
      </c>
      <c r="G1555" s="72">
        <v>0.88080000000000003</v>
      </c>
      <c r="H1555" s="72" t="s">
        <v>257</v>
      </c>
      <c r="I1555" s="72">
        <v>868.64890000000003</v>
      </c>
      <c r="J1555" s="70" t="s">
        <v>257</v>
      </c>
      <c r="K1555" s="72">
        <v>1185.9572000000001</v>
      </c>
      <c r="L1555" s="72" t="s">
        <v>257</v>
      </c>
      <c r="M1555" s="70" t="s">
        <v>257</v>
      </c>
      <c r="N1555" s="77">
        <v>120.03</v>
      </c>
      <c r="O1555" s="70">
        <v>4</v>
      </c>
      <c r="P1555" s="70"/>
      <c r="Q1555" s="62" t="s">
        <v>258</v>
      </c>
    </row>
    <row r="1556" spans="1:17" ht="13.8" customHeight="1" x14ac:dyDescent="0.3">
      <c r="A1556" s="73" t="s">
        <v>407</v>
      </c>
      <c r="B1556" s="79">
        <v>46143</v>
      </c>
      <c r="C1556" s="73">
        <v>1444</v>
      </c>
      <c r="D1556" s="73" t="s">
        <v>256</v>
      </c>
      <c r="E1556" s="73">
        <v>3</v>
      </c>
      <c r="F1556" s="75" t="s">
        <v>257</v>
      </c>
      <c r="G1556" s="75" t="s">
        <v>257</v>
      </c>
      <c r="H1556" s="75">
        <v>7.3981000000000003</v>
      </c>
      <c r="I1556" s="75">
        <v>7911.0385999999999</v>
      </c>
      <c r="J1556" s="73" t="s">
        <v>257</v>
      </c>
      <c r="K1556" s="75">
        <v>45818.125</v>
      </c>
      <c r="L1556" s="75">
        <v>17.311199999999999</v>
      </c>
      <c r="M1556" s="73">
        <v>8.2217000000000002</v>
      </c>
      <c r="N1556" s="76">
        <v>122.89</v>
      </c>
      <c r="O1556" s="73">
        <v>4</v>
      </c>
      <c r="P1556" s="73"/>
      <c r="Q1556" s="66" t="s">
        <v>258</v>
      </c>
    </row>
    <row r="1557" spans="1:17" ht="13.8" customHeight="1" x14ac:dyDescent="0.3">
      <c r="A1557" s="70" t="s">
        <v>407</v>
      </c>
      <c r="B1557" s="78">
        <v>46143</v>
      </c>
      <c r="C1557" s="70">
        <v>1445</v>
      </c>
      <c r="D1557" s="70" t="s">
        <v>256</v>
      </c>
      <c r="E1557" s="70">
        <v>3</v>
      </c>
      <c r="F1557" s="72" t="s">
        <v>257</v>
      </c>
      <c r="G1557" s="72" t="s">
        <v>257</v>
      </c>
      <c r="H1557" s="72">
        <v>8.1583000000000006</v>
      </c>
      <c r="I1557" s="72">
        <v>2562.4088999999999</v>
      </c>
      <c r="J1557" s="70" t="s">
        <v>257</v>
      </c>
      <c r="K1557" s="72">
        <v>33902.808599999997</v>
      </c>
      <c r="L1557" s="72">
        <v>14.329700000000001</v>
      </c>
      <c r="M1557" s="70">
        <v>4.4406999999999996</v>
      </c>
      <c r="N1557" s="77">
        <v>123.06</v>
      </c>
      <c r="O1557" s="70">
        <v>4</v>
      </c>
      <c r="P1557" s="70"/>
      <c r="Q1557" s="62" t="s">
        <v>258</v>
      </c>
    </row>
    <row r="1558" spans="1:17" ht="13.8" customHeight="1" x14ac:dyDescent="0.3">
      <c r="A1558" s="73" t="s">
        <v>407</v>
      </c>
      <c r="B1558" s="79">
        <v>46143</v>
      </c>
      <c r="C1558" s="73">
        <v>1446</v>
      </c>
      <c r="D1558" s="73" t="s">
        <v>256</v>
      </c>
      <c r="E1558" s="73">
        <v>4</v>
      </c>
      <c r="F1558" s="75" t="s">
        <v>257</v>
      </c>
      <c r="G1558" s="75" t="s">
        <v>257</v>
      </c>
      <c r="H1558" s="75">
        <v>115.0776</v>
      </c>
      <c r="I1558" s="75">
        <v>54146.941400000003</v>
      </c>
      <c r="J1558" s="73" t="s">
        <v>257</v>
      </c>
      <c r="K1558" s="75">
        <v>44057.496099999997</v>
      </c>
      <c r="L1558" s="75" t="s">
        <v>257</v>
      </c>
      <c r="M1558" s="73">
        <v>10.513199999999999</v>
      </c>
      <c r="N1558" s="76">
        <v>122.89</v>
      </c>
      <c r="O1558" s="73">
        <v>4</v>
      </c>
      <c r="P1558" s="73"/>
      <c r="Q1558" s="66" t="s">
        <v>258</v>
      </c>
    </row>
    <row r="1559" spans="1:17" ht="13.8" customHeight="1" x14ac:dyDescent="0.3">
      <c r="A1559" s="70" t="s">
        <v>407</v>
      </c>
      <c r="B1559" s="78">
        <v>46143</v>
      </c>
      <c r="C1559" s="70">
        <v>1447</v>
      </c>
      <c r="D1559" s="70" t="s">
        <v>256</v>
      </c>
      <c r="E1559" s="70">
        <v>4</v>
      </c>
      <c r="F1559" s="72">
        <v>6.1397000000000004</v>
      </c>
      <c r="G1559" s="72" t="s">
        <v>257</v>
      </c>
      <c r="H1559" s="72">
        <v>110.6973</v>
      </c>
      <c r="I1559" s="72">
        <v>43318.632799999999</v>
      </c>
      <c r="J1559" s="70" t="s">
        <v>257</v>
      </c>
      <c r="K1559" s="72">
        <v>50738.105499999998</v>
      </c>
      <c r="L1559" s="72">
        <v>6.1177999999999999</v>
      </c>
      <c r="M1559" s="70">
        <v>10.6701</v>
      </c>
      <c r="N1559" s="77">
        <v>122.89</v>
      </c>
      <c r="O1559" s="70">
        <v>4</v>
      </c>
      <c r="P1559" s="70"/>
      <c r="Q1559" s="62" t="s">
        <v>258</v>
      </c>
    </row>
    <row r="1560" spans="1:17" ht="13.8" customHeight="1" x14ac:dyDescent="0.3">
      <c r="A1560" s="73" t="s">
        <v>407</v>
      </c>
      <c r="B1560" s="79">
        <v>46143</v>
      </c>
      <c r="C1560" s="73">
        <v>1448</v>
      </c>
      <c r="D1560" s="73" t="s">
        <v>256</v>
      </c>
      <c r="E1560" s="73">
        <v>5</v>
      </c>
      <c r="F1560" s="75">
        <v>14.639699999999999</v>
      </c>
      <c r="G1560" s="75" t="s">
        <v>257</v>
      </c>
      <c r="H1560" s="75">
        <v>10.3947</v>
      </c>
      <c r="I1560" s="75">
        <v>3182.5083</v>
      </c>
      <c r="J1560" s="73" t="s">
        <v>257</v>
      </c>
      <c r="K1560" s="75">
        <v>1853.4869000000001</v>
      </c>
      <c r="L1560" s="75" t="s">
        <v>257</v>
      </c>
      <c r="M1560" s="73">
        <v>12.035500000000001</v>
      </c>
      <c r="N1560" s="76">
        <v>120.26</v>
      </c>
      <c r="O1560" s="73">
        <v>4</v>
      </c>
      <c r="P1560" s="73"/>
      <c r="Q1560" s="66" t="s">
        <v>258</v>
      </c>
    </row>
    <row r="1561" spans="1:17" ht="13.8" customHeight="1" x14ac:dyDescent="0.3">
      <c r="A1561" s="70" t="s">
        <v>407</v>
      </c>
      <c r="B1561" s="78">
        <v>46143</v>
      </c>
      <c r="C1561" s="70">
        <v>1449</v>
      </c>
      <c r="D1561" s="70" t="s">
        <v>256</v>
      </c>
      <c r="E1561" s="70">
        <v>5</v>
      </c>
      <c r="F1561" s="72">
        <v>14.639200000000001</v>
      </c>
      <c r="G1561" s="72" t="s">
        <v>257</v>
      </c>
      <c r="H1561" s="72">
        <v>12.135400000000001</v>
      </c>
      <c r="I1561" s="72">
        <v>2712.1462000000001</v>
      </c>
      <c r="J1561" s="70" t="s">
        <v>257</v>
      </c>
      <c r="K1561" s="72">
        <v>1329.9143999999999</v>
      </c>
      <c r="L1561" s="72" t="s">
        <v>257</v>
      </c>
      <c r="M1561" s="70">
        <v>4.9053000000000004</v>
      </c>
      <c r="N1561" s="77">
        <v>120.3</v>
      </c>
      <c r="O1561" s="70">
        <v>4</v>
      </c>
      <c r="P1561" s="70"/>
      <c r="Q1561" s="62" t="s">
        <v>258</v>
      </c>
    </row>
    <row r="1562" spans="1:17" ht="13.8" customHeight="1" x14ac:dyDescent="0.3">
      <c r="A1562" s="73" t="s">
        <v>408</v>
      </c>
      <c r="B1562" s="79">
        <v>46143</v>
      </c>
      <c r="C1562" s="73">
        <v>1450</v>
      </c>
      <c r="D1562" s="73" t="s">
        <v>256</v>
      </c>
      <c r="E1562" s="73">
        <v>1</v>
      </c>
      <c r="F1562" s="75">
        <v>5.5445000000000002</v>
      </c>
      <c r="G1562" s="75" t="s">
        <v>257</v>
      </c>
      <c r="H1562" s="75">
        <v>14.0646</v>
      </c>
      <c r="I1562" s="75">
        <v>44262.4375</v>
      </c>
      <c r="J1562" s="73">
        <v>1165.0952</v>
      </c>
      <c r="K1562" s="75">
        <v>17371.714800000002</v>
      </c>
      <c r="L1562" s="75">
        <v>36.9694</v>
      </c>
      <c r="M1562" s="73">
        <v>10.4686</v>
      </c>
      <c r="N1562" s="76">
        <v>122.8</v>
      </c>
      <c r="O1562" s="73">
        <v>4</v>
      </c>
      <c r="P1562" s="73"/>
      <c r="Q1562" s="66" t="s">
        <v>258</v>
      </c>
    </row>
    <row r="1563" spans="1:17" ht="13.8" customHeight="1" x14ac:dyDescent="0.3">
      <c r="A1563" s="70" t="s">
        <v>408</v>
      </c>
      <c r="B1563" s="78">
        <v>46143</v>
      </c>
      <c r="C1563" s="70">
        <v>1451</v>
      </c>
      <c r="D1563" s="70" t="s">
        <v>256</v>
      </c>
      <c r="E1563" s="70">
        <v>1</v>
      </c>
      <c r="F1563" s="72">
        <v>6.9108000000000001</v>
      </c>
      <c r="G1563" s="72" t="s">
        <v>257</v>
      </c>
      <c r="H1563" s="72">
        <v>11.680300000000001</v>
      </c>
      <c r="I1563" s="72">
        <v>47257.828099999999</v>
      </c>
      <c r="J1563" s="70">
        <v>1253.1533999999999</v>
      </c>
      <c r="K1563" s="72">
        <v>32340.3809</v>
      </c>
      <c r="L1563" s="72">
        <v>36.1004</v>
      </c>
      <c r="M1563" s="70">
        <v>9.6684000000000001</v>
      </c>
      <c r="N1563" s="77">
        <v>122.67</v>
      </c>
      <c r="O1563" s="70">
        <v>4</v>
      </c>
      <c r="P1563" s="70"/>
      <c r="Q1563" s="62" t="s">
        <v>258</v>
      </c>
    </row>
    <row r="1564" spans="1:17" ht="13.8" customHeight="1" x14ac:dyDescent="0.3">
      <c r="A1564" s="73" t="s">
        <v>408</v>
      </c>
      <c r="B1564" s="79">
        <v>46143</v>
      </c>
      <c r="C1564" s="73">
        <v>1452</v>
      </c>
      <c r="D1564" s="73" t="s">
        <v>256</v>
      </c>
      <c r="E1564" s="73">
        <v>2</v>
      </c>
      <c r="F1564" s="75">
        <v>10.2067</v>
      </c>
      <c r="G1564" s="75" t="s">
        <v>257</v>
      </c>
      <c r="H1564" s="75">
        <v>9.1021000000000001</v>
      </c>
      <c r="I1564" s="75">
        <v>57699.359400000001</v>
      </c>
      <c r="J1564" s="73">
        <v>677.76030000000003</v>
      </c>
      <c r="K1564" s="75">
        <v>32288.152300000002</v>
      </c>
      <c r="L1564" s="75">
        <v>74.441100000000006</v>
      </c>
      <c r="M1564" s="73">
        <v>24.436399999999999</v>
      </c>
      <c r="N1564" s="76">
        <v>120.54</v>
      </c>
      <c r="O1564" s="73">
        <v>4</v>
      </c>
      <c r="P1564" s="73"/>
      <c r="Q1564" s="66" t="s">
        <v>258</v>
      </c>
    </row>
    <row r="1565" spans="1:17" ht="13.8" customHeight="1" x14ac:dyDescent="0.3">
      <c r="A1565" s="70" t="s">
        <v>408</v>
      </c>
      <c r="B1565" s="78">
        <v>46143</v>
      </c>
      <c r="C1565" s="70">
        <v>1453</v>
      </c>
      <c r="D1565" s="70" t="s">
        <v>256</v>
      </c>
      <c r="E1565" s="70">
        <v>2</v>
      </c>
      <c r="F1565" s="72">
        <v>19.7148</v>
      </c>
      <c r="G1565" s="72" t="s">
        <v>257</v>
      </c>
      <c r="H1565" s="72">
        <v>9.5106000000000002</v>
      </c>
      <c r="I1565" s="72">
        <v>54381.093800000002</v>
      </c>
      <c r="J1565" s="70">
        <v>597.04269999999997</v>
      </c>
      <c r="K1565" s="72">
        <v>14760.406199999999</v>
      </c>
      <c r="L1565" s="72">
        <v>86.324299999999994</v>
      </c>
      <c r="M1565" s="70">
        <v>22.4222</v>
      </c>
      <c r="N1565" s="77">
        <v>120.64</v>
      </c>
      <c r="O1565" s="70">
        <v>4</v>
      </c>
      <c r="P1565" s="70"/>
      <c r="Q1565" s="62" t="s">
        <v>258</v>
      </c>
    </row>
    <row r="1566" spans="1:17" ht="13.8" customHeight="1" x14ac:dyDescent="0.3">
      <c r="A1566" s="73" t="s">
        <v>408</v>
      </c>
      <c r="B1566" s="79">
        <v>46143</v>
      </c>
      <c r="C1566" s="73">
        <v>1455</v>
      </c>
      <c r="D1566" s="73" t="s">
        <v>256</v>
      </c>
      <c r="E1566" s="73">
        <v>3</v>
      </c>
      <c r="F1566" s="75" t="s">
        <v>257</v>
      </c>
      <c r="G1566" s="75" t="s">
        <v>257</v>
      </c>
      <c r="H1566" s="75">
        <v>6.3630000000000004</v>
      </c>
      <c r="I1566" s="75">
        <v>43739.816400000003</v>
      </c>
      <c r="J1566" s="73">
        <v>634.64409999999998</v>
      </c>
      <c r="K1566" s="75">
        <v>5865.0806000000002</v>
      </c>
      <c r="L1566" s="75">
        <v>73.61</v>
      </c>
      <c r="M1566" s="73">
        <v>13.461499999999999</v>
      </c>
      <c r="N1566" s="76">
        <v>122.85</v>
      </c>
      <c r="O1566" s="73">
        <v>4</v>
      </c>
      <c r="P1566" s="73"/>
      <c r="Q1566" s="66" t="s">
        <v>258</v>
      </c>
    </row>
    <row r="1567" spans="1:17" ht="13.8" customHeight="1" x14ac:dyDescent="0.3">
      <c r="A1567" s="70" t="s">
        <v>408</v>
      </c>
      <c r="B1567" s="78">
        <v>46143</v>
      </c>
      <c r="C1567" s="70">
        <v>1456</v>
      </c>
      <c r="D1567" s="70" t="s">
        <v>256</v>
      </c>
      <c r="E1567" s="70">
        <v>3</v>
      </c>
      <c r="F1567" s="72" t="s">
        <v>257</v>
      </c>
      <c r="G1567" s="72" t="s">
        <v>257</v>
      </c>
      <c r="H1567" s="72">
        <v>6.1695000000000002</v>
      </c>
      <c r="I1567" s="72">
        <v>47127.953099999999</v>
      </c>
      <c r="J1567" s="70">
        <v>465.62540000000001</v>
      </c>
      <c r="K1567" s="72">
        <v>11441.761699999999</v>
      </c>
      <c r="L1567" s="72">
        <v>62.258000000000003</v>
      </c>
      <c r="M1567" s="70">
        <v>26.7288</v>
      </c>
      <c r="N1567" s="77">
        <v>120.6</v>
      </c>
      <c r="O1567" s="70">
        <v>4</v>
      </c>
      <c r="P1567" s="70"/>
      <c r="Q1567" s="62" t="s">
        <v>258</v>
      </c>
    </row>
    <row r="1568" spans="1:17" ht="13.8" customHeight="1" x14ac:dyDescent="0.3">
      <c r="A1568" s="73" t="s">
        <v>408</v>
      </c>
      <c r="B1568" s="79">
        <v>46143</v>
      </c>
      <c r="C1568" s="73">
        <v>1457</v>
      </c>
      <c r="D1568" s="73" t="s">
        <v>256</v>
      </c>
      <c r="E1568" s="73">
        <v>4</v>
      </c>
      <c r="F1568" s="75" t="s">
        <v>257</v>
      </c>
      <c r="G1568" s="75" t="s">
        <v>257</v>
      </c>
      <c r="H1568" s="75" t="s">
        <v>257</v>
      </c>
      <c r="I1568" s="75" t="s">
        <v>257</v>
      </c>
      <c r="J1568" s="73">
        <v>652.26300000000003</v>
      </c>
      <c r="K1568" s="75">
        <v>81323.906199999998</v>
      </c>
      <c r="L1568" s="75" t="s">
        <v>257</v>
      </c>
      <c r="M1568" s="73" t="s">
        <v>257</v>
      </c>
      <c r="N1568" s="76">
        <v>124.58</v>
      </c>
      <c r="O1568" s="73">
        <v>4</v>
      </c>
      <c r="P1568" s="73" t="s">
        <v>380</v>
      </c>
      <c r="Q1568" s="66" t="s">
        <v>258</v>
      </c>
    </row>
    <row r="1569" spans="1:17" ht="13.8" customHeight="1" x14ac:dyDescent="0.3">
      <c r="A1569" s="70" t="s">
        <v>408</v>
      </c>
      <c r="B1569" s="78">
        <v>46143</v>
      </c>
      <c r="C1569" s="70">
        <v>1458</v>
      </c>
      <c r="D1569" s="70" t="s">
        <v>256</v>
      </c>
      <c r="E1569" s="70">
        <v>4</v>
      </c>
      <c r="F1569" s="72">
        <v>9.5414999999999992</v>
      </c>
      <c r="G1569" s="72" t="s">
        <v>257</v>
      </c>
      <c r="H1569" s="72">
        <v>13.370100000000001</v>
      </c>
      <c r="I1569" s="72">
        <v>64437.980499999998</v>
      </c>
      <c r="J1569" s="70">
        <v>387.23599999999999</v>
      </c>
      <c r="K1569" s="72">
        <v>43871.343800000002</v>
      </c>
      <c r="L1569" s="72">
        <v>46.680999999999997</v>
      </c>
      <c r="M1569" s="70">
        <v>14.534000000000001</v>
      </c>
      <c r="N1569" s="77">
        <v>120.23</v>
      </c>
      <c r="O1569" s="70">
        <v>4</v>
      </c>
      <c r="P1569" s="70"/>
      <c r="Q1569" s="62" t="s">
        <v>258</v>
      </c>
    </row>
    <row r="1570" spans="1:17" ht="13.8" customHeight="1" x14ac:dyDescent="0.3">
      <c r="A1570" s="73" t="s">
        <v>408</v>
      </c>
      <c r="B1570" s="79">
        <v>46143</v>
      </c>
      <c r="C1570" s="73">
        <v>1459</v>
      </c>
      <c r="D1570" s="73" t="s">
        <v>256</v>
      </c>
      <c r="E1570" s="73">
        <v>5</v>
      </c>
      <c r="F1570" s="75">
        <v>15.613799999999999</v>
      </c>
      <c r="G1570" s="75" t="s">
        <v>257</v>
      </c>
      <c r="H1570" s="75">
        <v>10.728899999999999</v>
      </c>
      <c r="I1570" s="75">
        <v>72716.625</v>
      </c>
      <c r="J1570" s="73">
        <v>382.81229999999999</v>
      </c>
      <c r="K1570" s="75">
        <v>55378.050799999997</v>
      </c>
      <c r="L1570" s="75">
        <v>56.500399999999999</v>
      </c>
      <c r="M1570" s="73">
        <v>17.875399999999999</v>
      </c>
      <c r="N1570" s="76">
        <v>123.01</v>
      </c>
      <c r="O1570" s="73">
        <v>4</v>
      </c>
      <c r="P1570" s="73"/>
      <c r="Q1570" s="66" t="s">
        <v>258</v>
      </c>
    </row>
    <row r="1571" spans="1:17" ht="13.8" customHeight="1" x14ac:dyDescent="0.3">
      <c r="A1571" s="70" t="s">
        <v>408</v>
      </c>
      <c r="B1571" s="78">
        <v>46143</v>
      </c>
      <c r="C1571" s="70">
        <v>1460</v>
      </c>
      <c r="D1571" s="70" t="s">
        <v>256</v>
      </c>
      <c r="E1571" s="70">
        <v>5</v>
      </c>
      <c r="F1571" s="72">
        <v>22.472899999999999</v>
      </c>
      <c r="G1571" s="72" t="s">
        <v>257</v>
      </c>
      <c r="H1571" s="72">
        <v>10.2773</v>
      </c>
      <c r="I1571" s="72">
        <v>71875.289099999995</v>
      </c>
      <c r="J1571" s="70">
        <v>386.53250000000003</v>
      </c>
      <c r="K1571" s="72">
        <v>57116.640599999999</v>
      </c>
      <c r="L1571" s="72">
        <v>64.766800000000003</v>
      </c>
      <c r="M1571" s="70">
        <v>17.899699999999999</v>
      </c>
      <c r="N1571" s="77">
        <v>120.37</v>
      </c>
      <c r="O1571" s="70">
        <v>4</v>
      </c>
      <c r="P1571" s="70"/>
      <c r="Q1571" s="62" t="s">
        <v>258</v>
      </c>
    </row>
    <row r="1572" spans="1:17" ht="13.8" customHeight="1" x14ac:dyDescent="0.3">
      <c r="A1572" s="73" t="s">
        <v>409</v>
      </c>
      <c r="B1572" s="79">
        <v>46143</v>
      </c>
      <c r="C1572" s="73">
        <v>1461</v>
      </c>
      <c r="D1572" s="73" t="s">
        <v>256</v>
      </c>
      <c r="E1572" s="73">
        <v>1</v>
      </c>
      <c r="F1572" s="75">
        <v>9.6186000000000007</v>
      </c>
      <c r="G1572" s="75" t="s">
        <v>257</v>
      </c>
      <c r="H1572" s="75">
        <v>7.3590999999999998</v>
      </c>
      <c r="I1572" s="75">
        <v>25376.429700000001</v>
      </c>
      <c r="J1572" s="73" t="s">
        <v>257</v>
      </c>
      <c r="K1572" s="75">
        <v>16878.580099999999</v>
      </c>
      <c r="L1572" s="75">
        <v>7.8632</v>
      </c>
      <c r="M1572" s="73">
        <v>19.225999999999999</v>
      </c>
      <c r="N1572" s="76">
        <v>120.49</v>
      </c>
      <c r="O1572" s="73">
        <v>4</v>
      </c>
      <c r="P1572" s="73"/>
      <c r="Q1572" s="66" t="s">
        <v>258</v>
      </c>
    </row>
    <row r="1573" spans="1:17" ht="13.8" customHeight="1" x14ac:dyDescent="0.3">
      <c r="A1573" s="70" t="s">
        <v>409</v>
      </c>
      <c r="B1573" s="78">
        <v>46143</v>
      </c>
      <c r="C1573" s="70">
        <v>1462</v>
      </c>
      <c r="D1573" s="70" t="s">
        <v>256</v>
      </c>
      <c r="E1573" s="70">
        <v>1</v>
      </c>
      <c r="F1573" s="72">
        <v>5.6440999999999999</v>
      </c>
      <c r="G1573" s="72" t="s">
        <v>257</v>
      </c>
      <c r="H1573" s="72">
        <v>8.9367999999999999</v>
      </c>
      <c r="I1573" s="72">
        <v>26444.535199999998</v>
      </c>
      <c r="J1573" s="70" t="s">
        <v>257</v>
      </c>
      <c r="K1573" s="72">
        <v>39212.835899999998</v>
      </c>
      <c r="L1573" s="72">
        <v>15.6829</v>
      </c>
      <c r="M1573" s="70">
        <v>21.715900000000001</v>
      </c>
      <c r="N1573" s="77">
        <v>122.82</v>
      </c>
      <c r="O1573" s="70">
        <v>4</v>
      </c>
      <c r="P1573" s="70"/>
      <c r="Q1573" s="62" t="s">
        <v>258</v>
      </c>
    </row>
    <row r="1574" spans="1:17" ht="13.8" customHeight="1" x14ac:dyDescent="0.3">
      <c r="A1574" s="73" t="s">
        <v>409</v>
      </c>
      <c r="B1574" s="79">
        <v>46143</v>
      </c>
      <c r="C1574" s="73">
        <v>1463</v>
      </c>
      <c r="D1574" s="73" t="s">
        <v>256</v>
      </c>
      <c r="E1574" s="73">
        <v>2</v>
      </c>
      <c r="F1574" s="75">
        <v>6.0195999999999996</v>
      </c>
      <c r="G1574" s="75" t="s">
        <v>257</v>
      </c>
      <c r="H1574" s="75">
        <v>8.23</v>
      </c>
      <c r="I1574" s="75">
        <v>35897.1875</v>
      </c>
      <c r="J1574" s="73" t="s">
        <v>257</v>
      </c>
      <c r="K1574" s="75">
        <v>25907.4375</v>
      </c>
      <c r="L1574" s="75">
        <v>6.7451999999999996</v>
      </c>
      <c r="M1574" s="73">
        <v>48.834499999999998</v>
      </c>
      <c r="N1574" s="76">
        <v>123.34</v>
      </c>
      <c r="O1574" s="73">
        <v>4</v>
      </c>
      <c r="P1574" s="73"/>
      <c r="Q1574" s="66" t="s">
        <v>258</v>
      </c>
    </row>
    <row r="1575" spans="1:17" ht="13.8" customHeight="1" x14ac:dyDescent="0.3">
      <c r="A1575" s="70" t="s">
        <v>409</v>
      </c>
      <c r="B1575" s="78">
        <v>46143</v>
      </c>
      <c r="C1575" s="70">
        <v>1464</v>
      </c>
      <c r="D1575" s="70" t="s">
        <v>256</v>
      </c>
      <c r="E1575" s="70">
        <v>2</v>
      </c>
      <c r="F1575" s="72">
        <v>3.4359999999999999</v>
      </c>
      <c r="G1575" s="72" t="s">
        <v>257</v>
      </c>
      <c r="H1575" s="72">
        <v>7.4414999999999996</v>
      </c>
      <c r="I1575" s="72">
        <v>23276.335899999998</v>
      </c>
      <c r="J1575" s="70" t="s">
        <v>257</v>
      </c>
      <c r="K1575" s="72">
        <v>28781.546900000001</v>
      </c>
      <c r="L1575" s="72">
        <v>5.6699000000000002</v>
      </c>
      <c r="M1575" s="70">
        <v>33.151800000000001</v>
      </c>
      <c r="N1575" s="77">
        <v>120.68</v>
      </c>
      <c r="O1575" s="70">
        <v>4</v>
      </c>
      <c r="P1575" s="70"/>
      <c r="Q1575" s="62" t="s">
        <v>258</v>
      </c>
    </row>
    <row r="1576" spans="1:17" ht="13.8" customHeight="1" x14ac:dyDescent="0.3">
      <c r="A1576" s="73" t="s">
        <v>409</v>
      </c>
      <c r="B1576" s="79">
        <v>46143</v>
      </c>
      <c r="C1576" s="73">
        <v>1465</v>
      </c>
      <c r="D1576" s="73" t="s">
        <v>256</v>
      </c>
      <c r="E1576" s="73">
        <v>3</v>
      </c>
      <c r="F1576" s="75">
        <v>3.8738000000000001</v>
      </c>
      <c r="G1576" s="75" t="s">
        <v>257</v>
      </c>
      <c r="H1576" s="75">
        <v>8.3170999999999999</v>
      </c>
      <c r="I1576" s="75">
        <v>34419.839800000002</v>
      </c>
      <c r="J1576" s="73" t="s">
        <v>257</v>
      </c>
      <c r="K1576" s="75">
        <v>18623.642599999999</v>
      </c>
      <c r="L1576" s="75" t="s">
        <v>257</v>
      </c>
      <c r="M1576" s="73">
        <v>14.876799999999999</v>
      </c>
      <c r="N1576" s="76">
        <v>122.84</v>
      </c>
      <c r="O1576" s="73">
        <v>4</v>
      </c>
      <c r="P1576" s="73"/>
      <c r="Q1576" s="66" t="s">
        <v>258</v>
      </c>
    </row>
    <row r="1577" spans="1:17" ht="13.8" customHeight="1" x14ac:dyDescent="0.3">
      <c r="A1577" s="70" t="s">
        <v>409</v>
      </c>
      <c r="B1577" s="78">
        <v>46143</v>
      </c>
      <c r="C1577" s="70">
        <v>1466</v>
      </c>
      <c r="D1577" s="70" t="s">
        <v>256</v>
      </c>
      <c r="E1577" s="70">
        <v>3</v>
      </c>
      <c r="F1577" s="72">
        <v>4.2691999999999997</v>
      </c>
      <c r="G1577" s="72" t="s">
        <v>257</v>
      </c>
      <c r="H1577" s="72">
        <v>9.0244999999999997</v>
      </c>
      <c r="I1577" s="72">
        <v>34620.992200000001</v>
      </c>
      <c r="J1577" s="70" t="s">
        <v>257</v>
      </c>
      <c r="K1577" s="72">
        <v>48801.277300000002</v>
      </c>
      <c r="L1577" s="72" t="s">
        <v>257</v>
      </c>
      <c r="M1577" s="70">
        <v>12.3522</v>
      </c>
      <c r="N1577" s="77">
        <v>120.47</v>
      </c>
      <c r="O1577" s="70">
        <v>4</v>
      </c>
      <c r="P1577" s="70"/>
      <c r="Q1577" s="62" t="s">
        <v>258</v>
      </c>
    </row>
    <row r="1578" spans="1:17" ht="13.8" customHeight="1" x14ac:dyDescent="0.3">
      <c r="A1578" s="73" t="s">
        <v>409</v>
      </c>
      <c r="B1578" s="79">
        <v>46143</v>
      </c>
      <c r="C1578" s="73">
        <v>1467</v>
      </c>
      <c r="D1578" s="73" t="s">
        <v>256</v>
      </c>
      <c r="E1578" s="73">
        <v>4</v>
      </c>
      <c r="F1578" s="75">
        <v>6.1</v>
      </c>
      <c r="G1578" s="75" t="s">
        <v>257</v>
      </c>
      <c r="H1578" s="75" t="s">
        <v>257</v>
      </c>
      <c r="I1578" s="75">
        <v>5452.6244999999999</v>
      </c>
      <c r="J1578" s="73" t="s">
        <v>257</v>
      </c>
      <c r="K1578" s="75">
        <v>13944.832</v>
      </c>
      <c r="L1578" s="75" t="s">
        <v>257</v>
      </c>
      <c r="M1578" s="73">
        <v>8.6105999999999998</v>
      </c>
      <c r="N1578" s="76">
        <v>120.61</v>
      </c>
      <c r="O1578" s="73">
        <v>4</v>
      </c>
      <c r="P1578" s="73"/>
      <c r="Q1578" s="66" t="s">
        <v>258</v>
      </c>
    </row>
    <row r="1579" spans="1:17" ht="13.8" customHeight="1" x14ac:dyDescent="0.3">
      <c r="A1579" s="70" t="s">
        <v>409</v>
      </c>
      <c r="B1579" s="78">
        <v>46143</v>
      </c>
      <c r="C1579" s="70">
        <v>1468</v>
      </c>
      <c r="D1579" s="70" t="s">
        <v>256</v>
      </c>
      <c r="E1579" s="70">
        <v>4</v>
      </c>
      <c r="F1579" s="72" t="s">
        <v>257</v>
      </c>
      <c r="G1579" s="72" t="s">
        <v>257</v>
      </c>
      <c r="H1579" s="72" t="s">
        <v>257</v>
      </c>
      <c r="I1579" s="72">
        <v>20305.0645</v>
      </c>
      <c r="J1579" s="70" t="s">
        <v>257</v>
      </c>
      <c r="K1579" s="72">
        <v>23701.972699999998</v>
      </c>
      <c r="L1579" s="72" t="s">
        <v>257</v>
      </c>
      <c r="M1579" s="70">
        <v>16.5124</v>
      </c>
      <c r="N1579" s="77">
        <v>122.73</v>
      </c>
      <c r="O1579" s="70">
        <v>4</v>
      </c>
      <c r="P1579" s="70"/>
      <c r="Q1579" s="62" t="s">
        <v>258</v>
      </c>
    </row>
    <row r="1580" spans="1:17" ht="13.8" customHeight="1" x14ac:dyDescent="0.3">
      <c r="A1580" s="73" t="s">
        <v>409</v>
      </c>
      <c r="B1580" s="79">
        <v>46143</v>
      </c>
      <c r="C1580" s="73">
        <v>1469</v>
      </c>
      <c r="D1580" s="73" t="s">
        <v>256</v>
      </c>
      <c r="E1580" s="73">
        <v>5</v>
      </c>
      <c r="F1580" s="75">
        <v>34.944000000000003</v>
      </c>
      <c r="G1580" s="75" t="s">
        <v>257</v>
      </c>
      <c r="H1580" s="75">
        <v>21.506499999999999</v>
      </c>
      <c r="I1580" s="75">
        <v>32139.958999999999</v>
      </c>
      <c r="J1580" s="73" t="s">
        <v>257</v>
      </c>
      <c r="K1580" s="75">
        <v>21270.3809</v>
      </c>
      <c r="L1580" s="75" t="s">
        <v>257</v>
      </c>
      <c r="M1580" s="73">
        <v>19.569700000000001</v>
      </c>
      <c r="N1580" s="76">
        <v>122.96</v>
      </c>
      <c r="O1580" s="73">
        <v>4</v>
      </c>
      <c r="P1580" s="73"/>
      <c r="Q1580" s="66" t="s">
        <v>258</v>
      </c>
    </row>
    <row r="1581" spans="1:17" ht="13.8" customHeight="1" x14ac:dyDescent="0.3">
      <c r="A1581" s="70" t="s">
        <v>409</v>
      </c>
      <c r="B1581" s="78">
        <v>46143</v>
      </c>
      <c r="C1581" s="70">
        <v>1470</v>
      </c>
      <c r="D1581" s="70" t="s">
        <v>256</v>
      </c>
      <c r="E1581" s="70">
        <v>5</v>
      </c>
      <c r="F1581" s="72">
        <v>36.740600000000001</v>
      </c>
      <c r="G1581" s="72" t="s">
        <v>257</v>
      </c>
      <c r="H1581" s="72">
        <v>17.6386</v>
      </c>
      <c r="I1581" s="72">
        <v>14176.734399999999</v>
      </c>
      <c r="J1581" s="70" t="s">
        <v>257</v>
      </c>
      <c r="K1581" s="72">
        <v>21025.544900000001</v>
      </c>
      <c r="L1581" s="72" t="s">
        <v>257</v>
      </c>
      <c r="M1581" s="70">
        <v>15.496499999999999</v>
      </c>
      <c r="N1581" s="77">
        <v>122.93</v>
      </c>
      <c r="O1581" s="70">
        <v>4</v>
      </c>
      <c r="P1581" s="70"/>
      <c r="Q1581" s="62" t="s">
        <v>258</v>
      </c>
    </row>
    <row r="1582" spans="1:17" ht="13.8" customHeight="1" x14ac:dyDescent="0.3">
      <c r="A1582" s="73" t="s">
        <v>410</v>
      </c>
      <c r="B1582" s="79">
        <v>46143</v>
      </c>
      <c r="C1582" s="73">
        <v>1471</v>
      </c>
      <c r="D1582" s="73" t="s">
        <v>256</v>
      </c>
      <c r="E1582" s="73">
        <v>1</v>
      </c>
      <c r="F1582" s="75">
        <v>23.820599999999999</v>
      </c>
      <c r="G1582" s="75" t="s">
        <v>257</v>
      </c>
      <c r="H1582" s="75">
        <v>9.8201999999999998</v>
      </c>
      <c r="I1582" s="75">
        <v>25757.406200000001</v>
      </c>
      <c r="J1582" s="73">
        <v>169.2955</v>
      </c>
      <c r="K1582" s="75">
        <v>14527.3496</v>
      </c>
      <c r="L1582" s="75">
        <v>9.9652999999999992</v>
      </c>
      <c r="M1582" s="73">
        <v>5.2667000000000002</v>
      </c>
      <c r="N1582" s="76">
        <v>120.06</v>
      </c>
      <c r="O1582" s="73">
        <v>4</v>
      </c>
      <c r="P1582" s="73"/>
      <c r="Q1582" s="66" t="s">
        <v>258</v>
      </c>
    </row>
    <row r="1583" spans="1:17" ht="13.8" customHeight="1" x14ac:dyDescent="0.3">
      <c r="A1583" s="70" t="s">
        <v>410</v>
      </c>
      <c r="B1583" s="78">
        <v>46143</v>
      </c>
      <c r="C1583" s="70">
        <v>1472</v>
      </c>
      <c r="D1583" s="70" t="s">
        <v>256</v>
      </c>
      <c r="E1583" s="70">
        <v>1</v>
      </c>
      <c r="F1583" s="72">
        <v>22.6465</v>
      </c>
      <c r="G1583" s="72" t="s">
        <v>257</v>
      </c>
      <c r="H1583" s="72">
        <v>11.263</v>
      </c>
      <c r="I1583" s="72">
        <v>43941.257799999999</v>
      </c>
      <c r="J1583" s="70">
        <v>64.279200000000003</v>
      </c>
      <c r="K1583" s="72">
        <v>15126.7256</v>
      </c>
      <c r="L1583" s="72">
        <v>4.7295999999999996</v>
      </c>
      <c r="M1583" s="70">
        <v>21.4452</v>
      </c>
      <c r="N1583" s="77">
        <v>120.8</v>
      </c>
      <c r="O1583" s="70">
        <v>4</v>
      </c>
      <c r="P1583" s="70"/>
      <c r="Q1583" s="62" t="s">
        <v>258</v>
      </c>
    </row>
    <row r="1584" spans="1:17" ht="13.8" customHeight="1" x14ac:dyDescent="0.3">
      <c r="A1584" s="73" t="s">
        <v>410</v>
      </c>
      <c r="B1584" s="79">
        <v>46143</v>
      </c>
      <c r="C1584" s="73">
        <v>1473</v>
      </c>
      <c r="D1584" s="73" t="s">
        <v>256</v>
      </c>
      <c r="E1584" s="73">
        <v>2</v>
      </c>
      <c r="F1584" s="75">
        <v>30.128599999999999</v>
      </c>
      <c r="G1584" s="75" t="s">
        <v>257</v>
      </c>
      <c r="H1584" s="75">
        <v>7.4877000000000002</v>
      </c>
      <c r="I1584" s="75">
        <v>25699.800800000001</v>
      </c>
      <c r="J1584" s="73">
        <v>301.2029</v>
      </c>
      <c r="K1584" s="75">
        <v>5502.0537000000004</v>
      </c>
      <c r="L1584" s="75">
        <v>26.435500000000001</v>
      </c>
      <c r="M1584" s="73">
        <v>7.6635</v>
      </c>
      <c r="N1584" s="76">
        <v>123.07</v>
      </c>
      <c r="O1584" s="73">
        <v>4</v>
      </c>
      <c r="P1584" s="73"/>
      <c r="Q1584" s="66" t="s">
        <v>258</v>
      </c>
    </row>
    <row r="1585" spans="1:17" ht="13.8" customHeight="1" x14ac:dyDescent="0.3">
      <c r="A1585" s="70" t="s">
        <v>410</v>
      </c>
      <c r="B1585" s="78">
        <v>46143</v>
      </c>
      <c r="C1585" s="70">
        <v>1474</v>
      </c>
      <c r="D1585" s="70" t="s">
        <v>256</v>
      </c>
      <c r="E1585" s="70">
        <v>2</v>
      </c>
      <c r="F1585" s="72">
        <v>29.762599999999999</v>
      </c>
      <c r="G1585" s="72" t="s">
        <v>257</v>
      </c>
      <c r="H1585" s="72">
        <v>8.4032999999999998</v>
      </c>
      <c r="I1585" s="72">
        <v>27394.109400000001</v>
      </c>
      <c r="J1585" s="70">
        <v>402.46480000000003</v>
      </c>
      <c r="K1585" s="72">
        <v>4845.8041999999996</v>
      </c>
      <c r="L1585" s="72">
        <v>27.414899999999999</v>
      </c>
      <c r="M1585" s="70">
        <v>4.1269</v>
      </c>
      <c r="N1585" s="77">
        <v>120.41</v>
      </c>
      <c r="O1585" s="70">
        <v>4</v>
      </c>
      <c r="P1585" s="70"/>
      <c r="Q1585" s="62" t="s">
        <v>258</v>
      </c>
    </row>
    <row r="1586" spans="1:17" ht="13.8" customHeight="1" x14ac:dyDescent="0.3">
      <c r="A1586" s="73" t="s">
        <v>410</v>
      </c>
      <c r="B1586" s="79">
        <v>46143</v>
      </c>
      <c r="C1586" s="73">
        <v>1475</v>
      </c>
      <c r="D1586" s="73" t="s">
        <v>256</v>
      </c>
      <c r="E1586" s="73">
        <v>3</v>
      </c>
      <c r="F1586" s="75">
        <v>19.9343</v>
      </c>
      <c r="G1586" s="75" t="s">
        <v>257</v>
      </c>
      <c r="H1586" s="75">
        <v>4.4722999999999997</v>
      </c>
      <c r="I1586" s="75">
        <v>63300.031199999998</v>
      </c>
      <c r="J1586" s="73">
        <v>294.44139999999999</v>
      </c>
      <c r="K1586" s="75">
        <v>39935.679700000001</v>
      </c>
      <c r="L1586" s="75">
        <v>32.1447</v>
      </c>
      <c r="M1586" s="73">
        <v>33.953099999999999</v>
      </c>
      <c r="N1586" s="76">
        <v>120.49</v>
      </c>
      <c r="O1586" s="73">
        <v>4</v>
      </c>
      <c r="P1586" s="73"/>
      <c r="Q1586" s="66" t="s">
        <v>258</v>
      </c>
    </row>
    <row r="1587" spans="1:17" ht="13.8" customHeight="1" x14ac:dyDescent="0.3">
      <c r="A1587" s="70" t="s">
        <v>410</v>
      </c>
      <c r="B1587" s="78">
        <v>46143</v>
      </c>
      <c r="C1587" s="70">
        <v>1476</v>
      </c>
      <c r="D1587" s="70" t="s">
        <v>256</v>
      </c>
      <c r="E1587" s="70">
        <v>3</v>
      </c>
      <c r="F1587" s="72">
        <v>18.436199999999999</v>
      </c>
      <c r="G1587" s="72" t="s">
        <v>257</v>
      </c>
      <c r="H1587" s="72">
        <v>3.6577999999999999</v>
      </c>
      <c r="I1587" s="72">
        <v>48844.195299999999</v>
      </c>
      <c r="J1587" s="70">
        <v>280.49860000000001</v>
      </c>
      <c r="K1587" s="72">
        <v>41500.363299999997</v>
      </c>
      <c r="L1587" s="72">
        <v>34.080399999999997</v>
      </c>
      <c r="M1587" s="70">
        <v>27.7806</v>
      </c>
      <c r="N1587" s="77">
        <v>123.03</v>
      </c>
      <c r="O1587" s="70">
        <v>4</v>
      </c>
      <c r="P1587" s="70"/>
      <c r="Q1587" s="62" t="s">
        <v>258</v>
      </c>
    </row>
    <row r="1588" spans="1:17" ht="13.8" customHeight="1" x14ac:dyDescent="0.3">
      <c r="A1588" s="73" t="s">
        <v>410</v>
      </c>
      <c r="B1588" s="79">
        <v>46143</v>
      </c>
      <c r="C1588" s="73">
        <v>1477</v>
      </c>
      <c r="D1588" s="73" t="s">
        <v>256</v>
      </c>
      <c r="E1588" s="73">
        <v>4</v>
      </c>
      <c r="F1588" s="75">
        <v>12.976100000000001</v>
      </c>
      <c r="G1588" s="75" t="s">
        <v>257</v>
      </c>
      <c r="H1588" s="75">
        <v>7.2576000000000001</v>
      </c>
      <c r="I1588" s="75">
        <v>30682.275399999999</v>
      </c>
      <c r="J1588" s="73">
        <v>367.04160000000002</v>
      </c>
      <c r="K1588" s="75">
        <v>14415.1963</v>
      </c>
      <c r="L1588" s="75">
        <v>41.744</v>
      </c>
      <c r="M1588" s="73">
        <v>19.1206</v>
      </c>
      <c r="N1588" s="76">
        <v>120.31</v>
      </c>
      <c r="O1588" s="73">
        <v>4</v>
      </c>
      <c r="P1588" s="73"/>
      <c r="Q1588" s="66" t="s">
        <v>258</v>
      </c>
    </row>
    <row r="1589" spans="1:17" ht="13.8" customHeight="1" x14ac:dyDescent="0.3">
      <c r="A1589" s="70" t="s">
        <v>410</v>
      </c>
      <c r="B1589" s="78">
        <v>46143</v>
      </c>
      <c r="C1589" s="70">
        <v>1478</v>
      </c>
      <c r="D1589" s="70" t="s">
        <v>256</v>
      </c>
      <c r="E1589" s="70">
        <v>4</v>
      </c>
      <c r="F1589" s="72">
        <v>12.5885</v>
      </c>
      <c r="G1589" s="72" t="s">
        <v>257</v>
      </c>
      <c r="H1589" s="72">
        <v>8.7012</v>
      </c>
      <c r="I1589" s="72">
        <v>30573.337899999999</v>
      </c>
      <c r="J1589" s="70">
        <v>418.1961</v>
      </c>
      <c r="K1589" s="72">
        <v>15677.834000000001</v>
      </c>
      <c r="L1589" s="72">
        <v>36.461100000000002</v>
      </c>
      <c r="M1589" s="70">
        <v>13.7578</v>
      </c>
      <c r="N1589" s="77">
        <v>120.21</v>
      </c>
      <c r="O1589" s="70">
        <v>4</v>
      </c>
      <c r="P1589" s="70"/>
      <c r="Q1589" s="62" t="s">
        <v>258</v>
      </c>
    </row>
    <row r="1590" spans="1:17" ht="13.8" customHeight="1" x14ac:dyDescent="0.3">
      <c r="A1590" s="73" t="s">
        <v>410</v>
      </c>
      <c r="B1590" s="79">
        <v>46143</v>
      </c>
      <c r="C1590" s="73">
        <v>1479</v>
      </c>
      <c r="D1590" s="73" t="s">
        <v>256</v>
      </c>
      <c r="E1590" s="73">
        <v>5</v>
      </c>
      <c r="F1590" s="75">
        <v>4</v>
      </c>
      <c r="G1590" s="75" t="s">
        <v>257</v>
      </c>
      <c r="H1590" s="75">
        <v>7.9377000000000004</v>
      </c>
      <c r="I1590" s="75">
        <v>48057.781199999998</v>
      </c>
      <c r="J1590" s="73">
        <v>422.07810000000001</v>
      </c>
      <c r="K1590" s="75">
        <v>43063.152300000002</v>
      </c>
      <c r="L1590" s="75">
        <v>26.913900000000002</v>
      </c>
      <c r="M1590" s="73">
        <v>11.4137</v>
      </c>
      <c r="N1590" s="76">
        <v>122.82</v>
      </c>
      <c r="O1590" s="73">
        <v>4</v>
      </c>
      <c r="P1590" s="73"/>
      <c r="Q1590" s="66" t="s">
        <v>258</v>
      </c>
    </row>
    <row r="1591" spans="1:17" ht="13.8" customHeight="1" x14ac:dyDescent="0.3">
      <c r="A1591" s="70" t="s">
        <v>410</v>
      </c>
      <c r="B1591" s="78">
        <v>46143</v>
      </c>
      <c r="C1591" s="70">
        <v>1480</v>
      </c>
      <c r="D1591" s="70" t="s">
        <v>256</v>
      </c>
      <c r="E1591" s="70">
        <v>5</v>
      </c>
      <c r="F1591" s="72">
        <v>6.9821</v>
      </c>
      <c r="G1591" s="72" t="s">
        <v>257</v>
      </c>
      <c r="H1591" s="72">
        <v>8.1006999999999998</v>
      </c>
      <c r="I1591" s="72">
        <v>54004.816400000003</v>
      </c>
      <c r="J1591" s="70">
        <v>398.3349</v>
      </c>
      <c r="K1591" s="72">
        <v>60558.410199999998</v>
      </c>
      <c r="L1591" s="72">
        <v>36.905099999999997</v>
      </c>
      <c r="M1591" s="70">
        <v>16.909099999999999</v>
      </c>
      <c r="N1591" s="77">
        <v>123.11</v>
      </c>
      <c r="O1591" s="70">
        <v>4</v>
      </c>
      <c r="P1591" s="70"/>
      <c r="Q1591" s="62" t="s">
        <v>258</v>
      </c>
    </row>
    <row r="1592" spans="1:17" ht="13.8" customHeight="1" x14ac:dyDescent="0.3">
      <c r="A1592" s="73" t="s">
        <v>411</v>
      </c>
      <c r="B1592" s="79">
        <v>46143</v>
      </c>
      <c r="C1592" s="73">
        <v>355</v>
      </c>
      <c r="D1592" s="73" t="s">
        <v>256</v>
      </c>
      <c r="E1592" s="73">
        <v>1</v>
      </c>
      <c r="F1592" s="75">
        <v>2.7835000000000001</v>
      </c>
      <c r="G1592" s="75">
        <v>6.4032999999999998</v>
      </c>
      <c r="H1592" s="75">
        <v>45.283200000000001</v>
      </c>
      <c r="I1592" s="75">
        <v>6825.7671</v>
      </c>
      <c r="J1592" s="73" t="s">
        <v>257</v>
      </c>
      <c r="K1592" s="75">
        <v>5422.6709000000001</v>
      </c>
      <c r="L1592" s="75">
        <v>4.0906000000000002</v>
      </c>
      <c r="M1592" s="73" t="s">
        <v>257</v>
      </c>
      <c r="N1592" s="76">
        <v>120.2</v>
      </c>
      <c r="O1592" s="73">
        <v>4</v>
      </c>
      <c r="P1592" s="73"/>
      <c r="Q1592" s="66" t="s">
        <v>360</v>
      </c>
    </row>
    <row r="1593" spans="1:17" ht="13.8" customHeight="1" x14ac:dyDescent="0.3">
      <c r="A1593" s="70" t="s">
        <v>411</v>
      </c>
      <c r="B1593" s="78">
        <v>46143</v>
      </c>
      <c r="C1593" s="70">
        <v>356</v>
      </c>
      <c r="D1593" s="70" t="s">
        <v>256</v>
      </c>
      <c r="E1593" s="70">
        <v>1</v>
      </c>
      <c r="F1593" s="72" t="s">
        <v>257</v>
      </c>
      <c r="G1593" s="72">
        <v>6.7760999999999996</v>
      </c>
      <c r="H1593" s="72">
        <v>42.592700000000001</v>
      </c>
      <c r="I1593" s="72">
        <v>6754.7114000000001</v>
      </c>
      <c r="J1593" s="70" t="s">
        <v>257</v>
      </c>
      <c r="K1593" s="72">
        <v>5258.1684999999998</v>
      </c>
      <c r="L1593" s="72" t="s">
        <v>257</v>
      </c>
      <c r="M1593" s="70" t="s">
        <v>257</v>
      </c>
      <c r="N1593" s="77">
        <v>120.65</v>
      </c>
      <c r="O1593" s="70">
        <v>4</v>
      </c>
      <c r="P1593" s="70"/>
      <c r="Q1593" s="62" t="s">
        <v>360</v>
      </c>
    </row>
    <row r="1594" spans="1:17" ht="13.8" customHeight="1" x14ac:dyDescent="0.3">
      <c r="A1594" s="73" t="s">
        <v>411</v>
      </c>
      <c r="B1594" s="79">
        <v>46143</v>
      </c>
      <c r="C1594" s="73">
        <v>357</v>
      </c>
      <c r="D1594" s="73" t="s">
        <v>256</v>
      </c>
      <c r="E1594" s="73">
        <v>2</v>
      </c>
      <c r="F1594" s="75">
        <v>36.034799999999997</v>
      </c>
      <c r="G1594" s="75">
        <v>28.061699999999998</v>
      </c>
      <c r="H1594" s="75">
        <v>133.75399999999999</v>
      </c>
      <c r="I1594" s="75">
        <v>69167.734400000001</v>
      </c>
      <c r="J1594" s="73" t="s">
        <v>257</v>
      </c>
      <c r="K1594" s="75">
        <v>12569.4023</v>
      </c>
      <c r="L1594" s="75">
        <v>19.297799999999999</v>
      </c>
      <c r="M1594" s="73">
        <v>24.116599999999998</v>
      </c>
      <c r="N1594" s="76">
        <v>120.24</v>
      </c>
      <c r="O1594" s="73">
        <v>4</v>
      </c>
      <c r="P1594" s="73"/>
      <c r="Q1594" s="66" t="s">
        <v>360</v>
      </c>
    </row>
    <row r="1595" spans="1:17" ht="13.8" customHeight="1" x14ac:dyDescent="0.3">
      <c r="A1595" s="70" t="s">
        <v>411</v>
      </c>
      <c r="B1595" s="78">
        <v>46143</v>
      </c>
      <c r="C1595" s="70">
        <v>358</v>
      </c>
      <c r="D1595" s="70" t="s">
        <v>256</v>
      </c>
      <c r="E1595" s="70">
        <v>2</v>
      </c>
      <c r="F1595" s="72">
        <v>33.915300000000002</v>
      </c>
      <c r="G1595" s="72">
        <v>24.150400000000001</v>
      </c>
      <c r="H1595" s="72">
        <v>139.9974</v>
      </c>
      <c r="I1595" s="72">
        <v>69016.171900000001</v>
      </c>
      <c r="J1595" s="70">
        <v>42.8902</v>
      </c>
      <c r="K1595" s="72">
        <v>13313.921899999999</v>
      </c>
      <c r="L1595" s="72">
        <v>15.9659</v>
      </c>
      <c r="M1595" s="70">
        <v>32.762900000000002</v>
      </c>
      <c r="N1595" s="77">
        <v>125.72</v>
      </c>
      <c r="O1595" s="70">
        <v>4</v>
      </c>
      <c r="P1595" s="70"/>
      <c r="Q1595" s="62" t="s">
        <v>360</v>
      </c>
    </row>
    <row r="1596" spans="1:17" ht="13.8" customHeight="1" x14ac:dyDescent="0.3">
      <c r="A1596" s="73" t="s">
        <v>411</v>
      </c>
      <c r="B1596" s="79">
        <v>46143</v>
      </c>
      <c r="C1596" s="73">
        <v>359</v>
      </c>
      <c r="D1596" s="73" t="s">
        <v>256</v>
      </c>
      <c r="E1596" s="73">
        <v>3</v>
      </c>
      <c r="F1596" s="75">
        <v>20.0777</v>
      </c>
      <c r="G1596" s="75">
        <v>17.029699999999998</v>
      </c>
      <c r="H1596" s="75">
        <v>75.557400000000001</v>
      </c>
      <c r="I1596" s="75">
        <v>185454.57810000001</v>
      </c>
      <c r="J1596" s="73" t="s">
        <v>257</v>
      </c>
      <c r="K1596" s="75">
        <v>36834.625</v>
      </c>
      <c r="L1596" s="75" t="s">
        <v>257</v>
      </c>
      <c r="M1596" s="73" t="s">
        <v>257</v>
      </c>
      <c r="N1596" s="76">
        <v>126.1</v>
      </c>
      <c r="O1596" s="73">
        <v>4</v>
      </c>
      <c r="P1596" s="73"/>
      <c r="Q1596" s="66" t="s">
        <v>360</v>
      </c>
    </row>
    <row r="1597" spans="1:17" ht="13.8" customHeight="1" x14ac:dyDescent="0.3">
      <c r="A1597" s="70" t="s">
        <v>411</v>
      </c>
      <c r="B1597" s="78">
        <v>46143</v>
      </c>
      <c r="C1597" s="70">
        <v>360</v>
      </c>
      <c r="D1597" s="70" t="s">
        <v>256</v>
      </c>
      <c r="E1597" s="70">
        <v>3</v>
      </c>
      <c r="F1597" s="72">
        <v>13.965</v>
      </c>
      <c r="G1597" s="72">
        <v>14.829599999999999</v>
      </c>
      <c r="H1597" s="72">
        <v>33.238399999999999</v>
      </c>
      <c r="I1597" s="72">
        <v>110536.41409999999</v>
      </c>
      <c r="J1597" s="70" t="s">
        <v>257</v>
      </c>
      <c r="K1597" s="72">
        <v>28880.705099999999</v>
      </c>
      <c r="L1597" s="72">
        <v>11.542899999999999</v>
      </c>
      <c r="M1597" s="70">
        <v>15.613099999999999</v>
      </c>
      <c r="N1597" s="77">
        <v>126.3</v>
      </c>
      <c r="O1597" s="70">
        <v>4</v>
      </c>
      <c r="P1597" s="70"/>
      <c r="Q1597" s="62" t="s">
        <v>360</v>
      </c>
    </row>
    <row r="1598" spans="1:17" ht="13.8" customHeight="1" x14ac:dyDescent="0.3">
      <c r="A1598" s="73" t="s">
        <v>411</v>
      </c>
      <c r="B1598" s="79">
        <v>46143</v>
      </c>
      <c r="C1598" s="73">
        <v>361</v>
      </c>
      <c r="D1598" s="73" t="s">
        <v>256</v>
      </c>
      <c r="E1598" s="73">
        <v>4</v>
      </c>
      <c r="F1598" s="75">
        <v>10.1739</v>
      </c>
      <c r="G1598" s="75">
        <v>4.8545999999999996</v>
      </c>
      <c r="H1598" s="75">
        <v>33.390799999999999</v>
      </c>
      <c r="I1598" s="75">
        <v>125900.89840000001</v>
      </c>
      <c r="J1598" s="73">
        <v>199.20509999999999</v>
      </c>
      <c r="K1598" s="75">
        <v>44546.019500000002</v>
      </c>
      <c r="L1598" s="75">
        <v>21.789200000000001</v>
      </c>
      <c r="M1598" s="73">
        <v>12.845800000000001</v>
      </c>
      <c r="N1598" s="76">
        <v>126.08</v>
      </c>
      <c r="O1598" s="73">
        <v>4</v>
      </c>
      <c r="P1598" s="73"/>
      <c r="Q1598" s="66" t="s">
        <v>360</v>
      </c>
    </row>
    <row r="1599" spans="1:17" ht="13.8" customHeight="1" x14ac:dyDescent="0.3">
      <c r="A1599" s="70" t="s">
        <v>411</v>
      </c>
      <c r="B1599" s="78">
        <v>46143</v>
      </c>
      <c r="C1599" s="70">
        <v>362</v>
      </c>
      <c r="D1599" s="70" t="s">
        <v>256</v>
      </c>
      <c r="E1599" s="70">
        <v>4</v>
      </c>
      <c r="F1599" s="72">
        <v>5.9905999999999997</v>
      </c>
      <c r="G1599" s="72">
        <v>8.5973000000000006</v>
      </c>
      <c r="H1599" s="72">
        <v>30.542999999999999</v>
      </c>
      <c r="I1599" s="72">
        <v>145509.75</v>
      </c>
      <c r="J1599" s="70">
        <v>151.25229999999999</v>
      </c>
      <c r="K1599" s="72">
        <v>66859.906199999998</v>
      </c>
      <c r="L1599" s="72">
        <v>6.7141000000000002</v>
      </c>
      <c r="M1599" s="70" t="s">
        <v>257</v>
      </c>
      <c r="N1599" s="77">
        <v>120.66</v>
      </c>
      <c r="O1599" s="70">
        <v>4</v>
      </c>
      <c r="P1599" s="70"/>
      <c r="Q1599" s="62" t="s">
        <v>360</v>
      </c>
    </row>
    <row r="1600" spans="1:17" ht="13.8" customHeight="1" x14ac:dyDescent="0.3">
      <c r="A1600" s="73" t="s">
        <v>411</v>
      </c>
      <c r="B1600" s="79">
        <v>46143</v>
      </c>
      <c r="C1600" s="73">
        <v>363</v>
      </c>
      <c r="D1600" s="73" t="s">
        <v>256</v>
      </c>
      <c r="E1600" s="73">
        <v>5</v>
      </c>
      <c r="F1600" s="75">
        <v>9.0229999999999997</v>
      </c>
      <c r="G1600" s="75">
        <v>6.6707000000000001</v>
      </c>
      <c r="H1600" s="75">
        <v>32.351399999999998</v>
      </c>
      <c r="I1600" s="75">
        <v>9728.3817999999992</v>
      </c>
      <c r="J1600" s="73" t="s">
        <v>257</v>
      </c>
      <c r="K1600" s="75">
        <v>8505.7949000000008</v>
      </c>
      <c r="L1600" s="75">
        <v>3.0468000000000002</v>
      </c>
      <c r="M1600" s="73">
        <v>29.766999999999999</v>
      </c>
      <c r="N1600" s="76">
        <v>120.43</v>
      </c>
      <c r="O1600" s="73">
        <v>4</v>
      </c>
      <c r="P1600" s="73"/>
      <c r="Q1600" s="66" t="s">
        <v>360</v>
      </c>
    </row>
    <row r="1601" spans="1:17" ht="13.8" customHeight="1" x14ac:dyDescent="0.3">
      <c r="A1601" s="70" t="s">
        <v>411</v>
      </c>
      <c r="B1601" s="78">
        <v>46143</v>
      </c>
      <c r="C1601" s="70">
        <v>364</v>
      </c>
      <c r="D1601" s="70" t="s">
        <v>256</v>
      </c>
      <c r="E1601" s="70">
        <v>5</v>
      </c>
      <c r="F1601" s="72">
        <v>5.7614000000000001</v>
      </c>
      <c r="G1601" s="72">
        <v>7.2563000000000004</v>
      </c>
      <c r="H1601" s="72">
        <v>38.252299999999998</v>
      </c>
      <c r="I1601" s="72">
        <v>8057.3491000000004</v>
      </c>
      <c r="J1601" s="70" t="s">
        <v>257</v>
      </c>
      <c r="K1601" s="72">
        <v>9503.2949000000008</v>
      </c>
      <c r="L1601" s="72">
        <v>3.9083000000000001</v>
      </c>
      <c r="M1601" s="70">
        <v>29.4602</v>
      </c>
      <c r="N1601" s="77">
        <v>120.21</v>
      </c>
      <c r="O1601" s="70">
        <v>4</v>
      </c>
      <c r="P1601" s="70"/>
      <c r="Q1601" s="62" t="s">
        <v>360</v>
      </c>
    </row>
    <row r="1602" spans="1:17" ht="13.8" customHeight="1" x14ac:dyDescent="0.3">
      <c r="A1602" s="73" t="s">
        <v>412</v>
      </c>
      <c r="B1602" s="79">
        <v>46143</v>
      </c>
      <c r="C1602" s="73">
        <v>365</v>
      </c>
      <c r="D1602" s="73" t="s">
        <v>256</v>
      </c>
      <c r="E1602" s="73">
        <v>1</v>
      </c>
      <c r="F1602" s="75">
        <v>7.6779000000000002</v>
      </c>
      <c r="G1602" s="75">
        <v>1.5119</v>
      </c>
      <c r="H1602" s="75">
        <v>8.7012</v>
      </c>
      <c r="I1602" s="75">
        <v>39762.011700000003</v>
      </c>
      <c r="J1602" s="73">
        <v>839.45090000000005</v>
      </c>
      <c r="K1602" s="75">
        <v>2090.9906999999998</v>
      </c>
      <c r="L1602" s="75">
        <v>90.441100000000006</v>
      </c>
      <c r="M1602" s="73">
        <v>136.93109999999999</v>
      </c>
      <c r="N1602" s="76">
        <v>126.07</v>
      </c>
      <c r="O1602" s="73">
        <v>4</v>
      </c>
      <c r="P1602" s="73"/>
      <c r="Q1602" s="66" t="s">
        <v>360</v>
      </c>
    </row>
    <row r="1603" spans="1:17" ht="13.8" customHeight="1" x14ac:dyDescent="0.3">
      <c r="A1603" s="70" t="s">
        <v>412</v>
      </c>
      <c r="B1603" s="78">
        <v>46143</v>
      </c>
      <c r="C1603" s="70">
        <v>366</v>
      </c>
      <c r="D1603" s="70" t="s">
        <v>256</v>
      </c>
      <c r="E1603" s="70">
        <v>1</v>
      </c>
      <c r="F1603" s="72">
        <v>6.1436999999999999</v>
      </c>
      <c r="G1603" s="72" t="s">
        <v>257</v>
      </c>
      <c r="H1603" s="72">
        <v>10.129799999999999</v>
      </c>
      <c r="I1603" s="72">
        <v>38511.667999999998</v>
      </c>
      <c r="J1603" s="70">
        <v>885.15930000000003</v>
      </c>
      <c r="K1603" s="72">
        <v>2089.4821999999999</v>
      </c>
      <c r="L1603" s="72">
        <v>91.171099999999996</v>
      </c>
      <c r="M1603" s="70">
        <v>119.1371</v>
      </c>
      <c r="N1603" s="77">
        <v>120.75</v>
      </c>
      <c r="O1603" s="70">
        <v>4</v>
      </c>
      <c r="P1603" s="70"/>
      <c r="Q1603" s="62" t="s">
        <v>360</v>
      </c>
    </row>
    <row r="1604" spans="1:17" ht="13.8" customHeight="1" x14ac:dyDescent="0.3">
      <c r="A1604" s="73" t="s">
        <v>412</v>
      </c>
      <c r="B1604" s="79">
        <v>46143</v>
      </c>
      <c r="C1604" s="73">
        <v>367</v>
      </c>
      <c r="D1604" s="73" t="s">
        <v>256</v>
      </c>
      <c r="E1604" s="73">
        <v>2</v>
      </c>
      <c r="F1604" s="75">
        <v>13.4619</v>
      </c>
      <c r="G1604" s="75" t="s">
        <v>257</v>
      </c>
      <c r="H1604" s="75">
        <v>8.6809999999999992</v>
      </c>
      <c r="I1604" s="75">
        <v>43793.203099999999</v>
      </c>
      <c r="J1604" s="73">
        <v>741.3365</v>
      </c>
      <c r="K1604" s="75">
        <v>1757.5863999999999</v>
      </c>
      <c r="L1604" s="75">
        <v>58.577800000000003</v>
      </c>
      <c r="M1604" s="73">
        <v>27.572800000000001</v>
      </c>
      <c r="N1604" s="76">
        <v>120.57</v>
      </c>
      <c r="O1604" s="73">
        <v>4</v>
      </c>
      <c r="P1604" s="73"/>
      <c r="Q1604" s="66" t="s">
        <v>360</v>
      </c>
    </row>
    <row r="1605" spans="1:17" ht="13.8" customHeight="1" x14ac:dyDescent="0.3">
      <c r="A1605" s="70" t="s">
        <v>412</v>
      </c>
      <c r="B1605" s="78">
        <v>46143</v>
      </c>
      <c r="C1605" s="70">
        <v>368</v>
      </c>
      <c r="D1605" s="70" t="s">
        <v>256</v>
      </c>
      <c r="E1605" s="70">
        <v>2</v>
      </c>
      <c r="F1605" s="72">
        <v>16.8428</v>
      </c>
      <c r="G1605" s="72">
        <v>2.9108000000000001</v>
      </c>
      <c r="H1605" s="72">
        <v>7.1729000000000003</v>
      </c>
      <c r="I1605" s="72">
        <v>44656.871099999997</v>
      </c>
      <c r="J1605" s="70">
        <v>810.71410000000003</v>
      </c>
      <c r="K1605" s="72">
        <v>1724.5504000000001</v>
      </c>
      <c r="L1605" s="72">
        <v>61.882300000000001</v>
      </c>
      <c r="M1605" s="70">
        <v>28.150600000000001</v>
      </c>
      <c r="N1605" s="77">
        <v>120.6</v>
      </c>
      <c r="O1605" s="70">
        <v>4</v>
      </c>
      <c r="P1605" s="70"/>
      <c r="Q1605" s="62" t="s">
        <v>360</v>
      </c>
    </row>
    <row r="1606" spans="1:17" ht="13.8" customHeight="1" x14ac:dyDescent="0.3">
      <c r="A1606" s="73" t="s">
        <v>412</v>
      </c>
      <c r="B1606" s="79">
        <v>46143</v>
      </c>
      <c r="C1606" s="73">
        <v>369</v>
      </c>
      <c r="D1606" s="73" t="s">
        <v>256</v>
      </c>
      <c r="E1606" s="73">
        <v>3</v>
      </c>
      <c r="F1606" s="75" t="s">
        <v>257</v>
      </c>
      <c r="G1606" s="75" t="s">
        <v>257</v>
      </c>
      <c r="H1606" s="75">
        <v>9.3262</v>
      </c>
      <c r="I1606" s="75">
        <v>43321.710899999998</v>
      </c>
      <c r="J1606" s="73">
        <v>787.87530000000004</v>
      </c>
      <c r="K1606" s="75">
        <v>372.779</v>
      </c>
      <c r="L1606" s="75">
        <v>66.747200000000007</v>
      </c>
      <c r="M1606" s="73">
        <v>53.287999999999997</v>
      </c>
      <c r="N1606" s="76">
        <v>120.72</v>
      </c>
      <c r="O1606" s="73">
        <v>4</v>
      </c>
      <c r="P1606" s="73"/>
      <c r="Q1606" s="66" t="s">
        <v>360</v>
      </c>
    </row>
    <row r="1607" spans="1:17" ht="13.8" customHeight="1" x14ac:dyDescent="0.3">
      <c r="A1607" s="70" t="s">
        <v>412</v>
      </c>
      <c r="B1607" s="78">
        <v>46143</v>
      </c>
      <c r="C1607" s="70">
        <v>370</v>
      </c>
      <c r="D1607" s="70" t="s">
        <v>256</v>
      </c>
      <c r="E1607" s="70">
        <v>3</v>
      </c>
      <c r="F1607" s="72">
        <v>6.1272000000000002</v>
      </c>
      <c r="G1607" s="72" t="s">
        <v>257</v>
      </c>
      <c r="H1607" s="72">
        <v>9.7858999999999998</v>
      </c>
      <c r="I1607" s="72">
        <v>44439.765599999999</v>
      </c>
      <c r="J1607" s="70">
        <v>799.92169999999999</v>
      </c>
      <c r="K1607" s="72">
        <v>605.08979999999997</v>
      </c>
      <c r="L1607" s="72">
        <v>69.520600000000002</v>
      </c>
      <c r="M1607" s="70">
        <v>43.197800000000001</v>
      </c>
      <c r="N1607" s="77">
        <v>126.03</v>
      </c>
      <c r="O1607" s="70">
        <v>4</v>
      </c>
      <c r="P1607" s="70"/>
      <c r="Q1607" s="62" t="s">
        <v>360</v>
      </c>
    </row>
    <row r="1608" spans="1:17" ht="13.8" customHeight="1" x14ac:dyDescent="0.3">
      <c r="A1608" s="73" t="s">
        <v>412</v>
      </c>
      <c r="B1608" s="79">
        <v>46143</v>
      </c>
      <c r="C1608" s="73">
        <v>371</v>
      </c>
      <c r="D1608" s="73" t="s">
        <v>256</v>
      </c>
      <c r="E1608" s="73">
        <v>4</v>
      </c>
      <c r="F1608" s="75">
        <v>3.4998999999999998</v>
      </c>
      <c r="G1608" s="75" t="s">
        <v>257</v>
      </c>
      <c r="H1608" s="75">
        <v>9.9803999999999995</v>
      </c>
      <c r="I1608" s="75">
        <v>43246.386700000003</v>
      </c>
      <c r="J1608" s="73">
        <v>789.74400000000003</v>
      </c>
      <c r="K1608" s="75">
        <v>1371.0476000000001</v>
      </c>
      <c r="L1608" s="75">
        <v>86.782499999999999</v>
      </c>
      <c r="M1608" s="73">
        <v>93.015000000000001</v>
      </c>
      <c r="N1608" s="76">
        <v>120.68</v>
      </c>
      <c r="O1608" s="73">
        <v>4</v>
      </c>
      <c r="P1608" s="73"/>
      <c r="Q1608" s="66" t="s">
        <v>360</v>
      </c>
    </row>
    <row r="1609" spans="1:17" ht="13.8" customHeight="1" x14ac:dyDescent="0.3">
      <c r="A1609" s="70" t="s">
        <v>412</v>
      </c>
      <c r="B1609" s="78">
        <v>46143</v>
      </c>
      <c r="C1609" s="70">
        <v>372</v>
      </c>
      <c r="D1609" s="70" t="s">
        <v>256</v>
      </c>
      <c r="E1609" s="70">
        <v>4</v>
      </c>
      <c r="F1609" s="72">
        <v>2.8593000000000002</v>
      </c>
      <c r="G1609" s="72" t="s">
        <v>257</v>
      </c>
      <c r="H1609" s="72">
        <v>9.9852000000000007</v>
      </c>
      <c r="I1609" s="72">
        <v>43135.824200000003</v>
      </c>
      <c r="J1609" s="70">
        <v>1123.1813999999999</v>
      </c>
      <c r="K1609" s="72">
        <v>2833.5612999999998</v>
      </c>
      <c r="L1609" s="72">
        <v>103.2496</v>
      </c>
      <c r="M1609" s="70">
        <v>131.93520000000001</v>
      </c>
      <c r="N1609" s="77">
        <v>120.72</v>
      </c>
      <c r="O1609" s="70">
        <v>4</v>
      </c>
      <c r="P1609" s="70"/>
      <c r="Q1609" s="62" t="s">
        <v>360</v>
      </c>
    </row>
    <row r="1610" spans="1:17" ht="13.8" customHeight="1" x14ac:dyDescent="0.3">
      <c r="A1610" s="73" t="s">
        <v>412</v>
      </c>
      <c r="B1610" s="79">
        <v>46143</v>
      </c>
      <c r="C1610" s="73">
        <v>373</v>
      </c>
      <c r="D1610" s="73" t="s">
        <v>256</v>
      </c>
      <c r="E1610" s="73">
        <v>5</v>
      </c>
      <c r="F1610" s="75">
        <v>6.9225000000000003</v>
      </c>
      <c r="G1610" s="75">
        <v>4.0938999999999997</v>
      </c>
      <c r="H1610" s="75">
        <v>7.3891</v>
      </c>
      <c r="I1610" s="75">
        <v>45037.964800000002</v>
      </c>
      <c r="J1610" s="73">
        <v>938.28390000000002</v>
      </c>
      <c r="K1610" s="75">
        <v>2572.3379</v>
      </c>
      <c r="L1610" s="75">
        <v>115.76260000000001</v>
      </c>
      <c r="M1610" s="73">
        <v>102.70489999999999</v>
      </c>
      <c r="N1610" s="76">
        <v>120.58</v>
      </c>
      <c r="O1610" s="73">
        <v>4</v>
      </c>
      <c r="P1610" s="73"/>
      <c r="Q1610" s="66" t="s">
        <v>360</v>
      </c>
    </row>
    <row r="1611" spans="1:17" ht="13.8" customHeight="1" x14ac:dyDescent="0.3">
      <c r="A1611" s="70" t="s">
        <v>412</v>
      </c>
      <c r="B1611" s="78">
        <v>46143</v>
      </c>
      <c r="C1611" s="70">
        <v>374</v>
      </c>
      <c r="D1611" s="70" t="s">
        <v>256</v>
      </c>
      <c r="E1611" s="70">
        <v>5</v>
      </c>
      <c r="F1611" s="72">
        <v>4.5669000000000004</v>
      </c>
      <c r="G1611" s="72">
        <v>2.6549999999999998</v>
      </c>
      <c r="H1611" s="72">
        <v>10.9269</v>
      </c>
      <c r="I1611" s="72">
        <v>44177.335899999998</v>
      </c>
      <c r="J1611" s="70">
        <v>945.39700000000005</v>
      </c>
      <c r="K1611" s="72">
        <v>2297.1543000000001</v>
      </c>
      <c r="L1611" s="72">
        <v>118.209</v>
      </c>
      <c r="M1611" s="70">
        <v>106.27849999999999</v>
      </c>
      <c r="N1611" s="77">
        <v>120.33</v>
      </c>
      <c r="O1611" s="70">
        <v>4</v>
      </c>
      <c r="P1611" s="70"/>
      <c r="Q1611" s="62" t="s">
        <v>360</v>
      </c>
    </row>
    <row r="1612" spans="1:17" ht="13.8" customHeight="1" x14ac:dyDescent="0.3">
      <c r="A1612" s="73" t="s">
        <v>413</v>
      </c>
      <c r="B1612" s="79">
        <v>46143</v>
      </c>
      <c r="C1612" s="73">
        <v>375</v>
      </c>
      <c r="D1612" s="73" t="s">
        <v>256</v>
      </c>
      <c r="E1612" s="73">
        <v>1</v>
      </c>
      <c r="F1612" s="75">
        <v>15.5725</v>
      </c>
      <c r="G1612" s="75">
        <v>3.1286</v>
      </c>
      <c r="H1612" s="75">
        <v>45.770099999999999</v>
      </c>
      <c r="I1612" s="75">
        <v>5135.2012000000004</v>
      </c>
      <c r="J1612" s="73" t="s">
        <v>257</v>
      </c>
      <c r="K1612" s="75">
        <v>8422.2528999999995</v>
      </c>
      <c r="L1612" s="75" t="s">
        <v>257</v>
      </c>
      <c r="M1612" s="73" t="s">
        <v>257</v>
      </c>
      <c r="N1612" s="76">
        <v>120.08</v>
      </c>
      <c r="O1612" s="73">
        <v>4</v>
      </c>
      <c r="P1612" s="73"/>
      <c r="Q1612" s="66" t="s">
        <v>360</v>
      </c>
    </row>
    <row r="1613" spans="1:17" ht="13.8" customHeight="1" x14ac:dyDescent="0.3">
      <c r="A1613" s="70" t="s">
        <v>413</v>
      </c>
      <c r="B1613" s="78">
        <v>46143</v>
      </c>
      <c r="C1613" s="70">
        <v>376</v>
      </c>
      <c r="D1613" s="70" t="s">
        <v>256</v>
      </c>
      <c r="E1613" s="70">
        <v>1</v>
      </c>
      <c r="F1613" s="72">
        <v>15.6226</v>
      </c>
      <c r="G1613" s="72">
        <v>3.9647999999999999</v>
      </c>
      <c r="H1613" s="72">
        <v>34.595700000000001</v>
      </c>
      <c r="I1613" s="72">
        <v>5492.0434999999998</v>
      </c>
      <c r="J1613" s="70" t="s">
        <v>257</v>
      </c>
      <c r="K1613" s="72">
        <v>7638.0967000000001</v>
      </c>
      <c r="L1613" s="72" t="s">
        <v>257</v>
      </c>
      <c r="M1613" s="70">
        <v>4.4364999999999997</v>
      </c>
      <c r="N1613" s="77">
        <v>126.09</v>
      </c>
      <c r="O1613" s="70">
        <v>4</v>
      </c>
      <c r="P1613" s="70"/>
      <c r="Q1613" s="62" t="s">
        <v>360</v>
      </c>
    </row>
    <row r="1614" spans="1:17" ht="13.8" customHeight="1" x14ac:dyDescent="0.3">
      <c r="A1614" s="73" t="s">
        <v>413</v>
      </c>
      <c r="B1614" s="79">
        <v>46143</v>
      </c>
      <c r="C1614" s="73">
        <v>377</v>
      </c>
      <c r="D1614" s="73" t="s">
        <v>256</v>
      </c>
      <c r="E1614" s="73">
        <v>2</v>
      </c>
      <c r="F1614" s="75" t="s">
        <v>257</v>
      </c>
      <c r="G1614" s="75">
        <v>3.5947</v>
      </c>
      <c r="H1614" s="75">
        <v>10.403</v>
      </c>
      <c r="I1614" s="75">
        <v>5014.8477000000003</v>
      </c>
      <c r="J1614" s="73" t="s">
        <v>257</v>
      </c>
      <c r="K1614" s="75">
        <v>4643.3388999999997</v>
      </c>
      <c r="L1614" s="75" t="s">
        <v>257</v>
      </c>
      <c r="M1614" s="73">
        <v>10.483700000000001</v>
      </c>
      <c r="N1614" s="76">
        <v>120.39</v>
      </c>
      <c r="O1614" s="73">
        <v>4</v>
      </c>
      <c r="P1614" s="73"/>
      <c r="Q1614" s="66" t="s">
        <v>360</v>
      </c>
    </row>
    <row r="1615" spans="1:17" ht="13.8" customHeight="1" x14ac:dyDescent="0.3">
      <c r="A1615" s="70" t="s">
        <v>413</v>
      </c>
      <c r="B1615" s="78">
        <v>46143</v>
      </c>
      <c r="C1615" s="70">
        <v>378</v>
      </c>
      <c r="D1615" s="70" t="s">
        <v>256</v>
      </c>
      <c r="E1615" s="70">
        <v>2</v>
      </c>
      <c r="F1615" s="72" t="s">
        <v>257</v>
      </c>
      <c r="G1615" s="72">
        <v>4.0091999999999999</v>
      </c>
      <c r="H1615" s="72">
        <v>12.1</v>
      </c>
      <c r="I1615" s="72">
        <v>3572.2917000000002</v>
      </c>
      <c r="J1615" s="70" t="s">
        <v>257</v>
      </c>
      <c r="K1615" s="72">
        <v>4261.2563</v>
      </c>
      <c r="L1615" s="72" t="s">
        <v>257</v>
      </c>
      <c r="M1615" s="70">
        <v>6.8494999999999999</v>
      </c>
      <c r="N1615" s="77">
        <v>125.97</v>
      </c>
      <c r="O1615" s="70">
        <v>4</v>
      </c>
      <c r="P1615" s="70"/>
      <c r="Q1615" s="62" t="s">
        <v>360</v>
      </c>
    </row>
    <row r="1616" spans="1:17" ht="13.8" customHeight="1" x14ac:dyDescent="0.3">
      <c r="A1616" s="73" t="s">
        <v>413</v>
      </c>
      <c r="B1616" s="79">
        <v>46143</v>
      </c>
      <c r="C1616" s="73">
        <v>381</v>
      </c>
      <c r="D1616" s="73" t="s">
        <v>256</v>
      </c>
      <c r="E1616" s="73">
        <v>3</v>
      </c>
      <c r="F1616" s="75" t="s">
        <v>257</v>
      </c>
      <c r="G1616" s="75">
        <v>1.7048000000000001</v>
      </c>
      <c r="H1616" s="75">
        <v>6.0712999999999999</v>
      </c>
      <c r="I1616" s="75">
        <v>2850.7319000000002</v>
      </c>
      <c r="J1616" s="73" t="s">
        <v>257</v>
      </c>
      <c r="K1616" s="75">
        <v>2107.2654000000002</v>
      </c>
      <c r="L1616" s="75" t="s">
        <v>257</v>
      </c>
      <c r="M1616" s="73" t="s">
        <v>257</v>
      </c>
      <c r="N1616" s="76">
        <v>126.26</v>
      </c>
      <c r="O1616" s="73">
        <v>4</v>
      </c>
      <c r="P1616" s="73"/>
      <c r="Q1616" s="66" t="s">
        <v>360</v>
      </c>
    </row>
    <row r="1617" spans="1:17" ht="13.8" customHeight="1" x14ac:dyDescent="0.3">
      <c r="A1617" s="70" t="s">
        <v>413</v>
      </c>
      <c r="B1617" s="78">
        <v>46143</v>
      </c>
      <c r="C1617" s="70">
        <v>382</v>
      </c>
      <c r="D1617" s="70" t="s">
        <v>256</v>
      </c>
      <c r="E1617" s="70">
        <v>3</v>
      </c>
      <c r="F1617" s="72" t="s">
        <v>257</v>
      </c>
      <c r="G1617" s="72">
        <v>1.1082000000000001</v>
      </c>
      <c r="H1617" s="72">
        <v>3.7166999999999999</v>
      </c>
      <c r="I1617" s="72">
        <v>2442.9058</v>
      </c>
      <c r="J1617" s="70" t="s">
        <v>257</v>
      </c>
      <c r="K1617" s="72">
        <v>2241.2426999999998</v>
      </c>
      <c r="L1617" s="72" t="s">
        <v>257</v>
      </c>
      <c r="M1617" s="70" t="s">
        <v>257</v>
      </c>
      <c r="N1617" s="77">
        <v>126.01</v>
      </c>
      <c r="O1617" s="70">
        <v>4</v>
      </c>
      <c r="P1617" s="70"/>
      <c r="Q1617" s="62" t="s">
        <v>360</v>
      </c>
    </row>
    <row r="1618" spans="1:17" ht="13.8" customHeight="1" x14ac:dyDescent="0.3">
      <c r="A1618" s="73" t="s">
        <v>413</v>
      </c>
      <c r="B1618" s="79">
        <v>46143</v>
      </c>
      <c r="C1618" s="73">
        <v>383</v>
      </c>
      <c r="D1618" s="73" t="s">
        <v>256</v>
      </c>
      <c r="E1618" s="73">
        <v>4</v>
      </c>
      <c r="F1618" s="75" t="s">
        <v>257</v>
      </c>
      <c r="G1618" s="75">
        <v>3.1118000000000001</v>
      </c>
      <c r="H1618" s="75">
        <v>4.0548999999999999</v>
      </c>
      <c r="I1618" s="75">
        <v>4136.2568000000001</v>
      </c>
      <c r="J1618" s="73" t="s">
        <v>257</v>
      </c>
      <c r="K1618" s="75">
        <v>2794.0898000000002</v>
      </c>
      <c r="L1618" s="75" t="s">
        <v>257</v>
      </c>
      <c r="M1618" s="73" t="s">
        <v>257</v>
      </c>
      <c r="N1618" s="76">
        <v>125.91</v>
      </c>
      <c r="O1618" s="73">
        <v>4</v>
      </c>
      <c r="P1618" s="73"/>
      <c r="Q1618" s="66" t="s">
        <v>360</v>
      </c>
    </row>
    <row r="1619" spans="1:17" ht="13.8" customHeight="1" x14ac:dyDescent="0.3">
      <c r="A1619" s="70" t="s">
        <v>413</v>
      </c>
      <c r="B1619" s="78">
        <v>46143</v>
      </c>
      <c r="C1619" s="70">
        <v>384</v>
      </c>
      <c r="D1619" s="70" t="s">
        <v>256</v>
      </c>
      <c r="E1619" s="70">
        <v>4</v>
      </c>
      <c r="F1619" s="72" t="s">
        <v>257</v>
      </c>
      <c r="G1619" s="72">
        <v>2.2387999999999999</v>
      </c>
      <c r="H1619" s="72">
        <v>2.7959000000000001</v>
      </c>
      <c r="I1619" s="72">
        <v>6599.9589999999998</v>
      </c>
      <c r="J1619" s="70" t="s">
        <v>257</v>
      </c>
      <c r="K1619" s="72">
        <v>4924.3696</v>
      </c>
      <c r="L1619" s="72" t="s">
        <v>257</v>
      </c>
      <c r="M1619" s="70">
        <v>3.5213999999999999</v>
      </c>
      <c r="N1619" s="77">
        <v>120.74</v>
      </c>
      <c r="O1619" s="70">
        <v>4</v>
      </c>
      <c r="P1619" s="70"/>
      <c r="Q1619" s="62" t="s">
        <v>360</v>
      </c>
    </row>
    <row r="1620" spans="1:17" ht="13.8" customHeight="1" x14ac:dyDescent="0.3">
      <c r="A1620" s="73" t="s">
        <v>413</v>
      </c>
      <c r="B1620" s="79">
        <v>46143</v>
      </c>
      <c r="C1620" s="73">
        <v>385</v>
      </c>
      <c r="D1620" s="73" t="s">
        <v>256</v>
      </c>
      <c r="E1620" s="73">
        <v>5</v>
      </c>
      <c r="F1620" s="75" t="s">
        <v>257</v>
      </c>
      <c r="G1620" s="75">
        <v>4.3338999999999999</v>
      </c>
      <c r="H1620" s="75">
        <v>25.318300000000001</v>
      </c>
      <c r="I1620" s="75">
        <v>2660.9252999999999</v>
      </c>
      <c r="J1620" s="73" t="s">
        <v>257</v>
      </c>
      <c r="K1620" s="75">
        <v>271.15539999999999</v>
      </c>
      <c r="L1620" s="75" t="s">
        <v>257</v>
      </c>
      <c r="M1620" s="73" t="s">
        <v>257</v>
      </c>
      <c r="N1620" s="76">
        <v>125.99</v>
      </c>
      <c r="O1620" s="73">
        <v>4</v>
      </c>
      <c r="P1620" s="73"/>
      <c r="Q1620" s="66" t="s">
        <v>360</v>
      </c>
    </row>
    <row r="1621" spans="1:17" ht="13.8" customHeight="1" x14ac:dyDescent="0.3">
      <c r="A1621" s="70" t="s">
        <v>413</v>
      </c>
      <c r="B1621" s="78">
        <v>46143</v>
      </c>
      <c r="C1621" s="70">
        <v>386</v>
      </c>
      <c r="D1621" s="70" t="s">
        <v>256</v>
      </c>
      <c r="E1621" s="70">
        <v>5</v>
      </c>
      <c r="F1621" s="72" t="s">
        <v>257</v>
      </c>
      <c r="G1621" s="72">
        <v>2.6779999999999999</v>
      </c>
      <c r="H1621" s="72">
        <v>16.573</v>
      </c>
      <c r="I1621" s="72">
        <v>957.14269999999999</v>
      </c>
      <c r="J1621" s="70" t="s">
        <v>257</v>
      </c>
      <c r="K1621" s="72">
        <v>339.39479999999998</v>
      </c>
      <c r="L1621" s="72" t="s">
        <v>257</v>
      </c>
      <c r="M1621" s="70" t="s">
        <v>257</v>
      </c>
      <c r="N1621" s="77">
        <v>125.96</v>
      </c>
      <c r="O1621" s="70">
        <v>4</v>
      </c>
      <c r="P1621" s="70"/>
      <c r="Q1621" s="62" t="s">
        <v>360</v>
      </c>
    </row>
    <row r="1622" spans="1:17" ht="13.8" customHeight="1" x14ac:dyDescent="0.3">
      <c r="A1622" s="73" t="s">
        <v>414</v>
      </c>
      <c r="B1622" s="79">
        <v>46143</v>
      </c>
      <c r="C1622" s="73">
        <v>387</v>
      </c>
      <c r="D1622" s="73" t="s">
        <v>256</v>
      </c>
      <c r="E1622" s="73">
        <v>1</v>
      </c>
      <c r="F1622" s="75">
        <v>36.353299999999997</v>
      </c>
      <c r="G1622" s="75">
        <v>2.1318999999999999</v>
      </c>
      <c r="H1622" s="75">
        <v>12.338699999999999</v>
      </c>
      <c r="I1622" s="75">
        <v>41439.851600000002</v>
      </c>
      <c r="J1622" s="73">
        <v>473.58109999999999</v>
      </c>
      <c r="K1622" s="75">
        <v>5780.0464000000002</v>
      </c>
      <c r="L1622" s="75">
        <v>76.357200000000006</v>
      </c>
      <c r="M1622" s="73">
        <v>143.27619999999999</v>
      </c>
      <c r="N1622" s="76">
        <v>120.38</v>
      </c>
      <c r="O1622" s="73">
        <v>4</v>
      </c>
      <c r="P1622" s="73"/>
      <c r="Q1622" s="66" t="s">
        <v>360</v>
      </c>
    </row>
    <row r="1623" spans="1:17" ht="13.8" customHeight="1" x14ac:dyDescent="0.3">
      <c r="A1623" s="70" t="s">
        <v>414</v>
      </c>
      <c r="B1623" s="78">
        <v>46143</v>
      </c>
      <c r="C1623" s="70">
        <v>388</v>
      </c>
      <c r="D1623" s="70" t="s">
        <v>256</v>
      </c>
      <c r="E1623" s="70">
        <v>1</v>
      </c>
      <c r="F1623" s="72">
        <v>30.3752</v>
      </c>
      <c r="G1623" s="72" t="s">
        <v>257</v>
      </c>
      <c r="H1623" s="72">
        <v>12.8506</v>
      </c>
      <c r="I1623" s="72">
        <v>38001.390599999999</v>
      </c>
      <c r="J1623" s="70">
        <v>456.80470000000003</v>
      </c>
      <c r="K1623" s="72">
        <v>5469.6845999999996</v>
      </c>
      <c r="L1623" s="72">
        <v>81.091499999999996</v>
      </c>
      <c r="M1623" s="70">
        <v>135.33529999999999</v>
      </c>
      <c r="N1623" s="77">
        <v>120.72</v>
      </c>
      <c r="O1623" s="70">
        <v>4</v>
      </c>
      <c r="P1623" s="70"/>
      <c r="Q1623" s="62" t="s">
        <v>360</v>
      </c>
    </row>
    <row r="1624" spans="1:17" ht="13.8" customHeight="1" x14ac:dyDescent="0.3">
      <c r="A1624" s="73" t="s">
        <v>414</v>
      </c>
      <c r="B1624" s="79">
        <v>46143</v>
      </c>
      <c r="C1624" s="73">
        <v>389</v>
      </c>
      <c r="D1624" s="73" t="s">
        <v>256</v>
      </c>
      <c r="E1624" s="73">
        <v>2</v>
      </c>
      <c r="F1624" s="75">
        <v>101.2264</v>
      </c>
      <c r="G1624" s="75">
        <v>3.4239000000000002</v>
      </c>
      <c r="H1624" s="75">
        <v>12.7818</v>
      </c>
      <c r="I1624" s="75">
        <v>48068.105499999998</v>
      </c>
      <c r="J1624" s="73">
        <v>523.59090000000003</v>
      </c>
      <c r="K1624" s="75">
        <v>4836.6260000000002</v>
      </c>
      <c r="L1624" s="75">
        <v>79.506</v>
      </c>
      <c r="M1624" s="73">
        <v>122.2967</v>
      </c>
      <c r="N1624" s="76">
        <v>120.47</v>
      </c>
      <c r="O1624" s="73">
        <v>4</v>
      </c>
      <c r="P1624" s="73"/>
      <c r="Q1624" s="66" t="s">
        <v>360</v>
      </c>
    </row>
    <row r="1625" spans="1:17" ht="13.8" customHeight="1" x14ac:dyDescent="0.3">
      <c r="A1625" s="70" t="s">
        <v>414</v>
      </c>
      <c r="B1625" s="78">
        <v>46143</v>
      </c>
      <c r="C1625" s="70">
        <v>390</v>
      </c>
      <c r="D1625" s="70" t="s">
        <v>256</v>
      </c>
      <c r="E1625" s="70">
        <v>2</v>
      </c>
      <c r="F1625" s="72">
        <v>198.88800000000001</v>
      </c>
      <c r="G1625" s="72">
        <v>2.08</v>
      </c>
      <c r="H1625" s="72">
        <v>15.6821</v>
      </c>
      <c r="I1625" s="72">
        <v>36960.886700000003</v>
      </c>
      <c r="J1625" s="70">
        <v>415.7097</v>
      </c>
      <c r="K1625" s="72">
        <v>4861.3662000000004</v>
      </c>
      <c r="L1625" s="72">
        <v>102.9834</v>
      </c>
      <c r="M1625" s="70">
        <v>222.44540000000001</v>
      </c>
      <c r="N1625" s="77">
        <v>120</v>
      </c>
      <c r="O1625" s="70">
        <v>4</v>
      </c>
      <c r="P1625" s="70"/>
      <c r="Q1625" s="62" t="s">
        <v>360</v>
      </c>
    </row>
    <row r="1626" spans="1:17" ht="13.8" customHeight="1" x14ac:dyDescent="0.3">
      <c r="A1626" s="73" t="s">
        <v>414</v>
      </c>
      <c r="B1626" s="79">
        <v>46143</v>
      </c>
      <c r="C1626" s="73">
        <v>391</v>
      </c>
      <c r="D1626" s="73" t="s">
        <v>256</v>
      </c>
      <c r="E1626" s="73">
        <v>2</v>
      </c>
      <c r="F1626" s="75">
        <v>30.4114</v>
      </c>
      <c r="G1626" s="75" t="s">
        <v>257</v>
      </c>
      <c r="H1626" s="75">
        <v>6.7786999999999997</v>
      </c>
      <c r="I1626" s="75">
        <v>34280.859400000001</v>
      </c>
      <c r="J1626" s="73">
        <v>447.86200000000002</v>
      </c>
      <c r="K1626" s="75">
        <v>2750.9423999999999</v>
      </c>
      <c r="L1626" s="75">
        <v>41.342599999999997</v>
      </c>
      <c r="M1626" s="73">
        <v>29.558499999999999</v>
      </c>
      <c r="N1626" s="76">
        <v>120.34</v>
      </c>
      <c r="O1626" s="73">
        <v>4</v>
      </c>
      <c r="P1626" s="73"/>
      <c r="Q1626" s="66" t="s">
        <v>360</v>
      </c>
    </row>
    <row r="1627" spans="1:17" ht="13.8" customHeight="1" x14ac:dyDescent="0.3">
      <c r="A1627" s="70" t="s">
        <v>414</v>
      </c>
      <c r="B1627" s="78">
        <v>46143</v>
      </c>
      <c r="C1627" s="70">
        <v>392</v>
      </c>
      <c r="D1627" s="70" t="s">
        <v>256</v>
      </c>
      <c r="E1627" s="70">
        <v>3</v>
      </c>
      <c r="F1627" s="72">
        <v>54.7682</v>
      </c>
      <c r="G1627" s="72" t="s">
        <v>257</v>
      </c>
      <c r="H1627" s="72">
        <v>5.9387999999999996</v>
      </c>
      <c r="I1627" s="72">
        <v>28401.835899999998</v>
      </c>
      <c r="J1627" s="70">
        <v>338.09910000000002</v>
      </c>
      <c r="K1627" s="72">
        <v>1390.3779</v>
      </c>
      <c r="L1627" s="72">
        <v>27.2166</v>
      </c>
      <c r="M1627" s="70">
        <v>17.628499999999999</v>
      </c>
      <c r="N1627" s="77">
        <v>120.71</v>
      </c>
      <c r="O1627" s="70">
        <v>4</v>
      </c>
      <c r="P1627" s="70"/>
      <c r="Q1627" s="62" t="s">
        <v>360</v>
      </c>
    </row>
    <row r="1628" spans="1:17" ht="13.8" customHeight="1" x14ac:dyDescent="0.3">
      <c r="A1628" s="73" t="s">
        <v>414</v>
      </c>
      <c r="B1628" s="79">
        <v>46143</v>
      </c>
      <c r="C1628" s="73">
        <v>393</v>
      </c>
      <c r="D1628" s="73" t="s">
        <v>256</v>
      </c>
      <c r="E1628" s="73">
        <v>3</v>
      </c>
      <c r="F1628" s="75">
        <v>24.838799999999999</v>
      </c>
      <c r="G1628" s="75" t="s">
        <v>257</v>
      </c>
      <c r="H1628" s="75">
        <v>5.6471999999999998</v>
      </c>
      <c r="I1628" s="75">
        <v>27500.867200000001</v>
      </c>
      <c r="J1628" s="73">
        <v>348.2217</v>
      </c>
      <c r="K1628" s="75">
        <v>1650.8313000000001</v>
      </c>
      <c r="L1628" s="75">
        <v>26.3551</v>
      </c>
      <c r="M1628" s="73">
        <v>11.8062</v>
      </c>
      <c r="N1628" s="76">
        <v>126.05</v>
      </c>
      <c r="O1628" s="73">
        <v>4</v>
      </c>
      <c r="P1628" s="73"/>
      <c r="Q1628" s="66" t="s">
        <v>360</v>
      </c>
    </row>
    <row r="1629" spans="1:17" ht="13.8" customHeight="1" x14ac:dyDescent="0.3">
      <c r="A1629" s="70" t="s">
        <v>414</v>
      </c>
      <c r="B1629" s="78">
        <v>46143</v>
      </c>
      <c r="C1629" s="70">
        <v>394</v>
      </c>
      <c r="D1629" s="70" t="s">
        <v>256</v>
      </c>
      <c r="E1629" s="70">
        <v>4</v>
      </c>
      <c r="F1629" s="72">
        <v>104.07769999999999</v>
      </c>
      <c r="G1629" s="72">
        <v>1.7446999999999999</v>
      </c>
      <c r="H1629" s="72">
        <v>6.4173</v>
      </c>
      <c r="I1629" s="72">
        <v>48211.226600000002</v>
      </c>
      <c r="J1629" s="70">
        <v>534.20180000000005</v>
      </c>
      <c r="K1629" s="72">
        <v>11304.301799999999</v>
      </c>
      <c r="L1629" s="72">
        <v>38.872599999999998</v>
      </c>
      <c r="M1629" s="70">
        <v>12.920199999999999</v>
      </c>
      <c r="N1629" s="77">
        <v>126.13</v>
      </c>
      <c r="O1629" s="70">
        <v>4</v>
      </c>
      <c r="P1629" s="70"/>
      <c r="Q1629" s="62" t="s">
        <v>360</v>
      </c>
    </row>
    <row r="1630" spans="1:17" ht="13.8" customHeight="1" x14ac:dyDescent="0.3">
      <c r="A1630" s="73" t="s">
        <v>414</v>
      </c>
      <c r="B1630" s="79">
        <v>46143</v>
      </c>
      <c r="C1630" s="73">
        <v>395</v>
      </c>
      <c r="D1630" s="73" t="s">
        <v>256</v>
      </c>
      <c r="E1630" s="73">
        <v>4</v>
      </c>
      <c r="F1630" s="75">
        <v>124.33929999999999</v>
      </c>
      <c r="G1630" s="75">
        <v>1.2826</v>
      </c>
      <c r="H1630" s="75">
        <v>6.9387999999999996</v>
      </c>
      <c r="I1630" s="75">
        <v>49340.539100000002</v>
      </c>
      <c r="J1630" s="73">
        <v>488.08530000000002</v>
      </c>
      <c r="K1630" s="75">
        <v>10937.7988</v>
      </c>
      <c r="L1630" s="75">
        <v>35.197899999999997</v>
      </c>
      <c r="M1630" s="73">
        <v>9.9475999999999996</v>
      </c>
      <c r="N1630" s="76">
        <v>120.32</v>
      </c>
      <c r="O1630" s="73">
        <v>4</v>
      </c>
      <c r="P1630" s="73"/>
      <c r="Q1630" s="66" t="s">
        <v>360</v>
      </c>
    </row>
    <row r="1631" spans="1:17" ht="13.8" customHeight="1" x14ac:dyDescent="0.3">
      <c r="A1631" s="70" t="s">
        <v>414</v>
      </c>
      <c r="B1631" s="78">
        <v>46143</v>
      </c>
      <c r="C1631" s="70">
        <v>396</v>
      </c>
      <c r="D1631" s="70" t="s">
        <v>256</v>
      </c>
      <c r="E1631" s="70">
        <v>5</v>
      </c>
      <c r="F1631" s="72">
        <v>19.034700000000001</v>
      </c>
      <c r="G1631" s="72" t="s">
        <v>257</v>
      </c>
      <c r="H1631" s="72">
        <v>9.0173000000000005</v>
      </c>
      <c r="I1631" s="72">
        <v>44469.4375</v>
      </c>
      <c r="J1631" s="70">
        <v>659.92740000000003</v>
      </c>
      <c r="K1631" s="72">
        <v>2976.0214999999998</v>
      </c>
      <c r="L1631" s="72">
        <v>54.490600000000001</v>
      </c>
      <c r="M1631" s="70">
        <v>35.965400000000002</v>
      </c>
      <c r="N1631" s="77">
        <v>126.4</v>
      </c>
      <c r="O1631" s="70">
        <v>4</v>
      </c>
      <c r="P1631" s="70"/>
      <c r="Q1631" s="62" t="s">
        <v>360</v>
      </c>
    </row>
    <row r="1632" spans="1:17" ht="13.8" customHeight="1" x14ac:dyDescent="0.3">
      <c r="A1632" s="73" t="s">
        <v>414</v>
      </c>
      <c r="B1632" s="79">
        <v>46143</v>
      </c>
      <c r="C1632" s="73">
        <v>397</v>
      </c>
      <c r="D1632" s="73" t="s">
        <v>256</v>
      </c>
      <c r="E1632" s="73">
        <v>5</v>
      </c>
      <c r="F1632" s="75">
        <v>31.345099999999999</v>
      </c>
      <c r="G1632" s="75" t="s">
        <v>257</v>
      </c>
      <c r="H1632" s="75">
        <v>8.9923999999999999</v>
      </c>
      <c r="I1632" s="75">
        <v>42558.640599999999</v>
      </c>
      <c r="J1632" s="73">
        <v>578.99519999999995</v>
      </c>
      <c r="K1632" s="75">
        <v>4763.7318999999998</v>
      </c>
      <c r="L1632" s="75">
        <v>46.775100000000002</v>
      </c>
      <c r="M1632" s="73">
        <v>39.9574</v>
      </c>
      <c r="N1632" s="76">
        <v>120.51</v>
      </c>
      <c r="O1632" s="73">
        <v>4</v>
      </c>
      <c r="P1632" s="73"/>
      <c r="Q1632" s="66" t="s">
        <v>360</v>
      </c>
    </row>
    <row r="1633" spans="1:17" ht="13.8" customHeight="1" x14ac:dyDescent="0.3">
      <c r="A1633" s="70" t="s">
        <v>415</v>
      </c>
      <c r="B1633" s="78">
        <v>46143</v>
      </c>
      <c r="C1633" s="70">
        <v>398</v>
      </c>
      <c r="D1633" s="70" t="s">
        <v>256</v>
      </c>
      <c r="E1633" s="70">
        <v>1</v>
      </c>
      <c r="F1633" s="72">
        <v>21.045000000000002</v>
      </c>
      <c r="G1633" s="72" t="s">
        <v>257</v>
      </c>
      <c r="H1633" s="72">
        <v>10.523300000000001</v>
      </c>
      <c r="I1633" s="72">
        <v>34973.625</v>
      </c>
      <c r="J1633" s="70">
        <v>32.005099999999999</v>
      </c>
      <c r="K1633" s="72">
        <v>18009.5723</v>
      </c>
      <c r="L1633" s="72">
        <v>20.534800000000001</v>
      </c>
      <c r="M1633" s="70">
        <v>66.558700000000002</v>
      </c>
      <c r="N1633" s="77">
        <v>126.14</v>
      </c>
      <c r="O1633" s="70">
        <v>4</v>
      </c>
      <c r="P1633" s="70"/>
      <c r="Q1633" s="62" t="s">
        <v>360</v>
      </c>
    </row>
    <row r="1634" spans="1:17" ht="13.8" customHeight="1" x14ac:dyDescent="0.3">
      <c r="A1634" s="73" t="s">
        <v>415</v>
      </c>
      <c r="B1634" s="79">
        <v>46143</v>
      </c>
      <c r="C1634" s="73">
        <v>399</v>
      </c>
      <c r="D1634" s="73" t="s">
        <v>256</v>
      </c>
      <c r="E1634" s="73">
        <v>1</v>
      </c>
      <c r="F1634" s="75">
        <v>10.456</v>
      </c>
      <c r="G1634" s="75" t="s">
        <v>257</v>
      </c>
      <c r="H1634" s="75">
        <v>6.5194999999999999</v>
      </c>
      <c r="I1634" s="75">
        <v>33041.335899999998</v>
      </c>
      <c r="J1634" s="73">
        <v>476.36779999999999</v>
      </c>
      <c r="K1634" s="75">
        <v>6378.625</v>
      </c>
      <c r="L1634" s="75">
        <v>41.111400000000003</v>
      </c>
      <c r="M1634" s="73">
        <v>22.4742</v>
      </c>
      <c r="N1634" s="76">
        <v>126.23</v>
      </c>
      <c r="O1634" s="73">
        <v>4</v>
      </c>
      <c r="P1634" s="73"/>
      <c r="Q1634" s="66" t="s">
        <v>360</v>
      </c>
    </row>
    <row r="1635" spans="1:17" ht="13.8" customHeight="1" x14ac:dyDescent="0.3">
      <c r="A1635" s="70" t="s">
        <v>415</v>
      </c>
      <c r="B1635" s="78">
        <v>46143</v>
      </c>
      <c r="C1635" s="70">
        <v>400</v>
      </c>
      <c r="D1635" s="70" t="s">
        <v>256</v>
      </c>
      <c r="E1635" s="70">
        <v>2</v>
      </c>
      <c r="F1635" s="72">
        <v>12.117900000000001</v>
      </c>
      <c r="G1635" s="72" t="s">
        <v>257</v>
      </c>
      <c r="H1635" s="72">
        <v>7.0833000000000004</v>
      </c>
      <c r="I1635" s="72">
        <v>30175.458999999999</v>
      </c>
      <c r="J1635" s="70">
        <v>445.65539999999999</v>
      </c>
      <c r="K1635" s="72">
        <v>8877.6025000000009</v>
      </c>
      <c r="L1635" s="72">
        <v>37.287599999999998</v>
      </c>
      <c r="M1635" s="70">
        <v>30.1082</v>
      </c>
      <c r="N1635" s="77">
        <v>125.94</v>
      </c>
      <c r="O1635" s="70">
        <v>4</v>
      </c>
      <c r="P1635" s="70"/>
      <c r="Q1635" s="62" t="s">
        <v>360</v>
      </c>
    </row>
    <row r="1636" spans="1:17" ht="13.8" customHeight="1" x14ac:dyDescent="0.3">
      <c r="A1636" s="73" t="s">
        <v>415</v>
      </c>
      <c r="B1636" s="79">
        <v>46143</v>
      </c>
      <c r="C1636" s="73">
        <v>401</v>
      </c>
      <c r="D1636" s="73" t="s">
        <v>256</v>
      </c>
      <c r="E1636" s="73">
        <v>2</v>
      </c>
      <c r="F1636" s="75">
        <v>17.012499999999999</v>
      </c>
      <c r="G1636" s="75" t="s">
        <v>257</v>
      </c>
      <c r="H1636" s="75">
        <v>7.4303999999999997</v>
      </c>
      <c r="I1636" s="75">
        <v>31580.0527</v>
      </c>
      <c r="J1636" s="73">
        <v>493.58049999999997</v>
      </c>
      <c r="K1636" s="75">
        <v>6911.0522000000001</v>
      </c>
      <c r="L1636" s="75">
        <v>38.1541</v>
      </c>
      <c r="M1636" s="73">
        <v>25.700900000000001</v>
      </c>
      <c r="N1636" s="76">
        <v>120.36</v>
      </c>
      <c r="O1636" s="73">
        <v>4</v>
      </c>
      <c r="P1636" s="73"/>
      <c r="Q1636" s="66" t="s">
        <v>360</v>
      </c>
    </row>
    <row r="1637" spans="1:17" ht="13.8" customHeight="1" x14ac:dyDescent="0.3">
      <c r="A1637" s="70" t="s">
        <v>415</v>
      </c>
      <c r="B1637" s="78">
        <v>46143</v>
      </c>
      <c r="C1637" s="70">
        <v>402</v>
      </c>
      <c r="D1637" s="70" t="s">
        <v>256</v>
      </c>
      <c r="E1637" s="70">
        <v>3</v>
      </c>
      <c r="F1637" s="72">
        <v>13.9259</v>
      </c>
      <c r="G1637" s="72" t="s">
        <v>257</v>
      </c>
      <c r="H1637" s="72">
        <v>6.6177000000000001</v>
      </c>
      <c r="I1637" s="72">
        <v>27518.101600000002</v>
      </c>
      <c r="J1637" s="70">
        <v>283.08179999999999</v>
      </c>
      <c r="K1637" s="72">
        <v>11720.309600000001</v>
      </c>
      <c r="L1637" s="72">
        <v>25.089099999999998</v>
      </c>
      <c r="M1637" s="70">
        <v>13.2979</v>
      </c>
      <c r="N1637" s="77">
        <v>120.34</v>
      </c>
      <c r="O1637" s="70">
        <v>4</v>
      </c>
      <c r="P1637" s="70"/>
      <c r="Q1637" s="62" t="s">
        <v>360</v>
      </c>
    </row>
    <row r="1638" spans="1:17" ht="13.8" customHeight="1" x14ac:dyDescent="0.3">
      <c r="A1638" s="73" t="s">
        <v>415</v>
      </c>
      <c r="B1638" s="79">
        <v>46143</v>
      </c>
      <c r="C1638" s="73">
        <v>404</v>
      </c>
      <c r="D1638" s="73" t="s">
        <v>256</v>
      </c>
      <c r="E1638" s="73">
        <v>3</v>
      </c>
      <c r="F1638" s="75">
        <v>7.6176000000000004</v>
      </c>
      <c r="G1638" s="75" t="s">
        <v>257</v>
      </c>
      <c r="H1638" s="75">
        <v>5.8625999999999996</v>
      </c>
      <c r="I1638" s="75">
        <v>33956.042999999998</v>
      </c>
      <c r="J1638" s="73">
        <v>565.74879999999996</v>
      </c>
      <c r="K1638" s="75">
        <v>8931.7803000000004</v>
      </c>
      <c r="L1638" s="75">
        <v>33.351999999999997</v>
      </c>
      <c r="M1638" s="73">
        <v>7.0109000000000004</v>
      </c>
      <c r="N1638" s="76">
        <v>126.2</v>
      </c>
      <c r="O1638" s="73">
        <v>4</v>
      </c>
      <c r="P1638" s="73"/>
      <c r="Q1638" s="66" t="s">
        <v>360</v>
      </c>
    </row>
    <row r="1639" spans="1:17" ht="13.8" customHeight="1" x14ac:dyDescent="0.3">
      <c r="A1639" s="70" t="s">
        <v>415</v>
      </c>
      <c r="B1639" s="78">
        <v>46143</v>
      </c>
      <c r="C1639" s="70">
        <v>405</v>
      </c>
      <c r="D1639" s="70" t="s">
        <v>256</v>
      </c>
      <c r="E1639" s="70">
        <v>4</v>
      </c>
      <c r="F1639" s="72" t="s">
        <v>257</v>
      </c>
      <c r="G1639" s="72">
        <v>1.6411</v>
      </c>
      <c r="H1639" s="72">
        <v>14.6548</v>
      </c>
      <c r="I1639" s="72">
        <v>40158.726600000002</v>
      </c>
      <c r="J1639" s="70">
        <v>536.61400000000003</v>
      </c>
      <c r="K1639" s="72">
        <v>8505.4395000000004</v>
      </c>
      <c r="L1639" s="72">
        <v>100.4496</v>
      </c>
      <c r="M1639" s="70">
        <v>150.55600000000001</v>
      </c>
      <c r="N1639" s="77">
        <v>120.33</v>
      </c>
      <c r="O1639" s="70">
        <v>4</v>
      </c>
      <c r="P1639" s="70"/>
      <c r="Q1639" s="62" t="s">
        <v>360</v>
      </c>
    </row>
    <row r="1640" spans="1:17" ht="13.8" customHeight="1" x14ac:dyDescent="0.3">
      <c r="A1640" s="73" t="s">
        <v>415</v>
      </c>
      <c r="B1640" s="79">
        <v>46143</v>
      </c>
      <c r="C1640" s="73">
        <v>406</v>
      </c>
      <c r="D1640" s="73" t="s">
        <v>256</v>
      </c>
      <c r="E1640" s="73">
        <v>4</v>
      </c>
      <c r="F1640" s="75">
        <v>8.2242999999999995</v>
      </c>
      <c r="G1640" s="75">
        <v>3.3315000000000001</v>
      </c>
      <c r="H1640" s="75">
        <v>16.155799999999999</v>
      </c>
      <c r="I1640" s="75">
        <v>36925.636700000003</v>
      </c>
      <c r="J1640" s="73">
        <v>480.17899999999997</v>
      </c>
      <c r="K1640" s="75">
        <v>6604.2938999999997</v>
      </c>
      <c r="L1640" s="75">
        <v>79.482900000000001</v>
      </c>
      <c r="M1640" s="73">
        <v>110.71599999999999</v>
      </c>
      <c r="N1640" s="76">
        <v>120.47</v>
      </c>
      <c r="O1640" s="73">
        <v>4</v>
      </c>
      <c r="P1640" s="73"/>
      <c r="Q1640" s="66" t="s">
        <v>360</v>
      </c>
    </row>
    <row r="1641" spans="1:17" ht="13.8" customHeight="1" x14ac:dyDescent="0.3">
      <c r="A1641" s="70" t="s">
        <v>415</v>
      </c>
      <c r="B1641" s="78">
        <v>46143</v>
      </c>
      <c r="C1641" s="70">
        <v>407</v>
      </c>
      <c r="D1641" s="70" t="s">
        <v>256</v>
      </c>
      <c r="E1641" s="70">
        <v>5</v>
      </c>
      <c r="F1641" s="72">
        <v>7.6894</v>
      </c>
      <c r="G1641" s="72" t="s">
        <v>257</v>
      </c>
      <c r="H1641" s="72">
        <v>8.5793999999999997</v>
      </c>
      <c r="I1641" s="72">
        <v>37740.105499999998</v>
      </c>
      <c r="J1641" s="70">
        <v>609.45410000000004</v>
      </c>
      <c r="K1641" s="72">
        <v>1214.6927000000001</v>
      </c>
      <c r="L1641" s="72">
        <v>62.817599999999999</v>
      </c>
      <c r="M1641" s="70">
        <v>92.235799999999998</v>
      </c>
      <c r="N1641" s="77">
        <v>126.06</v>
      </c>
      <c r="O1641" s="70">
        <v>4</v>
      </c>
      <c r="P1641" s="70"/>
      <c r="Q1641" s="62" t="s">
        <v>360</v>
      </c>
    </row>
    <row r="1642" spans="1:17" ht="13.8" customHeight="1" x14ac:dyDescent="0.3">
      <c r="A1642" s="73" t="s">
        <v>415</v>
      </c>
      <c r="B1642" s="79">
        <v>46143</v>
      </c>
      <c r="C1642" s="73">
        <v>409</v>
      </c>
      <c r="D1642" s="73" t="s">
        <v>256</v>
      </c>
      <c r="E1642" s="73">
        <v>5</v>
      </c>
      <c r="F1642" s="75">
        <v>74.5852</v>
      </c>
      <c r="G1642" s="75">
        <v>2.5139999999999998</v>
      </c>
      <c r="H1642" s="75">
        <v>29.063500000000001</v>
      </c>
      <c r="I1642" s="75">
        <v>54617.117200000001</v>
      </c>
      <c r="J1642" s="73">
        <v>516.14419999999996</v>
      </c>
      <c r="K1642" s="75">
        <v>3345.0493000000001</v>
      </c>
      <c r="L1642" s="75">
        <v>116.6019</v>
      </c>
      <c r="M1642" s="73">
        <v>256.87279999999998</v>
      </c>
      <c r="N1642" s="76">
        <v>120.57</v>
      </c>
      <c r="O1642" s="73">
        <v>4</v>
      </c>
      <c r="P1642" s="73"/>
      <c r="Q1642" s="66" t="s">
        <v>360</v>
      </c>
    </row>
    <row r="1643" spans="1:17" ht="13.8" customHeight="1" x14ac:dyDescent="0.3">
      <c r="A1643" s="70" t="s">
        <v>415</v>
      </c>
      <c r="B1643" s="78">
        <v>46143</v>
      </c>
      <c r="C1643" s="70">
        <v>410</v>
      </c>
      <c r="D1643" s="70" t="s">
        <v>256</v>
      </c>
      <c r="E1643" s="70">
        <v>5</v>
      </c>
      <c r="F1643" s="72">
        <v>3.6351</v>
      </c>
      <c r="G1643" s="72" t="s">
        <v>257</v>
      </c>
      <c r="H1643" s="72">
        <v>9.5325000000000006</v>
      </c>
      <c r="I1643" s="72">
        <v>36634.332000000002</v>
      </c>
      <c r="J1643" s="70">
        <v>613.65899999999999</v>
      </c>
      <c r="K1643" s="72">
        <v>4693.8760000000002</v>
      </c>
      <c r="L1643" s="72">
        <v>53.779699999999998</v>
      </c>
      <c r="M1643" s="70">
        <v>61.963099999999997</v>
      </c>
      <c r="N1643" s="77">
        <v>120.66</v>
      </c>
      <c r="O1643" s="70">
        <v>4</v>
      </c>
      <c r="P1643" s="70"/>
      <c r="Q1643" s="62" t="s">
        <v>360</v>
      </c>
    </row>
    <row r="1644" spans="1:17" ht="13.8" customHeight="1" x14ac:dyDescent="0.3">
      <c r="A1644" s="73" t="s">
        <v>416</v>
      </c>
      <c r="B1644" s="79">
        <v>46143</v>
      </c>
      <c r="C1644" s="73">
        <v>411</v>
      </c>
      <c r="D1644" s="73" t="s">
        <v>256</v>
      </c>
      <c r="E1644" s="73">
        <v>1</v>
      </c>
      <c r="F1644" s="75">
        <v>8.3800000000000008</v>
      </c>
      <c r="G1644" s="75">
        <v>3.6595</v>
      </c>
      <c r="H1644" s="75">
        <v>12.747400000000001</v>
      </c>
      <c r="I1644" s="75">
        <v>38069.160199999998</v>
      </c>
      <c r="J1644" s="73">
        <v>491.98809999999997</v>
      </c>
      <c r="K1644" s="75">
        <v>5022.7147999999997</v>
      </c>
      <c r="L1644" s="75">
        <v>45.0535</v>
      </c>
      <c r="M1644" s="73">
        <v>32.588000000000001</v>
      </c>
      <c r="N1644" s="76">
        <v>120.6</v>
      </c>
      <c r="O1644" s="73">
        <v>4</v>
      </c>
      <c r="P1644" s="73"/>
      <c r="Q1644" s="66" t="s">
        <v>360</v>
      </c>
    </row>
    <row r="1645" spans="1:17" ht="13.8" customHeight="1" x14ac:dyDescent="0.3">
      <c r="A1645" s="70" t="s">
        <v>416</v>
      </c>
      <c r="B1645" s="78">
        <v>46143</v>
      </c>
      <c r="C1645" s="70">
        <v>412</v>
      </c>
      <c r="D1645" s="70" t="s">
        <v>256</v>
      </c>
      <c r="E1645" s="70">
        <v>1</v>
      </c>
      <c r="F1645" s="72">
        <v>10.593400000000001</v>
      </c>
      <c r="G1645" s="72">
        <v>2.8816000000000002</v>
      </c>
      <c r="H1645" s="72">
        <v>14.075900000000001</v>
      </c>
      <c r="I1645" s="72">
        <v>37472.109400000001</v>
      </c>
      <c r="J1645" s="70">
        <v>468.49509999999998</v>
      </c>
      <c r="K1645" s="72">
        <v>5601.4258</v>
      </c>
      <c r="L1645" s="72">
        <v>44.620199999999997</v>
      </c>
      <c r="M1645" s="70">
        <v>37.021299999999997</v>
      </c>
      <c r="N1645" s="77">
        <v>126.16</v>
      </c>
      <c r="O1645" s="70">
        <v>4</v>
      </c>
      <c r="P1645" s="70"/>
      <c r="Q1645" s="62" t="s">
        <v>360</v>
      </c>
    </row>
    <row r="1646" spans="1:17" ht="13.8" customHeight="1" x14ac:dyDescent="0.3">
      <c r="A1646" s="73" t="s">
        <v>416</v>
      </c>
      <c r="B1646" s="79">
        <v>46143</v>
      </c>
      <c r="C1646" s="73">
        <v>415</v>
      </c>
      <c r="D1646" s="73" t="s">
        <v>256</v>
      </c>
      <c r="E1646" s="73">
        <v>2</v>
      </c>
      <c r="F1646" s="75">
        <v>9.3240999999999996</v>
      </c>
      <c r="G1646" s="75">
        <v>5.8814000000000002</v>
      </c>
      <c r="H1646" s="75">
        <v>11.3286</v>
      </c>
      <c r="I1646" s="75">
        <v>37053.785199999998</v>
      </c>
      <c r="J1646" s="73">
        <v>426.56909999999999</v>
      </c>
      <c r="K1646" s="75">
        <v>6121.6543000000001</v>
      </c>
      <c r="L1646" s="75">
        <v>31.7423</v>
      </c>
      <c r="M1646" s="73">
        <v>8.3495000000000008</v>
      </c>
      <c r="N1646" s="76">
        <v>125.93</v>
      </c>
      <c r="O1646" s="73">
        <v>4</v>
      </c>
      <c r="P1646" s="73"/>
      <c r="Q1646" s="66" t="s">
        <v>360</v>
      </c>
    </row>
    <row r="1647" spans="1:17" ht="13.8" customHeight="1" x14ac:dyDescent="0.3">
      <c r="A1647" s="70" t="s">
        <v>416</v>
      </c>
      <c r="B1647" s="78">
        <v>46143</v>
      </c>
      <c r="C1647" s="70">
        <v>416</v>
      </c>
      <c r="D1647" s="70" t="s">
        <v>256</v>
      </c>
      <c r="E1647" s="70">
        <v>2</v>
      </c>
      <c r="F1647" s="72">
        <v>12.786300000000001</v>
      </c>
      <c r="G1647" s="72">
        <v>7.1356999999999999</v>
      </c>
      <c r="H1647" s="72">
        <v>13.054500000000001</v>
      </c>
      <c r="I1647" s="72">
        <v>40439.582000000002</v>
      </c>
      <c r="J1647" s="70">
        <v>560.26300000000003</v>
      </c>
      <c r="K1647" s="72">
        <v>6853.4540999999999</v>
      </c>
      <c r="L1647" s="72">
        <v>42.066200000000002</v>
      </c>
      <c r="M1647" s="70">
        <v>6.5636000000000001</v>
      </c>
      <c r="N1647" s="77">
        <v>125.98</v>
      </c>
      <c r="O1647" s="70">
        <v>4</v>
      </c>
      <c r="P1647" s="70"/>
      <c r="Q1647" s="62" t="s">
        <v>360</v>
      </c>
    </row>
    <row r="1648" spans="1:17" ht="13.8" customHeight="1" x14ac:dyDescent="0.3">
      <c r="A1648" s="73" t="s">
        <v>416</v>
      </c>
      <c r="B1648" s="79">
        <v>46143</v>
      </c>
      <c r="C1648" s="73">
        <v>417</v>
      </c>
      <c r="D1648" s="73" t="s">
        <v>256</v>
      </c>
      <c r="E1648" s="73">
        <v>3</v>
      </c>
      <c r="F1648" s="75">
        <v>8.0420999999999996</v>
      </c>
      <c r="G1648" s="75">
        <v>4.0415000000000001</v>
      </c>
      <c r="H1648" s="75">
        <v>24.689800000000002</v>
      </c>
      <c r="I1648" s="75">
        <v>35287.242200000001</v>
      </c>
      <c r="J1648" s="73">
        <v>826.98119999999994</v>
      </c>
      <c r="K1648" s="75">
        <v>12087.7695</v>
      </c>
      <c r="L1648" s="75">
        <v>43.220599999999997</v>
      </c>
      <c r="M1648" s="73">
        <v>63.229700000000001</v>
      </c>
      <c r="N1648" s="76">
        <v>126.12</v>
      </c>
      <c r="O1648" s="73">
        <v>4</v>
      </c>
      <c r="P1648" s="73"/>
      <c r="Q1648" s="66" t="s">
        <v>360</v>
      </c>
    </row>
    <row r="1649" spans="1:17" ht="13.8" customHeight="1" x14ac:dyDescent="0.3">
      <c r="A1649" s="70" t="s">
        <v>416</v>
      </c>
      <c r="B1649" s="78">
        <v>46143</v>
      </c>
      <c r="C1649" s="70">
        <v>418</v>
      </c>
      <c r="D1649" s="70" t="s">
        <v>256</v>
      </c>
      <c r="E1649" s="70">
        <v>3</v>
      </c>
      <c r="F1649" s="72">
        <v>3.0581999999999998</v>
      </c>
      <c r="G1649" s="72">
        <v>12.8866</v>
      </c>
      <c r="H1649" s="72">
        <v>63.204000000000001</v>
      </c>
      <c r="I1649" s="72">
        <v>40620.195299999999</v>
      </c>
      <c r="J1649" s="70">
        <v>614.12109999999996</v>
      </c>
      <c r="K1649" s="72">
        <v>20921.5488</v>
      </c>
      <c r="L1649" s="72">
        <v>107.62260000000001</v>
      </c>
      <c r="M1649" s="70">
        <v>272.7432</v>
      </c>
      <c r="N1649" s="77">
        <v>126.23</v>
      </c>
      <c r="O1649" s="70">
        <v>4</v>
      </c>
      <c r="P1649" s="70"/>
      <c r="Q1649" s="62" t="s">
        <v>360</v>
      </c>
    </row>
    <row r="1650" spans="1:17" ht="13.8" customHeight="1" x14ac:dyDescent="0.3">
      <c r="A1650" s="73" t="s">
        <v>416</v>
      </c>
      <c r="B1650" s="79">
        <v>46143</v>
      </c>
      <c r="C1650" s="73">
        <v>419</v>
      </c>
      <c r="D1650" s="73" t="s">
        <v>256</v>
      </c>
      <c r="E1650" s="73">
        <v>4</v>
      </c>
      <c r="F1650" s="75">
        <v>3.4468999999999999</v>
      </c>
      <c r="G1650" s="75">
        <v>8.0873000000000008</v>
      </c>
      <c r="H1650" s="75">
        <v>45.571199999999997</v>
      </c>
      <c r="I1650" s="75">
        <v>34431.992200000001</v>
      </c>
      <c r="J1650" s="73">
        <v>602.91890000000001</v>
      </c>
      <c r="K1650" s="75">
        <v>7498.4359999999997</v>
      </c>
      <c r="L1650" s="75">
        <v>46.718899999999998</v>
      </c>
      <c r="M1650" s="73">
        <v>69.567099999999996</v>
      </c>
      <c r="N1650" s="76">
        <v>126</v>
      </c>
      <c r="O1650" s="73">
        <v>4</v>
      </c>
      <c r="P1650" s="73"/>
      <c r="Q1650" s="66" t="s">
        <v>360</v>
      </c>
    </row>
    <row r="1651" spans="1:17" ht="13.8" customHeight="1" x14ac:dyDescent="0.3">
      <c r="A1651" s="70" t="s">
        <v>416</v>
      </c>
      <c r="B1651" s="78">
        <v>46143</v>
      </c>
      <c r="C1651" s="70">
        <v>420</v>
      </c>
      <c r="D1651" s="70" t="s">
        <v>256</v>
      </c>
      <c r="E1651" s="70">
        <v>4</v>
      </c>
      <c r="F1651" s="72">
        <v>2.5131999999999999</v>
      </c>
      <c r="G1651" s="72" t="s">
        <v>257</v>
      </c>
      <c r="H1651" s="72">
        <v>13.404299999999999</v>
      </c>
      <c r="I1651" s="72">
        <v>33788.925799999997</v>
      </c>
      <c r="J1651" s="70">
        <v>654.75189999999998</v>
      </c>
      <c r="K1651" s="72">
        <v>9662.4727000000003</v>
      </c>
      <c r="L1651" s="72">
        <v>55.703200000000002</v>
      </c>
      <c r="M1651" s="70">
        <v>77.396799999999999</v>
      </c>
      <c r="N1651" s="77">
        <v>126.18</v>
      </c>
      <c r="O1651" s="70">
        <v>4</v>
      </c>
      <c r="P1651" s="70"/>
      <c r="Q1651" s="62" t="s">
        <v>360</v>
      </c>
    </row>
    <row r="1652" spans="1:17" ht="13.8" customHeight="1" x14ac:dyDescent="0.3">
      <c r="A1652" s="73" t="s">
        <v>416</v>
      </c>
      <c r="B1652" s="79">
        <v>46143</v>
      </c>
      <c r="C1652" s="73">
        <v>421</v>
      </c>
      <c r="D1652" s="73" t="s">
        <v>256</v>
      </c>
      <c r="E1652" s="73">
        <v>5</v>
      </c>
      <c r="F1652" s="75">
        <v>7.1696</v>
      </c>
      <c r="G1652" s="75" t="s">
        <v>257</v>
      </c>
      <c r="H1652" s="75">
        <v>8.1394000000000002</v>
      </c>
      <c r="I1652" s="75">
        <v>36387.632799999999</v>
      </c>
      <c r="J1652" s="73">
        <v>584.04169999999999</v>
      </c>
      <c r="K1652" s="75">
        <v>3736.2703000000001</v>
      </c>
      <c r="L1652" s="75">
        <v>56.435000000000002</v>
      </c>
      <c r="M1652" s="73">
        <v>44.976500000000001</v>
      </c>
      <c r="N1652" s="76">
        <v>126.37</v>
      </c>
      <c r="O1652" s="73">
        <v>4</v>
      </c>
      <c r="P1652" s="73"/>
      <c r="Q1652" s="66" t="s">
        <v>360</v>
      </c>
    </row>
    <row r="1653" spans="1:17" ht="13.8" customHeight="1" x14ac:dyDescent="0.3">
      <c r="A1653" s="70" t="s">
        <v>416</v>
      </c>
      <c r="B1653" s="78">
        <v>46143</v>
      </c>
      <c r="C1653" s="70">
        <v>423</v>
      </c>
      <c r="D1653" s="70" t="s">
        <v>256</v>
      </c>
      <c r="E1653" s="70">
        <v>5</v>
      </c>
      <c r="F1653" s="72">
        <v>6.0678000000000001</v>
      </c>
      <c r="G1653" s="72" t="s">
        <v>257</v>
      </c>
      <c r="H1653" s="72">
        <v>7.6195000000000004</v>
      </c>
      <c r="I1653" s="72">
        <v>37066.644500000002</v>
      </c>
      <c r="J1653" s="70">
        <v>592.22190000000001</v>
      </c>
      <c r="K1653" s="72">
        <v>4576.5424999999996</v>
      </c>
      <c r="L1653" s="72">
        <v>74.877499999999998</v>
      </c>
      <c r="M1653" s="70">
        <v>61.7226</v>
      </c>
      <c r="N1653" s="77">
        <v>126.21</v>
      </c>
      <c r="O1653" s="70">
        <v>4</v>
      </c>
      <c r="P1653" s="70"/>
      <c r="Q1653" s="62" t="s">
        <v>360</v>
      </c>
    </row>
    <row r="1654" spans="1:17" ht="13.8" customHeight="1" x14ac:dyDescent="0.3">
      <c r="A1654" s="73" t="s">
        <v>417</v>
      </c>
      <c r="B1654" s="79">
        <v>46143</v>
      </c>
      <c r="C1654" s="73">
        <v>424</v>
      </c>
      <c r="D1654" s="73" t="s">
        <v>256</v>
      </c>
      <c r="E1654" s="73">
        <v>1</v>
      </c>
      <c r="F1654" s="75" t="s">
        <v>257</v>
      </c>
      <c r="G1654" s="75" t="s">
        <v>257</v>
      </c>
      <c r="H1654" s="75">
        <v>11.3569</v>
      </c>
      <c r="I1654" s="75">
        <v>36313.644500000002</v>
      </c>
      <c r="J1654" s="73">
        <v>537.06650000000002</v>
      </c>
      <c r="K1654" s="75">
        <v>1672.2766999999999</v>
      </c>
      <c r="L1654" s="75">
        <v>40.214500000000001</v>
      </c>
      <c r="M1654" s="73">
        <v>15.5372</v>
      </c>
      <c r="N1654" s="76">
        <v>126.3</v>
      </c>
      <c r="O1654" s="73">
        <v>4</v>
      </c>
      <c r="P1654" s="73"/>
      <c r="Q1654" s="66" t="s">
        <v>360</v>
      </c>
    </row>
    <row r="1655" spans="1:17" ht="13.8" customHeight="1" x14ac:dyDescent="0.3">
      <c r="A1655" s="70" t="s">
        <v>417</v>
      </c>
      <c r="B1655" s="78">
        <v>46143</v>
      </c>
      <c r="C1655" s="70">
        <v>425</v>
      </c>
      <c r="D1655" s="70" t="s">
        <v>256</v>
      </c>
      <c r="E1655" s="70">
        <v>1</v>
      </c>
      <c r="F1655" s="72" t="s">
        <v>257</v>
      </c>
      <c r="G1655" s="72">
        <v>1.8246</v>
      </c>
      <c r="H1655" s="72">
        <v>10.936199999999999</v>
      </c>
      <c r="I1655" s="72">
        <v>37105.359400000001</v>
      </c>
      <c r="J1655" s="70">
        <v>581.87040000000002</v>
      </c>
      <c r="K1655" s="72">
        <v>2302.7896000000001</v>
      </c>
      <c r="L1655" s="72">
        <v>39.662199999999999</v>
      </c>
      <c r="M1655" s="70">
        <v>11.831099999999999</v>
      </c>
      <c r="N1655" s="77">
        <v>120.19</v>
      </c>
      <c r="O1655" s="70">
        <v>4</v>
      </c>
      <c r="P1655" s="70"/>
      <c r="Q1655" s="62" t="s">
        <v>360</v>
      </c>
    </row>
    <row r="1656" spans="1:17" ht="13.8" customHeight="1" x14ac:dyDescent="0.3">
      <c r="A1656" s="73" t="s">
        <v>417</v>
      </c>
      <c r="B1656" s="79">
        <v>46143</v>
      </c>
      <c r="C1656" s="73">
        <v>426</v>
      </c>
      <c r="D1656" s="73" t="s">
        <v>256</v>
      </c>
      <c r="E1656" s="73">
        <v>2</v>
      </c>
      <c r="F1656" s="75" t="s">
        <v>257</v>
      </c>
      <c r="G1656" s="75" t="s">
        <v>257</v>
      </c>
      <c r="H1656" s="75">
        <v>7.3653000000000004</v>
      </c>
      <c r="I1656" s="75">
        <v>37740.945299999999</v>
      </c>
      <c r="J1656" s="73">
        <v>1228.6174000000001</v>
      </c>
      <c r="K1656" s="75">
        <v>2574.7199999999998</v>
      </c>
      <c r="L1656" s="75">
        <v>61.903599999999997</v>
      </c>
      <c r="M1656" s="73">
        <v>35.068100000000001</v>
      </c>
      <c r="N1656" s="76">
        <v>125.92</v>
      </c>
      <c r="O1656" s="73">
        <v>4</v>
      </c>
      <c r="P1656" s="73"/>
      <c r="Q1656" s="66" t="s">
        <v>360</v>
      </c>
    </row>
    <row r="1657" spans="1:17" ht="13.8" customHeight="1" x14ac:dyDescent="0.3">
      <c r="A1657" s="70" t="s">
        <v>417</v>
      </c>
      <c r="B1657" s="78">
        <v>46143</v>
      </c>
      <c r="C1657" s="70">
        <v>427</v>
      </c>
      <c r="D1657" s="70" t="s">
        <v>256</v>
      </c>
      <c r="E1657" s="70">
        <v>2</v>
      </c>
      <c r="F1657" s="72" t="s">
        <v>257</v>
      </c>
      <c r="G1657" s="72" t="s">
        <v>257</v>
      </c>
      <c r="H1657" s="72">
        <v>10.5793</v>
      </c>
      <c r="I1657" s="72">
        <v>37279.894500000002</v>
      </c>
      <c r="J1657" s="70">
        <v>1334.6047000000001</v>
      </c>
      <c r="K1657" s="72">
        <v>3041.4978000000001</v>
      </c>
      <c r="L1657" s="72">
        <v>59.196899999999999</v>
      </c>
      <c r="M1657" s="70">
        <v>37.597299999999997</v>
      </c>
      <c r="N1657" s="77">
        <v>126.02</v>
      </c>
      <c r="O1657" s="70">
        <v>4</v>
      </c>
      <c r="P1657" s="70"/>
      <c r="Q1657" s="62" t="s">
        <v>360</v>
      </c>
    </row>
    <row r="1658" spans="1:17" ht="13.8" customHeight="1" x14ac:dyDescent="0.3">
      <c r="A1658" s="73" t="s">
        <v>417</v>
      </c>
      <c r="B1658" s="79">
        <v>46143</v>
      </c>
      <c r="C1658" s="73">
        <v>428</v>
      </c>
      <c r="D1658" s="73" t="s">
        <v>256</v>
      </c>
      <c r="E1658" s="73">
        <v>3</v>
      </c>
      <c r="F1658" s="75" t="s">
        <v>257</v>
      </c>
      <c r="G1658" s="75" t="s">
        <v>257</v>
      </c>
      <c r="H1658" s="75">
        <v>6.6249000000000002</v>
      </c>
      <c r="I1658" s="75">
        <v>34425.941400000003</v>
      </c>
      <c r="J1658" s="73">
        <v>556.04830000000004</v>
      </c>
      <c r="K1658" s="75">
        <v>1038.5491</v>
      </c>
      <c r="L1658" s="75">
        <v>41.837699999999998</v>
      </c>
      <c r="M1658" s="73">
        <v>42.569600000000001</v>
      </c>
      <c r="N1658" s="76">
        <v>126.28</v>
      </c>
      <c r="O1658" s="73">
        <v>4</v>
      </c>
      <c r="P1658" s="73"/>
      <c r="Q1658" s="66" t="s">
        <v>360</v>
      </c>
    </row>
    <row r="1659" spans="1:17" ht="13.8" customHeight="1" x14ac:dyDescent="0.3">
      <c r="A1659" s="70" t="s">
        <v>417</v>
      </c>
      <c r="B1659" s="78">
        <v>46143</v>
      </c>
      <c r="C1659" s="70">
        <v>429</v>
      </c>
      <c r="D1659" s="70" t="s">
        <v>256</v>
      </c>
      <c r="E1659" s="70">
        <v>3</v>
      </c>
      <c r="F1659" s="72" t="s">
        <v>257</v>
      </c>
      <c r="G1659" s="72" t="s">
        <v>257</v>
      </c>
      <c r="H1659" s="72">
        <v>7.2855999999999996</v>
      </c>
      <c r="I1659" s="72">
        <v>36538.589800000002</v>
      </c>
      <c r="J1659" s="70">
        <v>757.47230000000002</v>
      </c>
      <c r="K1659" s="72">
        <v>1779.1071999999999</v>
      </c>
      <c r="L1659" s="72">
        <v>50.484900000000003</v>
      </c>
      <c r="M1659" s="70">
        <v>55.641300000000001</v>
      </c>
      <c r="N1659" s="77">
        <v>120.84</v>
      </c>
      <c r="O1659" s="70">
        <v>4</v>
      </c>
      <c r="P1659" s="70"/>
      <c r="Q1659" s="62" t="s">
        <v>360</v>
      </c>
    </row>
    <row r="1660" spans="1:17" ht="13.8" customHeight="1" x14ac:dyDescent="0.3">
      <c r="A1660" s="73" t="s">
        <v>417</v>
      </c>
      <c r="B1660" s="79">
        <v>46143</v>
      </c>
      <c r="C1660" s="73">
        <v>430</v>
      </c>
      <c r="D1660" s="73" t="s">
        <v>256</v>
      </c>
      <c r="E1660" s="73">
        <v>4</v>
      </c>
      <c r="F1660" s="75">
        <v>9.1024999999999991</v>
      </c>
      <c r="G1660" s="75" t="s">
        <v>257</v>
      </c>
      <c r="H1660" s="75">
        <v>9.4314</v>
      </c>
      <c r="I1660" s="75">
        <v>95321.351599999995</v>
      </c>
      <c r="J1660" s="73">
        <v>538.9058</v>
      </c>
      <c r="K1660" s="75">
        <v>26141.208999999999</v>
      </c>
      <c r="L1660" s="75">
        <v>82.224199999999996</v>
      </c>
      <c r="M1660" s="73">
        <v>50.539000000000001</v>
      </c>
      <c r="N1660" s="76">
        <v>120.42</v>
      </c>
      <c r="O1660" s="73">
        <v>4</v>
      </c>
      <c r="P1660" s="73"/>
      <c r="Q1660" s="66" t="s">
        <v>360</v>
      </c>
    </row>
    <row r="1661" spans="1:17" ht="13.8" customHeight="1" x14ac:dyDescent="0.3">
      <c r="A1661" s="70" t="s">
        <v>417</v>
      </c>
      <c r="B1661" s="78">
        <v>46143</v>
      </c>
      <c r="C1661" s="70">
        <v>431</v>
      </c>
      <c r="D1661" s="70" t="s">
        <v>256</v>
      </c>
      <c r="E1661" s="70">
        <v>4</v>
      </c>
      <c r="F1661" s="72">
        <v>6.6356999999999999</v>
      </c>
      <c r="G1661" s="72" t="s">
        <v>257</v>
      </c>
      <c r="H1661" s="72">
        <v>8.9289000000000005</v>
      </c>
      <c r="I1661" s="72">
        <v>49547.035199999998</v>
      </c>
      <c r="J1661" s="70">
        <v>694.46749999999997</v>
      </c>
      <c r="K1661" s="72">
        <v>6104.8257000000003</v>
      </c>
      <c r="L1661" s="72">
        <v>46.8538</v>
      </c>
      <c r="M1661" s="70">
        <v>14.8841</v>
      </c>
      <c r="N1661" s="77">
        <v>126.37</v>
      </c>
      <c r="O1661" s="70">
        <v>4</v>
      </c>
      <c r="P1661" s="70"/>
      <c r="Q1661" s="62" t="s">
        <v>360</v>
      </c>
    </row>
    <row r="1662" spans="1:17" ht="13.8" customHeight="1" x14ac:dyDescent="0.3">
      <c r="A1662" s="73" t="s">
        <v>417</v>
      </c>
      <c r="B1662" s="79">
        <v>46143</v>
      </c>
      <c r="C1662" s="73">
        <v>432</v>
      </c>
      <c r="D1662" s="73" t="s">
        <v>256</v>
      </c>
      <c r="E1662" s="73">
        <v>5</v>
      </c>
      <c r="F1662" s="75">
        <v>2.7423000000000002</v>
      </c>
      <c r="G1662" s="75" t="s">
        <v>257</v>
      </c>
      <c r="H1662" s="75">
        <v>11.7898</v>
      </c>
      <c r="I1662" s="75">
        <v>35703.691400000003</v>
      </c>
      <c r="J1662" s="73">
        <v>718.48580000000004</v>
      </c>
      <c r="K1662" s="75">
        <v>3539.5958999999998</v>
      </c>
      <c r="L1662" s="75">
        <v>46.2164</v>
      </c>
      <c r="M1662" s="73">
        <v>50.533299999999997</v>
      </c>
      <c r="N1662" s="76">
        <v>120.45</v>
      </c>
      <c r="O1662" s="73">
        <v>4</v>
      </c>
      <c r="P1662" s="73"/>
      <c r="Q1662" s="66" t="s">
        <v>360</v>
      </c>
    </row>
    <row r="1663" spans="1:17" ht="13.8" customHeight="1" x14ac:dyDescent="0.3">
      <c r="A1663" s="70" t="s">
        <v>417</v>
      </c>
      <c r="B1663" s="78">
        <v>46143</v>
      </c>
      <c r="C1663" s="70">
        <v>433</v>
      </c>
      <c r="D1663" s="70" t="s">
        <v>256</v>
      </c>
      <c r="E1663" s="70">
        <v>5</v>
      </c>
      <c r="F1663" s="72">
        <v>7.3682999999999996</v>
      </c>
      <c r="G1663" s="72" t="s">
        <v>257</v>
      </c>
      <c r="H1663" s="72">
        <v>8.6629000000000005</v>
      </c>
      <c r="I1663" s="72">
        <v>35975.679700000001</v>
      </c>
      <c r="J1663" s="70">
        <v>683.02390000000003</v>
      </c>
      <c r="K1663" s="72">
        <v>2150.9180000000001</v>
      </c>
      <c r="L1663" s="72">
        <v>45.441699999999997</v>
      </c>
      <c r="M1663" s="70">
        <v>44.557499999999997</v>
      </c>
      <c r="N1663" s="77">
        <v>126.27</v>
      </c>
      <c r="O1663" s="70">
        <v>4</v>
      </c>
      <c r="P1663" s="70"/>
      <c r="Q1663" s="62" t="s">
        <v>360</v>
      </c>
    </row>
    <row r="1664" spans="1:17" ht="13.8" customHeight="1" x14ac:dyDescent="0.3">
      <c r="A1664" s="73" t="s">
        <v>418</v>
      </c>
      <c r="B1664" s="79">
        <v>46146</v>
      </c>
      <c r="C1664" s="73">
        <v>439</v>
      </c>
      <c r="D1664" s="73" t="s">
        <v>256</v>
      </c>
      <c r="E1664" s="73">
        <v>1</v>
      </c>
      <c r="F1664" s="75">
        <v>11.8302</v>
      </c>
      <c r="G1664" s="75">
        <v>3.4426999999999999</v>
      </c>
      <c r="H1664" s="75">
        <v>11.4183</v>
      </c>
      <c r="I1664" s="75">
        <v>44370.328099999999</v>
      </c>
      <c r="J1664" s="73">
        <v>411.23320000000001</v>
      </c>
      <c r="K1664" s="75">
        <v>15852.456099999999</v>
      </c>
      <c r="L1664" s="75">
        <v>29.521999999999998</v>
      </c>
      <c r="M1664" s="73">
        <v>9.7515000000000001</v>
      </c>
      <c r="N1664" s="76">
        <v>125.99</v>
      </c>
      <c r="O1664" s="73">
        <v>4</v>
      </c>
      <c r="P1664" s="73"/>
      <c r="Q1664" s="66" t="s">
        <v>360</v>
      </c>
    </row>
    <row r="1665" spans="1:17" ht="13.8" customHeight="1" x14ac:dyDescent="0.3">
      <c r="A1665" s="70" t="s">
        <v>418</v>
      </c>
      <c r="B1665" s="78">
        <v>46146</v>
      </c>
      <c r="C1665" s="70">
        <v>440</v>
      </c>
      <c r="D1665" s="70" t="s">
        <v>256</v>
      </c>
      <c r="E1665" s="70">
        <v>1</v>
      </c>
      <c r="F1665" s="72">
        <v>12.4773</v>
      </c>
      <c r="G1665" s="72" t="s">
        <v>257</v>
      </c>
      <c r="H1665" s="72">
        <v>11.7235</v>
      </c>
      <c r="I1665" s="72">
        <v>45713.773399999998</v>
      </c>
      <c r="J1665" s="70">
        <v>470.2441</v>
      </c>
      <c r="K1665" s="72">
        <v>13316.765600000001</v>
      </c>
      <c r="L1665" s="72">
        <v>34.189700000000002</v>
      </c>
      <c r="M1665" s="70">
        <v>5.1349999999999998</v>
      </c>
      <c r="N1665" s="77">
        <v>125.89</v>
      </c>
      <c r="O1665" s="70">
        <v>4</v>
      </c>
      <c r="P1665" s="70"/>
      <c r="Q1665" s="62" t="s">
        <v>360</v>
      </c>
    </row>
    <row r="1666" spans="1:17" ht="13.8" customHeight="1" x14ac:dyDescent="0.3">
      <c r="A1666" s="73" t="s">
        <v>418</v>
      </c>
      <c r="B1666" s="79">
        <v>46146</v>
      </c>
      <c r="C1666" s="73">
        <v>441</v>
      </c>
      <c r="D1666" s="73" t="s">
        <v>256</v>
      </c>
      <c r="E1666" s="73">
        <v>2</v>
      </c>
      <c r="F1666" s="75">
        <v>7.0713999999999997</v>
      </c>
      <c r="G1666" s="75" t="s">
        <v>257</v>
      </c>
      <c r="H1666" s="75">
        <v>9.2545999999999999</v>
      </c>
      <c r="I1666" s="75">
        <v>45508.531199999998</v>
      </c>
      <c r="J1666" s="73">
        <v>380.7987</v>
      </c>
      <c r="K1666" s="75">
        <v>19458.652300000002</v>
      </c>
      <c r="L1666" s="75">
        <v>25.0291</v>
      </c>
      <c r="M1666" s="73">
        <v>8.9742999999999995</v>
      </c>
      <c r="N1666" s="76">
        <v>120.51</v>
      </c>
      <c r="O1666" s="73">
        <v>4</v>
      </c>
      <c r="P1666" s="73"/>
      <c r="Q1666" s="66" t="s">
        <v>360</v>
      </c>
    </row>
    <row r="1667" spans="1:17" ht="13.8" customHeight="1" x14ac:dyDescent="0.3">
      <c r="A1667" s="70" t="s">
        <v>418</v>
      </c>
      <c r="B1667" s="78">
        <v>46146</v>
      </c>
      <c r="C1667" s="70">
        <v>442</v>
      </c>
      <c r="D1667" s="70" t="s">
        <v>256</v>
      </c>
      <c r="E1667" s="70">
        <v>2</v>
      </c>
      <c r="F1667" s="72">
        <v>9.5356000000000005</v>
      </c>
      <c r="G1667" s="72">
        <v>2.3597000000000001</v>
      </c>
      <c r="H1667" s="72">
        <v>8.4880999999999993</v>
      </c>
      <c r="I1667" s="72">
        <v>57431.382799999999</v>
      </c>
      <c r="J1667" s="70">
        <v>395.71789999999999</v>
      </c>
      <c r="K1667" s="72">
        <v>21216.4434</v>
      </c>
      <c r="L1667" s="72">
        <v>26.605599999999999</v>
      </c>
      <c r="M1667" s="70">
        <v>11.001300000000001</v>
      </c>
      <c r="N1667" s="77">
        <v>126.2</v>
      </c>
      <c r="O1667" s="70">
        <v>4</v>
      </c>
      <c r="P1667" s="70"/>
      <c r="Q1667" s="62" t="s">
        <v>360</v>
      </c>
    </row>
    <row r="1668" spans="1:17" ht="13.8" customHeight="1" x14ac:dyDescent="0.3">
      <c r="A1668" s="73" t="s">
        <v>418</v>
      </c>
      <c r="B1668" s="79">
        <v>46146</v>
      </c>
      <c r="C1668" s="73">
        <v>443</v>
      </c>
      <c r="D1668" s="73" t="s">
        <v>256</v>
      </c>
      <c r="E1668" s="73">
        <v>3</v>
      </c>
      <c r="F1668" s="75">
        <v>15.0983</v>
      </c>
      <c r="G1668" s="75">
        <v>1.5044999999999999</v>
      </c>
      <c r="H1668" s="75">
        <v>11.7729</v>
      </c>
      <c r="I1668" s="75">
        <v>54703.101600000002</v>
      </c>
      <c r="J1668" s="73">
        <v>419.04059999999998</v>
      </c>
      <c r="K1668" s="75">
        <v>16890.591799999998</v>
      </c>
      <c r="L1668" s="75">
        <v>38.113900000000001</v>
      </c>
      <c r="M1668" s="73">
        <v>17.3812</v>
      </c>
      <c r="N1668" s="76">
        <v>126.24</v>
      </c>
      <c r="O1668" s="73">
        <v>4</v>
      </c>
      <c r="P1668" s="73"/>
      <c r="Q1668" s="66" t="s">
        <v>360</v>
      </c>
    </row>
    <row r="1669" spans="1:17" ht="13.8" customHeight="1" x14ac:dyDescent="0.3">
      <c r="A1669" s="70" t="s">
        <v>418</v>
      </c>
      <c r="B1669" s="78">
        <v>46146</v>
      </c>
      <c r="C1669" s="70">
        <v>444</v>
      </c>
      <c r="D1669" s="70" t="s">
        <v>256</v>
      </c>
      <c r="E1669" s="70">
        <v>3</v>
      </c>
      <c r="F1669" s="72">
        <v>11.988799999999999</v>
      </c>
      <c r="G1669" s="72" t="s">
        <v>257</v>
      </c>
      <c r="H1669" s="72">
        <v>11.966799999999999</v>
      </c>
      <c r="I1669" s="72">
        <v>52031.75</v>
      </c>
      <c r="J1669" s="70">
        <v>425.64839999999998</v>
      </c>
      <c r="K1669" s="72">
        <v>16234.886699999999</v>
      </c>
      <c r="L1669" s="72">
        <v>31.9177</v>
      </c>
      <c r="M1669" s="70">
        <v>17.488199999999999</v>
      </c>
      <c r="N1669" s="77">
        <v>120.57</v>
      </c>
      <c r="O1669" s="70">
        <v>4</v>
      </c>
      <c r="P1669" s="70"/>
      <c r="Q1669" s="62" t="s">
        <v>360</v>
      </c>
    </row>
    <row r="1670" spans="1:17" ht="13.8" customHeight="1" x14ac:dyDescent="0.3">
      <c r="A1670" s="73" t="s">
        <v>418</v>
      </c>
      <c r="B1670" s="79">
        <v>46146</v>
      </c>
      <c r="C1670" s="73">
        <v>445</v>
      </c>
      <c r="D1670" s="73" t="s">
        <v>256</v>
      </c>
      <c r="E1670" s="73">
        <v>4</v>
      </c>
      <c r="F1670" s="75">
        <v>6.4923999999999999</v>
      </c>
      <c r="G1670" s="75">
        <v>1.5073000000000001</v>
      </c>
      <c r="H1670" s="75">
        <v>10.161899999999999</v>
      </c>
      <c r="I1670" s="75">
        <v>53926.671900000001</v>
      </c>
      <c r="J1670" s="73">
        <v>401.99439999999998</v>
      </c>
      <c r="K1670" s="75">
        <v>18441.714800000002</v>
      </c>
      <c r="L1670" s="75">
        <v>40.329799999999999</v>
      </c>
      <c r="M1670" s="73">
        <v>15.9132</v>
      </c>
      <c r="N1670" s="76">
        <v>125.83</v>
      </c>
      <c r="O1670" s="73">
        <v>4</v>
      </c>
      <c r="P1670" s="73"/>
      <c r="Q1670" s="66" t="s">
        <v>360</v>
      </c>
    </row>
    <row r="1671" spans="1:17" ht="13.8" customHeight="1" x14ac:dyDescent="0.3">
      <c r="A1671" s="70" t="s">
        <v>418</v>
      </c>
      <c r="B1671" s="78">
        <v>46146</v>
      </c>
      <c r="C1671" s="70">
        <v>446</v>
      </c>
      <c r="D1671" s="70" t="s">
        <v>256</v>
      </c>
      <c r="E1671" s="70">
        <v>4</v>
      </c>
      <c r="F1671" s="72">
        <v>6.6664000000000003</v>
      </c>
      <c r="G1671" s="72">
        <v>1.4503999999999999</v>
      </c>
      <c r="H1671" s="72">
        <v>10.023099999999999</v>
      </c>
      <c r="I1671" s="72">
        <v>52975.460899999998</v>
      </c>
      <c r="J1671" s="70">
        <v>413.53089999999997</v>
      </c>
      <c r="K1671" s="72">
        <v>17084.519499999999</v>
      </c>
      <c r="L1671" s="72">
        <v>35.297199999999997</v>
      </c>
      <c r="M1671" s="70">
        <v>10.2432</v>
      </c>
      <c r="N1671" s="77">
        <v>120.61</v>
      </c>
      <c r="O1671" s="70">
        <v>4</v>
      </c>
      <c r="P1671" s="70"/>
      <c r="Q1671" s="62" t="s">
        <v>360</v>
      </c>
    </row>
    <row r="1672" spans="1:17" ht="13.8" customHeight="1" x14ac:dyDescent="0.3">
      <c r="A1672" s="73" t="s">
        <v>418</v>
      </c>
      <c r="B1672" s="79">
        <v>46146</v>
      </c>
      <c r="C1672" s="73">
        <v>447</v>
      </c>
      <c r="D1672" s="73" t="s">
        <v>256</v>
      </c>
      <c r="E1672" s="73">
        <v>5</v>
      </c>
      <c r="F1672" s="75" t="s">
        <v>257</v>
      </c>
      <c r="G1672" s="75" t="s">
        <v>257</v>
      </c>
      <c r="H1672" s="75" t="s">
        <v>257</v>
      </c>
      <c r="I1672" s="75">
        <v>20.494399999999999</v>
      </c>
      <c r="J1672" s="73">
        <v>793.09100000000001</v>
      </c>
      <c r="K1672" s="75">
        <v>162326.70310000001</v>
      </c>
      <c r="L1672" s="75" t="s">
        <v>257</v>
      </c>
      <c r="M1672" s="73" t="s">
        <v>257</v>
      </c>
      <c r="N1672" s="76">
        <v>126.04</v>
      </c>
      <c r="O1672" s="73">
        <v>4</v>
      </c>
      <c r="P1672" s="73"/>
      <c r="Q1672" s="66" t="s">
        <v>360</v>
      </c>
    </row>
    <row r="1673" spans="1:17" ht="13.8" customHeight="1" x14ac:dyDescent="0.3">
      <c r="A1673" s="70" t="s">
        <v>418</v>
      </c>
      <c r="B1673" s="78">
        <v>46146</v>
      </c>
      <c r="C1673" s="70">
        <v>448</v>
      </c>
      <c r="D1673" s="70" t="s">
        <v>256</v>
      </c>
      <c r="E1673" s="70">
        <v>5</v>
      </c>
      <c r="F1673" s="72">
        <v>27.0837</v>
      </c>
      <c r="G1673" s="72">
        <v>10.4366</v>
      </c>
      <c r="H1673" s="72">
        <v>7.3083</v>
      </c>
      <c r="I1673" s="72">
        <v>94018.773400000005</v>
      </c>
      <c r="J1673" s="70">
        <v>430.54109999999997</v>
      </c>
      <c r="K1673" s="72">
        <v>50083.253900000003</v>
      </c>
      <c r="L1673" s="72">
        <v>30.962800000000001</v>
      </c>
      <c r="M1673" s="70">
        <v>23.416399999999999</v>
      </c>
      <c r="N1673" s="77">
        <v>120.65</v>
      </c>
      <c r="O1673" s="70">
        <v>4</v>
      </c>
      <c r="P1673" s="70"/>
      <c r="Q1673" s="62" t="s">
        <v>360</v>
      </c>
    </row>
    <row r="1674" spans="1:17" ht="13.8" customHeight="1" x14ac:dyDescent="0.3">
      <c r="A1674" s="73" t="s">
        <v>418</v>
      </c>
      <c r="B1674" s="79">
        <v>46146</v>
      </c>
      <c r="C1674" s="73">
        <v>449</v>
      </c>
      <c r="D1674" s="73" t="s">
        <v>256</v>
      </c>
      <c r="E1674" s="73">
        <v>5</v>
      </c>
      <c r="F1674" s="75">
        <v>53.140900000000002</v>
      </c>
      <c r="G1674" s="75">
        <v>27.4452</v>
      </c>
      <c r="H1674" s="75">
        <v>20.7561</v>
      </c>
      <c r="I1674" s="75">
        <v>206299.45310000001</v>
      </c>
      <c r="J1674" s="73">
        <v>376.9776</v>
      </c>
      <c r="K1674" s="75">
        <v>113683.42969999999</v>
      </c>
      <c r="L1674" s="75">
        <v>54.079300000000003</v>
      </c>
      <c r="M1674" s="73">
        <v>37.854300000000002</v>
      </c>
      <c r="N1674" s="76">
        <v>125.94</v>
      </c>
      <c r="O1674" s="73">
        <v>4</v>
      </c>
      <c r="P1674" s="73"/>
      <c r="Q1674" s="66" t="s">
        <v>360</v>
      </c>
    </row>
    <row r="1675" spans="1:17" ht="13.8" customHeight="1" x14ac:dyDescent="0.3">
      <c r="A1675" s="70" t="s">
        <v>419</v>
      </c>
      <c r="B1675" s="78">
        <v>46146</v>
      </c>
      <c r="C1675" s="70">
        <v>450</v>
      </c>
      <c r="D1675" s="70" t="s">
        <v>256</v>
      </c>
      <c r="E1675" s="70">
        <v>1</v>
      </c>
      <c r="F1675" s="72">
        <v>6.1177999999999999</v>
      </c>
      <c r="G1675" s="72" t="s">
        <v>257</v>
      </c>
      <c r="H1675" s="72">
        <v>10.682</v>
      </c>
      <c r="I1675" s="72">
        <v>12191.234399999999</v>
      </c>
      <c r="J1675" s="70" t="s">
        <v>257</v>
      </c>
      <c r="K1675" s="72">
        <v>8861.0879000000004</v>
      </c>
      <c r="L1675" s="72" t="s">
        <v>257</v>
      </c>
      <c r="M1675" s="70" t="s">
        <v>257</v>
      </c>
      <c r="N1675" s="77">
        <v>120.41</v>
      </c>
      <c r="O1675" s="70">
        <v>4</v>
      </c>
      <c r="P1675" s="70"/>
      <c r="Q1675" s="62" t="s">
        <v>360</v>
      </c>
    </row>
    <row r="1676" spans="1:17" ht="13.8" customHeight="1" x14ac:dyDescent="0.3">
      <c r="A1676" s="73" t="s">
        <v>419</v>
      </c>
      <c r="B1676" s="79">
        <v>46146</v>
      </c>
      <c r="C1676" s="73">
        <v>451</v>
      </c>
      <c r="D1676" s="73" t="s">
        <v>256</v>
      </c>
      <c r="E1676" s="73">
        <v>1</v>
      </c>
      <c r="F1676" s="75">
        <v>6.0811999999999999</v>
      </c>
      <c r="G1676" s="75" t="s">
        <v>257</v>
      </c>
      <c r="H1676" s="75">
        <v>8.2294999999999998</v>
      </c>
      <c r="I1676" s="75">
        <v>12065.8115</v>
      </c>
      <c r="J1676" s="73" t="s">
        <v>257</v>
      </c>
      <c r="K1676" s="75">
        <v>7983.1787000000004</v>
      </c>
      <c r="L1676" s="75" t="s">
        <v>257</v>
      </c>
      <c r="M1676" s="73" t="s">
        <v>257</v>
      </c>
      <c r="N1676" s="76">
        <v>120.17</v>
      </c>
      <c r="O1676" s="73">
        <v>4</v>
      </c>
      <c r="P1676" s="73"/>
      <c r="Q1676" s="66" t="s">
        <v>360</v>
      </c>
    </row>
    <row r="1677" spans="1:17" ht="13.8" customHeight="1" x14ac:dyDescent="0.3">
      <c r="A1677" s="70" t="s">
        <v>419</v>
      </c>
      <c r="B1677" s="78">
        <v>46146</v>
      </c>
      <c r="C1677" s="70">
        <v>452</v>
      </c>
      <c r="D1677" s="70" t="s">
        <v>256</v>
      </c>
      <c r="E1677" s="70">
        <v>2</v>
      </c>
      <c r="F1677" s="72" t="s">
        <v>257</v>
      </c>
      <c r="G1677" s="72">
        <v>2.3855</v>
      </c>
      <c r="H1677" s="72">
        <v>10.5579</v>
      </c>
      <c r="I1677" s="72">
        <v>42865.539100000002</v>
      </c>
      <c r="J1677" s="70">
        <v>607.04330000000004</v>
      </c>
      <c r="K1677" s="72">
        <v>2269.4160000000002</v>
      </c>
      <c r="L1677" s="72">
        <v>57.518900000000002</v>
      </c>
      <c r="M1677" s="70">
        <v>17.9754</v>
      </c>
      <c r="N1677" s="77">
        <v>120.28</v>
      </c>
      <c r="O1677" s="70">
        <v>4</v>
      </c>
      <c r="P1677" s="70"/>
      <c r="Q1677" s="62" t="s">
        <v>360</v>
      </c>
    </row>
    <row r="1678" spans="1:17" ht="13.8" customHeight="1" x14ac:dyDescent="0.3">
      <c r="A1678" s="73" t="s">
        <v>419</v>
      </c>
      <c r="B1678" s="79">
        <v>46146</v>
      </c>
      <c r="C1678" s="73">
        <v>453</v>
      </c>
      <c r="D1678" s="73" t="s">
        <v>256</v>
      </c>
      <c r="E1678" s="73">
        <v>2</v>
      </c>
      <c r="F1678" s="75" t="s">
        <v>257</v>
      </c>
      <c r="G1678" s="75">
        <v>2.1492</v>
      </c>
      <c r="H1678" s="75">
        <v>11.616899999999999</v>
      </c>
      <c r="I1678" s="75">
        <v>43210.601600000002</v>
      </c>
      <c r="J1678" s="73">
        <v>606.83309999999994</v>
      </c>
      <c r="K1678" s="75">
        <v>2300.8476999999998</v>
      </c>
      <c r="L1678" s="75">
        <v>52.9696</v>
      </c>
      <c r="M1678" s="73">
        <v>14.423999999999999</v>
      </c>
      <c r="N1678" s="76">
        <v>120.44</v>
      </c>
      <c r="O1678" s="73">
        <v>4</v>
      </c>
      <c r="P1678" s="73"/>
      <c r="Q1678" s="66" t="s">
        <v>360</v>
      </c>
    </row>
    <row r="1679" spans="1:17" ht="13.8" customHeight="1" x14ac:dyDescent="0.3">
      <c r="A1679" s="70" t="s">
        <v>419</v>
      </c>
      <c r="B1679" s="78">
        <v>46146</v>
      </c>
      <c r="C1679" s="70">
        <v>454</v>
      </c>
      <c r="D1679" s="70" t="s">
        <v>256</v>
      </c>
      <c r="E1679" s="70">
        <v>3</v>
      </c>
      <c r="F1679" s="72" t="s">
        <v>257</v>
      </c>
      <c r="G1679" s="72" t="s">
        <v>257</v>
      </c>
      <c r="H1679" s="72">
        <v>8.7367000000000008</v>
      </c>
      <c r="I1679" s="72">
        <v>38474.808599999997</v>
      </c>
      <c r="J1679" s="70">
        <v>605.79859999999996</v>
      </c>
      <c r="K1679" s="72">
        <v>11484.877</v>
      </c>
      <c r="L1679" s="72">
        <v>47.223199999999999</v>
      </c>
      <c r="M1679" s="70">
        <v>20.774799999999999</v>
      </c>
      <c r="N1679" s="77">
        <v>120.21</v>
      </c>
      <c r="O1679" s="70">
        <v>4</v>
      </c>
      <c r="P1679" s="70"/>
      <c r="Q1679" s="62" t="s">
        <v>360</v>
      </c>
    </row>
    <row r="1680" spans="1:17" ht="13.8" customHeight="1" x14ac:dyDescent="0.3">
      <c r="A1680" s="73" t="s">
        <v>419</v>
      </c>
      <c r="B1680" s="79">
        <v>46146</v>
      </c>
      <c r="C1680" s="73">
        <v>455</v>
      </c>
      <c r="D1680" s="73" t="s">
        <v>256</v>
      </c>
      <c r="E1680" s="73">
        <v>3</v>
      </c>
      <c r="F1680" s="75" t="s">
        <v>257</v>
      </c>
      <c r="G1680" s="75" t="s">
        <v>257</v>
      </c>
      <c r="H1680" s="75">
        <v>8.3072999999999997</v>
      </c>
      <c r="I1680" s="75">
        <v>37768.8125</v>
      </c>
      <c r="J1680" s="73">
        <v>570.43790000000001</v>
      </c>
      <c r="K1680" s="75">
        <v>10501.5977</v>
      </c>
      <c r="L1680" s="75">
        <v>48.513500000000001</v>
      </c>
      <c r="M1680" s="73">
        <v>16.959800000000001</v>
      </c>
      <c r="N1680" s="76">
        <v>126.15</v>
      </c>
      <c r="O1680" s="73">
        <v>4</v>
      </c>
      <c r="P1680" s="73"/>
      <c r="Q1680" s="66" t="s">
        <v>360</v>
      </c>
    </row>
    <row r="1681" spans="1:17" ht="13.8" customHeight="1" x14ac:dyDescent="0.3">
      <c r="A1681" s="70" t="s">
        <v>419</v>
      </c>
      <c r="B1681" s="78">
        <v>46146</v>
      </c>
      <c r="C1681" s="70">
        <v>456</v>
      </c>
      <c r="D1681" s="70" t="s">
        <v>256</v>
      </c>
      <c r="E1681" s="70">
        <v>4</v>
      </c>
      <c r="F1681" s="72" t="s">
        <v>257</v>
      </c>
      <c r="G1681" s="72" t="s">
        <v>257</v>
      </c>
      <c r="H1681" s="72">
        <v>8.5901999999999994</v>
      </c>
      <c r="I1681" s="72">
        <v>37052.035199999998</v>
      </c>
      <c r="J1681" s="70">
        <v>667.20820000000003</v>
      </c>
      <c r="K1681" s="72">
        <v>4440.4184999999998</v>
      </c>
      <c r="L1681" s="72">
        <v>48.908700000000003</v>
      </c>
      <c r="M1681" s="70">
        <v>32.010399999999997</v>
      </c>
      <c r="N1681" s="77">
        <v>120.52</v>
      </c>
      <c r="O1681" s="70">
        <v>4</v>
      </c>
      <c r="P1681" s="70"/>
      <c r="Q1681" s="62" t="s">
        <v>360</v>
      </c>
    </row>
    <row r="1682" spans="1:17" ht="13.8" customHeight="1" x14ac:dyDescent="0.3">
      <c r="A1682" s="73" t="s">
        <v>419</v>
      </c>
      <c r="B1682" s="79">
        <v>46146</v>
      </c>
      <c r="C1682" s="73">
        <v>457</v>
      </c>
      <c r="D1682" s="73" t="s">
        <v>256</v>
      </c>
      <c r="E1682" s="73">
        <v>4</v>
      </c>
      <c r="F1682" s="75" t="s">
        <v>257</v>
      </c>
      <c r="G1682" s="75" t="s">
        <v>257</v>
      </c>
      <c r="H1682" s="75">
        <v>7.8788</v>
      </c>
      <c r="I1682" s="75">
        <v>37509.015599999999</v>
      </c>
      <c r="J1682" s="73">
        <v>679.19150000000002</v>
      </c>
      <c r="K1682" s="75">
        <v>3293.9684999999999</v>
      </c>
      <c r="L1682" s="75">
        <v>60.341099999999997</v>
      </c>
      <c r="M1682" s="73">
        <v>56.083799999999997</v>
      </c>
      <c r="N1682" s="76">
        <v>120.56</v>
      </c>
      <c r="O1682" s="73">
        <v>4</v>
      </c>
      <c r="P1682" s="73"/>
      <c r="Q1682" s="66" t="s">
        <v>360</v>
      </c>
    </row>
    <row r="1683" spans="1:17" ht="13.8" customHeight="1" x14ac:dyDescent="0.3">
      <c r="A1683" s="70" t="s">
        <v>419</v>
      </c>
      <c r="B1683" s="78">
        <v>46146</v>
      </c>
      <c r="C1683" s="70">
        <v>458</v>
      </c>
      <c r="D1683" s="70" t="s">
        <v>256</v>
      </c>
      <c r="E1683" s="70">
        <v>5</v>
      </c>
      <c r="F1683" s="72">
        <v>7.4332000000000003</v>
      </c>
      <c r="G1683" s="72" t="s">
        <v>257</v>
      </c>
      <c r="H1683" s="72">
        <v>10.2745</v>
      </c>
      <c r="I1683" s="72">
        <v>41897.492200000001</v>
      </c>
      <c r="J1683" s="70">
        <v>647.55129999999997</v>
      </c>
      <c r="K1683" s="72">
        <v>4756.0298000000003</v>
      </c>
      <c r="L1683" s="72">
        <v>77.520799999999994</v>
      </c>
      <c r="M1683" s="70">
        <v>117.40770000000001</v>
      </c>
      <c r="N1683" s="77">
        <v>120.54</v>
      </c>
      <c r="O1683" s="70">
        <v>4</v>
      </c>
      <c r="P1683" s="70"/>
      <c r="Q1683" s="62" t="s">
        <v>360</v>
      </c>
    </row>
    <row r="1684" spans="1:17" ht="13.8" customHeight="1" x14ac:dyDescent="0.3">
      <c r="A1684" s="73" t="s">
        <v>419</v>
      </c>
      <c r="B1684" s="79">
        <v>46146</v>
      </c>
      <c r="C1684" s="73">
        <v>459</v>
      </c>
      <c r="D1684" s="73" t="s">
        <v>256</v>
      </c>
      <c r="E1684" s="73">
        <v>5</v>
      </c>
      <c r="F1684" s="75">
        <v>8.7628000000000004</v>
      </c>
      <c r="G1684" s="75" t="s">
        <v>257</v>
      </c>
      <c r="H1684" s="75">
        <v>10.4421</v>
      </c>
      <c r="I1684" s="75">
        <v>43029.453099999999</v>
      </c>
      <c r="J1684" s="73">
        <v>661.49490000000003</v>
      </c>
      <c r="K1684" s="75">
        <v>5503.9013999999997</v>
      </c>
      <c r="L1684" s="75">
        <v>87.257300000000001</v>
      </c>
      <c r="M1684" s="73">
        <v>127.0271</v>
      </c>
      <c r="N1684" s="76">
        <v>117.68</v>
      </c>
      <c r="O1684" s="73">
        <v>4</v>
      </c>
      <c r="P1684" s="73"/>
      <c r="Q1684" s="66" t="s">
        <v>360</v>
      </c>
    </row>
    <row r="1685" spans="1:17" ht="13.8" customHeight="1" x14ac:dyDescent="0.3">
      <c r="A1685" s="70" t="s">
        <v>420</v>
      </c>
      <c r="B1685" s="78">
        <v>46146</v>
      </c>
      <c r="C1685" s="70">
        <v>460</v>
      </c>
      <c r="D1685" s="70" t="s">
        <v>256</v>
      </c>
      <c r="E1685" s="70">
        <v>1</v>
      </c>
      <c r="F1685" s="72">
        <v>7.9960000000000004</v>
      </c>
      <c r="G1685" s="72">
        <v>2.6261000000000001</v>
      </c>
      <c r="H1685" s="72">
        <v>12.7227</v>
      </c>
      <c r="I1685" s="72">
        <v>19840.632799999999</v>
      </c>
      <c r="J1685" s="70">
        <v>64.826400000000007</v>
      </c>
      <c r="K1685" s="72">
        <v>8103.6196</v>
      </c>
      <c r="L1685" s="72">
        <v>16.428899999999999</v>
      </c>
      <c r="M1685" s="70">
        <v>6.3982000000000001</v>
      </c>
      <c r="N1685" s="77">
        <v>120.07</v>
      </c>
      <c r="O1685" s="70">
        <v>4</v>
      </c>
      <c r="P1685" s="70"/>
      <c r="Q1685" s="62" t="s">
        <v>360</v>
      </c>
    </row>
    <row r="1686" spans="1:17" ht="13.8" customHeight="1" x14ac:dyDescent="0.3">
      <c r="A1686" s="73" t="s">
        <v>420</v>
      </c>
      <c r="B1686" s="79">
        <v>46146</v>
      </c>
      <c r="C1686" s="73">
        <v>461</v>
      </c>
      <c r="D1686" s="73" t="s">
        <v>256</v>
      </c>
      <c r="E1686" s="73">
        <v>1</v>
      </c>
      <c r="F1686" s="75">
        <v>11.737399999999999</v>
      </c>
      <c r="G1686" s="75">
        <v>2.1943999999999999</v>
      </c>
      <c r="H1686" s="75">
        <v>12.025499999999999</v>
      </c>
      <c r="I1686" s="75">
        <v>19530.585899999998</v>
      </c>
      <c r="J1686" s="73">
        <v>54.1325</v>
      </c>
      <c r="K1686" s="75">
        <v>7993.2250999999997</v>
      </c>
      <c r="L1686" s="75">
        <v>14.2403</v>
      </c>
      <c r="M1686" s="73">
        <v>4.2141999999999999</v>
      </c>
      <c r="N1686" s="76">
        <v>120.44</v>
      </c>
      <c r="O1686" s="73">
        <v>4</v>
      </c>
      <c r="P1686" s="73"/>
      <c r="Q1686" s="66" t="s">
        <v>360</v>
      </c>
    </row>
    <row r="1687" spans="1:17" ht="13.8" customHeight="1" x14ac:dyDescent="0.3">
      <c r="A1687" s="70" t="s">
        <v>420</v>
      </c>
      <c r="B1687" s="78">
        <v>46146</v>
      </c>
      <c r="C1687" s="70">
        <v>462</v>
      </c>
      <c r="D1687" s="70" t="s">
        <v>256</v>
      </c>
      <c r="E1687" s="70">
        <v>2</v>
      </c>
      <c r="F1687" s="72">
        <v>3.5678000000000001</v>
      </c>
      <c r="G1687" s="72">
        <v>2.2086999999999999</v>
      </c>
      <c r="H1687" s="72">
        <v>10.7438</v>
      </c>
      <c r="I1687" s="72">
        <v>32531.857400000001</v>
      </c>
      <c r="J1687" s="70">
        <v>548.81719999999996</v>
      </c>
      <c r="K1687" s="72">
        <v>1369.7637</v>
      </c>
      <c r="L1687" s="72">
        <v>54.939100000000003</v>
      </c>
      <c r="M1687" s="70">
        <v>7.8503999999999996</v>
      </c>
      <c r="N1687" s="77">
        <v>125.97</v>
      </c>
      <c r="O1687" s="70">
        <v>4</v>
      </c>
      <c r="P1687" s="70"/>
      <c r="Q1687" s="62" t="s">
        <v>360</v>
      </c>
    </row>
    <row r="1688" spans="1:17" ht="13.8" customHeight="1" x14ac:dyDescent="0.3">
      <c r="A1688" s="73" t="s">
        <v>420</v>
      </c>
      <c r="B1688" s="79">
        <v>46146</v>
      </c>
      <c r="C1688" s="73">
        <v>463</v>
      </c>
      <c r="D1688" s="73" t="s">
        <v>256</v>
      </c>
      <c r="E1688" s="73">
        <v>2</v>
      </c>
      <c r="F1688" s="75">
        <v>5.2514000000000003</v>
      </c>
      <c r="G1688" s="75">
        <v>2.0707</v>
      </c>
      <c r="H1688" s="75">
        <v>11.030900000000001</v>
      </c>
      <c r="I1688" s="75">
        <v>33134.636700000003</v>
      </c>
      <c r="J1688" s="73">
        <v>564.50250000000005</v>
      </c>
      <c r="K1688" s="75">
        <v>1550.9348</v>
      </c>
      <c r="L1688" s="75">
        <v>57.4878</v>
      </c>
      <c r="M1688" s="73">
        <v>6.6036000000000001</v>
      </c>
      <c r="N1688" s="76">
        <v>120.3</v>
      </c>
      <c r="O1688" s="73">
        <v>4</v>
      </c>
      <c r="P1688" s="73"/>
      <c r="Q1688" s="66" t="s">
        <v>360</v>
      </c>
    </row>
    <row r="1689" spans="1:17" ht="13.8" customHeight="1" x14ac:dyDescent="0.3">
      <c r="A1689" s="70" t="s">
        <v>420</v>
      </c>
      <c r="B1689" s="78">
        <v>46146</v>
      </c>
      <c r="C1689" s="70">
        <v>464</v>
      </c>
      <c r="D1689" s="70" t="s">
        <v>256</v>
      </c>
      <c r="E1689" s="70">
        <v>3</v>
      </c>
      <c r="F1689" s="72" t="s">
        <v>257</v>
      </c>
      <c r="G1689" s="72">
        <v>2.4098999999999999</v>
      </c>
      <c r="H1689" s="72">
        <v>6.6679000000000004</v>
      </c>
      <c r="I1689" s="72">
        <v>29792.9414</v>
      </c>
      <c r="J1689" s="70">
        <v>506.10629999999998</v>
      </c>
      <c r="K1689" s="72">
        <v>2421.2012</v>
      </c>
      <c r="L1689" s="72">
        <v>36.060600000000001</v>
      </c>
      <c r="M1689" s="70">
        <v>11.1793</v>
      </c>
      <c r="N1689" s="77">
        <v>120.2</v>
      </c>
      <c r="O1689" s="70">
        <v>4</v>
      </c>
      <c r="P1689" s="70"/>
      <c r="Q1689" s="62" t="s">
        <v>360</v>
      </c>
    </row>
    <row r="1690" spans="1:17" ht="13.8" customHeight="1" x14ac:dyDescent="0.3">
      <c r="A1690" s="73" t="s">
        <v>420</v>
      </c>
      <c r="B1690" s="79">
        <v>46146</v>
      </c>
      <c r="C1690" s="73">
        <v>465</v>
      </c>
      <c r="D1690" s="73" t="s">
        <v>256</v>
      </c>
      <c r="E1690" s="73">
        <v>3</v>
      </c>
      <c r="F1690" s="75" t="s">
        <v>257</v>
      </c>
      <c r="G1690" s="75">
        <v>1.6169</v>
      </c>
      <c r="H1690" s="75">
        <v>8.6666000000000007</v>
      </c>
      <c r="I1690" s="75">
        <v>33535.484400000001</v>
      </c>
      <c r="J1690" s="73">
        <v>528.58969999999999</v>
      </c>
      <c r="K1690" s="75">
        <v>5271.1859999999997</v>
      </c>
      <c r="L1690" s="75">
        <v>50.541899999999998</v>
      </c>
      <c r="M1690" s="73">
        <v>16.046199999999999</v>
      </c>
      <c r="N1690" s="76">
        <v>120.38</v>
      </c>
      <c r="O1690" s="73">
        <v>4</v>
      </c>
      <c r="P1690" s="73"/>
      <c r="Q1690" s="66" t="s">
        <v>360</v>
      </c>
    </row>
    <row r="1691" spans="1:17" ht="13.8" customHeight="1" x14ac:dyDescent="0.3">
      <c r="A1691" s="70" t="s">
        <v>420</v>
      </c>
      <c r="B1691" s="78">
        <v>46146</v>
      </c>
      <c r="C1691" s="70">
        <v>466</v>
      </c>
      <c r="D1691" s="70" t="s">
        <v>256</v>
      </c>
      <c r="E1691" s="70">
        <v>4</v>
      </c>
      <c r="F1691" s="72">
        <v>4.5144000000000002</v>
      </c>
      <c r="G1691" s="72">
        <v>6.9222000000000001</v>
      </c>
      <c r="H1691" s="72">
        <v>7.3169000000000004</v>
      </c>
      <c r="I1691" s="72">
        <v>26321.6836</v>
      </c>
      <c r="J1691" s="70">
        <v>71.206100000000006</v>
      </c>
      <c r="K1691" s="72">
        <v>16172.1348</v>
      </c>
      <c r="L1691" s="72">
        <v>26.866700000000002</v>
      </c>
      <c r="M1691" s="70">
        <v>13.8368</v>
      </c>
      <c r="N1691" s="77">
        <v>125.93</v>
      </c>
      <c r="O1691" s="70">
        <v>4</v>
      </c>
      <c r="P1691" s="70"/>
      <c r="Q1691" s="62" t="s">
        <v>360</v>
      </c>
    </row>
    <row r="1692" spans="1:17" ht="13.8" customHeight="1" x14ac:dyDescent="0.3">
      <c r="A1692" s="73" t="s">
        <v>420</v>
      </c>
      <c r="B1692" s="79">
        <v>46146</v>
      </c>
      <c r="C1692" s="73">
        <v>467</v>
      </c>
      <c r="D1692" s="73" t="s">
        <v>256</v>
      </c>
      <c r="E1692" s="73">
        <v>4</v>
      </c>
      <c r="F1692" s="75">
        <v>10.3606</v>
      </c>
      <c r="G1692" s="75">
        <v>5.4166999999999996</v>
      </c>
      <c r="H1692" s="75">
        <v>5.2664999999999997</v>
      </c>
      <c r="I1692" s="75">
        <v>25475.1211</v>
      </c>
      <c r="J1692" s="73" t="s">
        <v>257</v>
      </c>
      <c r="K1692" s="75">
        <v>15589.950199999999</v>
      </c>
      <c r="L1692" s="75">
        <v>63.320700000000002</v>
      </c>
      <c r="M1692" s="73">
        <v>22.146100000000001</v>
      </c>
      <c r="N1692" s="76">
        <v>120.33</v>
      </c>
      <c r="O1692" s="73">
        <v>4</v>
      </c>
      <c r="P1692" s="73"/>
      <c r="Q1692" s="66" t="s">
        <v>360</v>
      </c>
    </row>
    <row r="1693" spans="1:17" ht="13.8" customHeight="1" x14ac:dyDescent="0.3">
      <c r="A1693" s="70" t="s">
        <v>420</v>
      </c>
      <c r="B1693" s="78">
        <v>46146</v>
      </c>
      <c r="C1693" s="70">
        <v>468</v>
      </c>
      <c r="D1693" s="70" t="s">
        <v>256</v>
      </c>
      <c r="E1693" s="70">
        <v>5</v>
      </c>
      <c r="F1693" s="72">
        <v>9.0500000000000007</v>
      </c>
      <c r="G1693" s="72">
        <v>4.1425000000000001</v>
      </c>
      <c r="H1693" s="72">
        <v>14.637</v>
      </c>
      <c r="I1693" s="72">
        <v>10071.891600000001</v>
      </c>
      <c r="J1693" s="70">
        <v>42.669400000000003</v>
      </c>
      <c r="K1693" s="72">
        <v>9056.6991999999991</v>
      </c>
      <c r="L1693" s="72">
        <v>5.7709999999999999</v>
      </c>
      <c r="M1693" s="70">
        <v>8.1582000000000008</v>
      </c>
      <c r="N1693" s="77">
        <v>120.53</v>
      </c>
      <c r="O1693" s="70">
        <v>4</v>
      </c>
      <c r="P1693" s="70"/>
      <c r="Q1693" s="62" t="s">
        <v>360</v>
      </c>
    </row>
    <row r="1694" spans="1:17" ht="13.8" customHeight="1" x14ac:dyDescent="0.3">
      <c r="A1694" s="73" t="s">
        <v>420</v>
      </c>
      <c r="B1694" s="79">
        <v>46146</v>
      </c>
      <c r="C1694" s="73">
        <v>469</v>
      </c>
      <c r="D1694" s="73" t="s">
        <v>256</v>
      </c>
      <c r="E1694" s="73">
        <v>5</v>
      </c>
      <c r="F1694" s="75">
        <v>8.0427</v>
      </c>
      <c r="G1694" s="75">
        <v>5.3018000000000001</v>
      </c>
      <c r="H1694" s="75">
        <v>12.787699999999999</v>
      </c>
      <c r="I1694" s="75">
        <v>10238.049800000001</v>
      </c>
      <c r="J1694" s="73">
        <v>36.8551</v>
      </c>
      <c r="K1694" s="75">
        <v>9209.6162000000004</v>
      </c>
      <c r="L1694" s="75">
        <v>8.2577999999999996</v>
      </c>
      <c r="M1694" s="73">
        <v>8.9854000000000003</v>
      </c>
      <c r="N1694" s="76">
        <v>120.3</v>
      </c>
      <c r="O1694" s="73">
        <v>4</v>
      </c>
      <c r="P1694" s="73"/>
      <c r="Q1694" s="66" t="s">
        <v>360</v>
      </c>
    </row>
  </sheetData>
  <autoFilter ref="A4:Q1694" xr:uid="{00000000-0009-0000-0000-000002000000}"/>
  <mergeCells count="5">
    <mergeCell ref="A1:P1"/>
    <mergeCell ref="A2:P2"/>
    <mergeCell ref="A3:E3"/>
    <mergeCell ref="F3:M3"/>
    <mergeCell ref="N3:O3"/>
  </mergeCells>
  <dataValidations count="2">
    <dataValidation type="list" allowBlank="1" error="Pick a Sample ID from Boulder Sample Log" sqref="A5:A504" xr:uid="{00000000-0002-0000-0200-000000000000}">
      <formula1>SampleIDs</formula1>
      <formula2>0</formula2>
    </dataValidation>
    <dataValidation type="list" allowBlank="1" sqref="D5:D504" xr:uid="{00000000-0002-0000-0200-000001000000}">
      <formula1>"Surface,Powder,Verification,Test"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55A11"/>
    <pageSetUpPr fitToPage="1"/>
  </sheetPr>
  <dimension ref="A1:S109"/>
  <sheetViews>
    <sheetView zoomScaleNormal="100" workbookViewId="0">
      <pane ySplit="4" topLeftCell="A5" activePane="bottomLeft" state="frozen"/>
      <selection pane="bottomLeft" sqref="A1:XFD1048576"/>
    </sheetView>
  </sheetViews>
  <sheetFormatPr defaultColWidth="8.6640625" defaultRowHeight="14.4" x14ac:dyDescent="0.3"/>
  <cols>
    <col min="1" max="1" width="29.5546875" bestFit="1" customWidth="1"/>
    <col min="2" max="2" width="19.5546875" bestFit="1" customWidth="1"/>
    <col min="3" max="4" width="10.6640625" bestFit="1" customWidth="1"/>
    <col min="5" max="6" width="13.5546875" bestFit="1" customWidth="1"/>
    <col min="7" max="7" width="11.77734375" bestFit="1" customWidth="1"/>
    <col min="8" max="8" width="12.44140625" bestFit="1" customWidth="1"/>
    <col min="9" max="9" width="13.88671875" bestFit="1" customWidth="1"/>
    <col min="10" max="10" width="10.6640625" bestFit="1" customWidth="1"/>
    <col min="11" max="11" width="16.109375" bestFit="1" customWidth="1"/>
    <col min="12" max="12" width="11.109375" bestFit="1" customWidth="1"/>
    <col min="13" max="13" width="10.88671875" bestFit="1" customWidth="1"/>
    <col min="14" max="14" width="11.109375" bestFit="1" customWidth="1"/>
    <col min="15" max="15" width="65.44140625" bestFit="1" customWidth="1"/>
    <col min="16" max="19" width="8" customWidth="1"/>
  </cols>
  <sheetData>
    <row r="1" spans="1:19" ht="18" x14ac:dyDescent="0.35">
      <c r="A1" s="192" t="s">
        <v>421</v>
      </c>
      <c r="B1" s="192"/>
      <c r="C1" s="192"/>
      <c r="D1" s="192"/>
      <c r="E1" s="192"/>
      <c r="F1" s="192"/>
      <c r="G1" s="192"/>
      <c r="H1" s="192"/>
      <c r="I1" s="192"/>
      <c r="J1" s="192"/>
      <c r="K1" s="192"/>
      <c r="L1" s="192"/>
      <c r="M1" s="192"/>
      <c r="N1" s="192"/>
      <c r="O1" s="192"/>
      <c r="P1" s="61"/>
      <c r="Q1" s="61"/>
      <c r="R1" s="61"/>
      <c r="S1" s="61"/>
    </row>
    <row r="2" spans="1:19" x14ac:dyDescent="0.3">
      <c r="A2" s="193" t="s">
        <v>422</v>
      </c>
      <c r="B2" s="193"/>
      <c r="C2" s="193"/>
      <c r="D2" s="193"/>
      <c r="E2" s="193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61"/>
      <c r="Q2" s="61"/>
      <c r="R2" s="61"/>
      <c r="S2" s="61"/>
    </row>
    <row r="3" spans="1:19" x14ac:dyDescent="0.3">
      <c r="A3" s="12" t="s">
        <v>423</v>
      </c>
      <c r="B3" s="12"/>
      <c r="C3" s="12"/>
      <c r="D3" s="12"/>
      <c r="E3" s="12"/>
      <c r="F3" s="12"/>
      <c r="G3" s="12"/>
      <c r="H3" s="12" t="s">
        <v>424</v>
      </c>
      <c r="I3" s="12"/>
      <c r="J3" s="12"/>
      <c r="K3" s="12"/>
      <c r="L3" s="12" t="s">
        <v>425</v>
      </c>
      <c r="M3" s="12"/>
      <c r="N3" s="12"/>
      <c r="O3" s="17"/>
      <c r="P3" s="61"/>
      <c r="Q3" s="61"/>
      <c r="R3" s="61"/>
      <c r="S3" s="61"/>
    </row>
    <row r="4" spans="1:19" ht="43.2" x14ac:dyDescent="0.3">
      <c r="A4" s="17" t="s">
        <v>101</v>
      </c>
      <c r="B4" s="17" t="s">
        <v>426</v>
      </c>
      <c r="C4" s="17" t="s">
        <v>427</v>
      </c>
      <c r="D4" s="17" t="s">
        <v>428</v>
      </c>
      <c r="E4" s="17" t="s">
        <v>429</v>
      </c>
      <c r="F4" s="17" t="s">
        <v>430</v>
      </c>
      <c r="G4" s="17" t="s">
        <v>431</v>
      </c>
      <c r="H4" s="17" t="s">
        <v>432</v>
      </c>
      <c r="I4" s="17" t="s">
        <v>433</v>
      </c>
      <c r="J4" s="17" t="s">
        <v>434</v>
      </c>
      <c r="K4" s="17" t="s">
        <v>435</v>
      </c>
      <c r="L4" s="17" t="s">
        <v>436</v>
      </c>
      <c r="M4" s="17" t="s">
        <v>437</v>
      </c>
      <c r="N4" s="17" t="s">
        <v>438</v>
      </c>
      <c r="O4" s="17" t="s">
        <v>47</v>
      </c>
      <c r="P4" s="61"/>
      <c r="Q4" s="61"/>
      <c r="R4" s="61"/>
      <c r="S4" s="61"/>
    </row>
    <row r="5" spans="1:19" x14ac:dyDescent="0.3">
      <c r="A5" s="80" t="s">
        <v>439</v>
      </c>
      <c r="B5" s="80" t="s">
        <v>255</v>
      </c>
      <c r="C5" s="80" t="s">
        <v>14</v>
      </c>
      <c r="D5" s="80">
        <v>12</v>
      </c>
      <c r="E5" s="81"/>
      <c r="F5" s="82"/>
      <c r="G5" s="80" t="s">
        <v>259</v>
      </c>
      <c r="H5" s="80"/>
      <c r="I5" s="80"/>
      <c r="J5" s="80"/>
      <c r="K5" s="80"/>
      <c r="L5" s="80"/>
      <c r="M5" s="80"/>
      <c r="N5" s="80"/>
      <c r="O5" s="80" t="s">
        <v>440</v>
      </c>
      <c r="P5" s="15"/>
      <c r="Q5" s="15"/>
      <c r="R5" s="15"/>
      <c r="S5" s="15"/>
    </row>
    <row r="6" spans="1:19" x14ac:dyDescent="0.3">
      <c r="A6" s="83" t="s">
        <v>441</v>
      </c>
      <c r="B6" s="83" t="s">
        <v>255</v>
      </c>
      <c r="C6" s="83" t="s">
        <v>14</v>
      </c>
      <c r="D6" s="83">
        <v>12</v>
      </c>
      <c r="E6" s="84"/>
      <c r="F6" s="85"/>
      <c r="G6" s="83" t="s">
        <v>259</v>
      </c>
      <c r="H6" s="83"/>
      <c r="I6" s="83"/>
      <c r="J6" s="83"/>
      <c r="K6" s="83"/>
      <c r="L6" s="83"/>
      <c r="M6" s="83"/>
      <c r="N6" s="83"/>
      <c r="O6" s="83" t="s">
        <v>440</v>
      </c>
      <c r="P6" s="15"/>
      <c r="Q6" s="15"/>
      <c r="R6" s="15"/>
      <c r="S6" s="15"/>
    </row>
    <row r="7" spans="1:19" x14ac:dyDescent="0.3">
      <c r="A7" s="80" t="s">
        <v>442</v>
      </c>
      <c r="B7" s="80" t="s">
        <v>262</v>
      </c>
      <c r="C7" s="80" t="s">
        <v>14</v>
      </c>
      <c r="D7" s="80">
        <v>14</v>
      </c>
      <c r="E7" s="81"/>
      <c r="F7" s="82"/>
      <c r="G7" s="80" t="s">
        <v>259</v>
      </c>
      <c r="H7" s="80"/>
      <c r="I7" s="80"/>
      <c r="J7" s="80"/>
      <c r="K7" s="80"/>
      <c r="L7" s="80"/>
      <c r="M7" s="80"/>
      <c r="N7" s="80"/>
      <c r="O7" s="80" t="s">
        <v>440</v>
      </c>
      <c r="P7" s="15"/>
      <c r="Q7" s="15"/>
      <c r="R7" s="15"/>
      <c r="S7" s="15"/>
    </row>
    <row r="8" spans="1:19" x14ac:dyDescent="0.3">
      <c r="A8" s="83" t="s">
        <v>443</v>
      </c>
      <c r="B8" s="83" t="s">
        <v>262</v>
      </c>
      <c r="C8" s="83" t="s">
        <v>14</v>
      </c>
      <c r="D8" s="83">
        <v>14</v>
      </c>
      <c r="E8" s="84"/>
      <c r="F8" s="85"/>
      <c r="G8" s="83" t="s">
        <v>259</v>
      </c>
      <c r="H8" s="83"/>
      <c r="I8" s="83"/>
      <c r="J8" s="83"/>
      <c r="K8" s="83"/>
      <c r="L8" s="83"/>
      <c r="M8" s="83"/>
      <c r="N8" s="83"/>
      <c r="O8" s="83" t="s">
        <v>440</v>
      </c>
      <c r="P8" s="15"/>
      <c r="Q8" s="15"/>
      <c r="R8" s="15"/>
      <c r="S8" s="15"/>
    </row>
    <row r="9" spans="1:19" x14ac:dyDescent="0.3">
      <c r="A9" s="80" t="s">
        <v>444</v>
      </c>
      <c r="B9" s="80" t="s">
        <v>264</v>
      </c>
      <c r="C9" s="80" t="s">
        <v>14</v>
      </c>
      <c r="D9" s="80">
        <v>15</v>
      </c>
      <c r="E9" s="81"/>
      <c r="F9" s="82"/>
      <c r="G9" s="80" t="s">
        <v>259</v>
      </c>
      <c r="H9" s="80"/>
      <c r="I9" s="80"/>
      <c r="J9" s="80"/>
      <c r="K9" s="80"/>
      <c r="L9" s="80"/>
      <c r="M9" s="80"/>
      <c r="N9" s="80"/>
      <c r="O9" s="80" t="s">
        <v>440</v>
      </c>
      <c r="P9" s="15"/>
      <c r="Q9" s="15"/>
      <c r="R9" s="15"/>
      <c r="S9" s="15"/>
    </row>
    <row r="10" spans="1:19" x14ac:dyDescent="0.3">
      <c r="A10" s="83" t="s">
        <v>445</v>
      </c>
      <c r="B10" s="83" t="s">
        <v>264</v>
      </c>
      <c r="C10" s="83" t="s">
        <v>14</v>
      </c>
      <c r="D10" s="83">
        <v>15</v>
      </c>
      <c r="E10" s="84"/>
      <c r="F10" s="85"/>
      <c r="G10" s="83" t="s">
        <v>259</v>
      </c>
      <c r="H10" s="83"/>
      <c r="I10" s="83"/>
      <c r="J10" s="83"/>
      <c r="K10" s="83"/>
      <c r="L10" s="83"/>
      <c r="M10" s="83"/>
      <c r="N10" s="83"/>
      <c r="O10" s="83" t="s">
        <v>440</v>
      </c>
      <c r="P10" s="15"/>
      <c r="Q10" s="15"/>
      <c r="R10" s="15"/>
      <c r="S10" s="15"/>
    </row>
    <row r="11" spans="1:19" x14ac:dyDescent="0.3">
      <c r="A11" s="80" t="s">
        <v>446</v>
      </c>
      <c r="B11" s="80" t="s">
        <v>264</v>
      </c>
      <c r="C11" s="80" t="s">
        <v>14</v>
      </c>
      <c r="D11" s="80">
        <v>15</v>
      </c>
      <c r="E11" s="81"/>
      <c r="F11" s="82"/>
      <c r="G11" s="80" t="s">
        <v>447</v>
      </c>
      <c r="H11" s="80"/>
      <c r="I11" s="80"/>
      <c r="J11" s="80"/>
      <c r="K11" s="80"/>
      <c r="L11" s="80"/>
      <c r="M11" s="80"/>
      <c r="N11" s="80"/>
      <c r="O11" s="80" t="s">
        <v>448</v>
      </c>
      <c r="P11" s="15"/>
      <c r="Q11" s="15"/>
      <c r="R11" s="15"/>
      <c r="S11" s="15"/>
    </row>
    <row r="12" spans="1:19" x14ac:dyDescent="0.3">
      <c r="A12" s="83" t="s">
        <v>449</v>
      </c>
      <c r="B12" s="83" t="s">
        <v>264</v>
      </c>
      <c r="C12" s="83" t="s">
        <v>14</v>
      </c>
      <c r="D12" s="83">
        <v>15</v>
      </c>
      <c r="E12" s="84"/>
      <c r="F12" s="85"/>
      <c r="G12" s="83" t="s">
        <v>450</v>
      </c>
      <c r="H12" s="83"/>
      <c r="I12" s="83"/>
      <c r="J12" s="83"/>
      <c r="K12" s="83"/>
      <c r="L12" s="83"/>
      <c r="M12" s="83"/>
      <c r="N12" s="83"/>
      <c r="O12" s="83" t="s">
        <v>451</v>
      </c>
      <c r="P12" s="15"/>
      <c r="Q12" s="15"/>
      <c r="R12" s="15"/>
      <c r="S12" s="15"/>
    </row>
    <row r="13" spans="1:19" x14ac:dyDescent="0.3">
      <c r="A13" s="80" t="s">
        <v>452</v>
      </c>
      <c r="B13" s="80" t="s">
        <v>264</v>
      </c>
      <c r="C13" s="80" t="s">
        <v>14</v>
      </c>
      <c r="D13" s="80">
        <v>15</v>
      </c>
      <c r="E13" s="81"/>
      <c r="F13" s="82"/>
      <c r="G13" s="80" t="s">
        <v>453</v>
      </c>
      <c r="H13" s="80"/>
      <c r="I13" s="80"/>
      <c r="J13" s="80"/>
      <c r="K13" s="80"/>
      <c r="L13" s="80"/>
      <c r="M13" s="80"/>
      <c r="N13" s="80"/>
      <c r="O13" s="80" t="s">
        <v>454</v>
      </c>
      <c r="P13" s="15"/>
      <c r="Q13" s="15"/>
      <c r="R13" s="15"/>
      <c r="S13" s="15"/>
    </row>
    <row r="14" spans="1:19" x14ac:dyDescent="0.3">
      <c r="A14" s="83" t="s">
        <v>455</v>
      </c>
      <c r="B14" s="83" t="s">
        <v>266</v>
      </c>
      <c r="C14" s="83" t="s">
        <v>14</v>
      </c>
      <c r="D14" s="83">
        <v>13</v>
      </c>
      <c r="E14" s="84"/>
      <c r="F14" s="85"/>
      <c r="G14" s="83" t="s">
        <v>259</v>
      </c>
      <c r="H14" s="83"/>
      <c r="I14" s="83"/>
      <c r="J14" s="83"/>
      <c r="K14" s="83"/>
      <c r="L14" s="83"/>
      <c r="M14" s="83"/>
      <c r="N14" s="83"/>
      <c r="O14" s="83" t="s">
        <v>440</v>
      </c>
      <c r="P14" s="15"/>
      <c r="Q14" s="15"/>
      <c r="R14" s="15"/>
      <c r="S14" s="15"/>
    </row>
    <row r="15" spans="1:19" x14ac:dyDescent="0.3">
      <c r="A15" s="86" t="s">
        <v>456</v>
      </c>
      <c r="B15" s="86"/>
      <c r="C15" s="86"/>
      <c r="D15" s="86"/>
      <c r="E15" s="87"/>
      <c r="F15" s="88">
        <v>0.66666666666666696</v>
      </c>
      <c r="G15" s="86" t="s">
        <v>457</v>
      </c>
      <c r="H15" s="86"/>
      <c r="I15" s="86"/>
      <c r="J15" s="86"/>
      <c r="K15" s="86"/>
      <c r="L15" s="86"/>
      <c r="M15" s="86"/>
      <c r="N15" s="86"/>
      <c r="O15" s="86" t="s">
        <v>458</v>
      </c>
      <c r="P15" s="15"/>
      <c r="Q15" s="15"/>
      <c r="R15" s="15"/>
      <c r="S15" s="15"/>
    </row>
    <row r="16" spans="1:19" x14ac:dyDescent="0.3">
      <c r="A16" s="80" t="s">
        <v>459</v>
      </c>
      <c r="B16" s="80" t="s">
        <v>298</v>
      </c>
      <c r="C16" s="80" t="s">
        <v>19</v>
      </c>
      <c r="D16" s="80">
        <v>2</v>
      </c>
      <c r="E16" s="81">
        <v>46148</v>
      </c>
      <c r="F16" s="82">
        <v>0.44791666666666702</v>
      </c>
      <c r="G16" s="80" t="s">
        <v>259</v>
      </c>
      <c r="H16" s="80"/>
      <c r="I16" s="80"/>
      <c r="J16" s="80"/>
      <c r="K16" s="80"/>
      <c r="L16" s="80"/>
      <c r="M16" s="80"/>
      <c r="N16" s="80"/>
      <c r="O16" s="80"/>
      <c r="P16" s="15"/>
      <c r="Q16" s="15"/>
      <c r="R16" s="15"/>
      <c r="S16" s="15"/>
    </row>
    <row r="17" spans="1:19" x14ac:dyDescent="0.3">
      <c r="A17" s="83" t="s">
        <v>460</v>
      </c>
      <c r="B17" s="83" t="s">
        <v>298</v>
      </c>
      <c r="C17" s="83" t="s">
        <v>19</v>
      </c>
      <c r="D17" s="83">
        <v>2</v>
      </c>
      <c r="E17" s="84">
        <v>46148</v>
      </c>
      <c r="F17" s="85">
        <v>0.44791666666666702</v>
      </c>
      <c r="G17" s="83" t="s">
        <v>450</v>
      </c>
      <c r="H17" s="83"/>
      <c r="I17" s="83"/>
      <c r="J17" s="83"/>
      <c r="K17" s="83"/>
      <c r="L17" s="83"/>
      <c r="M17" s="83"/>
      <c r="N17" s="83"/>
      <c r="O17" s="83" t="s">
        <v>461</v>
      </c>
      <c r="P17" s="15"/>
      <c r="Q17" s="15"/>
      <c r="R17" s="15"/>
      <c r="S17" s="15"/>
    </row>
    <row r="18" spans="1:19" x14ac:dyDescent="0.3">
      <c r="A18" s="80" t="s">
        <v>462</v>
      </c>
      <c r="B18" s="80" t="s">
        <v>298</v>
      </c>
      <c r="C18" s="80" t="s">
        <v>19</v>
      </c>
      <c r="D18" s="80">
        <v>2</v>
      </c>
      <c r="E18" s="81">
        <v>46148</v>
      </c>
      <c r="F18" s="82">
        <v>0.44791666666666702</v>
      </c>
      <c r="G18" s="80" t="s">
        <v>453</v>
      </c>
      <c r="H18" s="80"/>
      <c r="I18" s="80"/>
      <c r="J18" s="80"/>
      <c r="K18" s="80"/>
      <c r="L18" s="80"/>
      <c r="M18" s="80"/>
      <c r="N18" s="80"/>
      <c r="O18" s="80" t="s">
        <v>463</v>
      </c>
      <c r="P18" s="15"/>
      <c r="Q18" s="15"/>
      <c r="R18" s="15"/>
      <c r="S18" s="15"/>
    </row>
    <row r="19" spans="1:19" x14ac:dyDescent="0.3">
      <c r="A19" s="83" t="s">
        <v>464</v>
      </c>
      <c r="B19" s="83" t="s">
        <v>372</v>
      </c>
      <c r="C19" s="83" t="s">
        <v>20</v>
      </c>
      <c r="D19" s="83">
        <v>13</v>
      </c>
      <c r="E19" s="84">
        <v>46148</v>
      </c>
      <c r="F19" s="85">
        <v>0.41388888888888897</v>
      </c>
      <c r="G19" s="83" t="s">
        <v>259</v>
      </c>
      <c r="H19" s="83"/>
      <c r="I19" s="83"/>
      <c r="J19" s="83"/>
      <c r="K19" s="83"/>
      <c r="L19" s="83"/>
      <c r="M19" s="83"/>
      <c r="N19" s="83"/>
      <c r="O19" s="83"/>
      <c r="P19" s="15"/>
      <c r="Q19" s="15"/>
      <c r="R19" s="15"/>
      <c r="S19" s="15"/>
    </row>
    <row r="20" spans="1:19" x14ac:dyDescent="0.3">
      <c r="A20" s="80" t="s">
        <v>465</v>
      </c>
      <c r="B20" s="80" t="s">
        <v>372</v>
      </c>
      <c r="C20" s="80" t="s">
        <v>20</v>
      </c>
      <c r="D20" s="80">
        <v>13</v>
      </c>
      <c r="E20" s="81">
        <v>46148</v>
      </c>
      <c r="F20" s="82">
        <v>0.41736111111111102</v>
      </c>
      <c r="G20" s="80" t="s">
        <v>447</v>
      </c>
      <c r="H20" s="80"/>
      <c r="I20" s="80"/>
      <c r="J20" s="80"/>
      <c r="K20" s="80"/>
      <c r="L20" s="80"/>
      <c r="M20" s="80"/>
      <c r="N20" s="80"/>
      <c r="O20" s="80" t="s">
        <v>466</v>
      </c>
      <c r="P20" s="15"/>
      <c r="Q20" s="15"/>
      <c r="R20" s="15"/>
      <c r="S20" s="15"/>
    </row>
    <row r="21" spans="1:19" x14ac:dyDescent="0.3">
      <c r="A21" s="83" t="s">
        <v>467</v>
      </c>
      <c r="B21" s="83" t="s">
        <v>326</v>
      </c>
      <c r="C21" s="83" t="s">
        <v>18</v>
      </c>
      <c r="D21" s="83">
        <v>5</v>
      </c>
      <c r="E21" s="84">
        <v>46148</v>
      </c>
      <c r="F21" s="85">
        <v>0.49027777777777798</v>
      </c>
      <c r="G21" s="83" t="s">
        <v>259</v>
      </c>
      <c r="H21" s="83"/>
      <c r="I21" s="83"/>
      <c r="J21" s="83"/>
      <c r="K21" s="83"/>
      <c r="L21" s="83"/>
      <c r="M21" s="83"/>
      <c r="N21" s="83"/>
      <c r="O21" s="83"/>
      <c r="P21" s="15"/>
      <c r="Q21" s="15"/>
      <c r="R21" s="15"/>
      <c r="S21" s="15"/>
    </row>
    <row r="22" spans="1:19" x14ac:dyDescent="0.3">
      <c r="A22" s="80" t="s">
        <v>468</v>
      </c>
      <c r="B22" s="80" t="s">
        <v>326</v>
      </c>
      <c r="C22" s="80" t="s">
        <v>18</v>
      </c>
      <c r="D22" s="80">
        <v>5</v>
      </c>
      <c r="E22" s="81">
        <v>46148</v>
      </c>
      <c r="F22" s="82">
        <v>0.49375000000000002</v>
      </c>
      <c r="G22" s="80" t="s">
        <v>447</v>
      </c>
      <c r="H22" s="80"/>
      <c r="I22" s="80"/>
      <c r="J22" s="80"/>
      <c r="K22" s="80"/>
      <c r="L22" s="80"/>
      <c r="M22" s="80"/>
      <c r="N22" s="80"/>
      <c r="O22" s="80" t="s">
        <v>469</v>
      </c>
      <c r="P22" s="15"/>
      <c r="Q22" s="15"/>
      <c r="R22" s="15"/>
      <c r="S22" s="15"/>
    </row>
    <row r="23" spans="1:19" x14ac:dyDescent="0.3">
      <c r="A23" s="83" t="s">
        <v>470</v>
      </c>
      <c r="B23" s="83" t="s">
        <v>304</v>
      </c>
      <c r="C23" s="83" t="s">
        <v>18</v>
      </c>
      <c r="D23" s="83">
        <v>14</v>
      </c>
      <c r="E23" s="84">
        <v>46148</v>
      </c>
      <c r="F23" s="85">
        <v>0.47708333333333303</v>
      </c>
      <c r="G23" s="83" t="s">
        <v>259</v>
      </c>
      <c r="H23" s="83"/>
      <c r="I23" s="83"/>
      <c r="J23" s="83"/>
      <c r="K23" s="83"/>
      <c r="L23" s="83"/>
      <c r="M23" s="83"/>
      <c r="N23" s="83"/>
      <c r="O23" s="83"/>
      <c r="P23" s="15"/>
      <c r="Q23" s="15"/>
      <c r="R23" s="15"/>
      <c r="S23" s="15"/>
    </row>
    <row r="24" spans="1:19" x14ac:dyDescent="0.3">
      <c r="A24" s="80" t="s">
        <v>471</v>
      </c>
      <c r="B24" s="80" t="s">
        <v>304</v>
      </c>
      <c r="C24" s="80" t="s">
        <v>18</v>
      </c>
      <c r="D24" s="80">
        <v>14</v>
      </c>
      <c r="E24" s="81">
        <v>46148</v>
      </c>
      <c r="F24" s="82">
        <v>0.47708333333333303</v>
      </c>
      <c r="G24" s="80" t="s">
        <v>450</v>
      </c>
      <c r="H24" s="80"/>
      <c r="I24" s="80"/>
      <c r="J24" s="80"/>
      <c r="K24" s="80"/>
      <c r="L24" s="80"/>
      <c r="M24" s="80"/>
      <c r="N24" s="80"/>
      <c r="O24" s="80" t="s">
        <v>472</v>
      </c>
      <c r="P24" s="15"/>
      <c r="Q24" s="15"/>
      <c r="R24" s="15"/>
      <c r="S24" s="15"/>
    </row>
    <row r="25" spans="1:19" x14ac:dyDescent="0.3">
      <c r="A25" s="83" t="s">
        <v>473</v>
      </c>
      <c r="B25" s="83" t="s">
        <v>304</v>
      </c>
      <c r="C25" s="83" t="s">
        <v>18</v>
      </c>
      <c r="D25" s="83">
        <v>14</v>
      </c>
      <c r="E25" s="84">
        <v>46148</v>
      </c>
      <c r="F25" s="85">
        <v>0.47708333333333303</v>
      </c>
      <c r="G25" s="83" t="s">
        <v>453</v>
      </c>
      <c r="H25" s="83"/>
      <c r="I25" s="83"/>
      <c r="J25" s="83"/>
      <c r="K25" s="83"/>
      <c r="L25" s="83"/>
      <c r="M25" s="83"/>
      <c r="N25" s="83"/>
      <c r="O25" s="83" t="s">
        <v>474</v>
      </c>
      <c r="P25" s="15"/>
      <c r="Q25" s="15"/>
      <c r="R25" s="15"/>
      <c r="S25" s="15"/>
    </row>
    <row r="26" spans="1:19" x14ac:dyDescent="0.3">
      <c r="A26" s="80" t="s">
        <v>475</v>
      </c>
      <c r="B26" s="80" t="s">
        <v>268</v>
      </c>
      <c r="C26" s="80" t="s">
        <v>19</v>
      </c>
      <c r="D26" s="80">
        <v>7</v>
      </c>
      <c r="E26" s="81">
        <v>46148</v>
      </c>
      <c r="F26" s="82">
        <v>0.42708333333333298</v>
      </c>
      <c r="G26" s="80" t="s">
        <v>259</v>
      </c>
      <c r="H26" s="80"/>
      <c r="I26" s="80"/>
      <c r="J26" s="80"/>
      <c r="K26" s="80"/>
      <c r="L26" s="80"/>
      <c r="M26" s="80"/>
      <c r="N26" s="80"/>
      <c r="O26" s="80"/>
      <c r="P26" s="15"/>
      <c r="Q26" s="15"/>
      <c r="R26" s="15"/>
      <c r="S26" s="15"/>
    </row>
    <row r="27" spans="1:19" x14ac:dyDescent="0.3">
      <c r="A27" s="83" t="s">
        <v>476</v>
      </c>
      <c r="B27" s="83" t="s">
        <v>268</v>
      </c>
      <c r="C27" s="83" t="s">
        <v>19</v>
      </c>
      <c r="D27" s="83">
        <v>7</v>
      </c>
      <c r="E27" s="84">
        <v>46148</v>
      </c>
      <c r="F27" s="85">
        <v>0.43055555555555602</v>
      </c>
      <c r="G27" s="83" t="s">
        <v>447</v>
      </c>
      <c r="H27" s="83"/>
      <c r="I27" s="83"/>
      <c r="J27" s="83"/>
      <c r="K27" s="83"/>
      <c r="L27" s="83"/>
      <c r="M27" s="83"/>
      <c r="N27" s="83"/>
      <c r="O27" s="83" t="s">
        <v>477</v>
      </c>
      <c r="P27" s="15"/>
      <c r="Q27" s="15"/>
      <c r="R27" s="15"/>
      <c r="S27" s="15"/>
    </row>
    <row r="28" spans="1:19" x14ac:dyDescent="0.3">
      <c r="A28" s="80" t="s">
        <v>478</v>
      </c>
      <c r="B28" s="80" t="s">
        <v>350</v>
      </c>
      <c r="C28" s="80" t="s">
        <v>15</v>
      </c>
      <c r="D28" s="80">
        <v>12</v>
      </c>
      <c r="E28" s="81">
        <v>46148</v>
      </c>
      <c r="F28" s="82">
        <v>0.38819444444444501</v>
      </c>
      <c r="G28" s="80" t="s">
        <v>259</v>
      </c>
      <c r="H28" s="80"/>
      <c r="I28" s="80"/>
      <c r="J28" s="80"/>
      <c r="K28" s="80"/>
      <c r="L28" s="80"/>
      <c r="M28" s="80"/>
      <c r="N28" s="80"/>
      <c r="O28" s="80"/>
      <c r="P28" s="15"/>
      <c r="Q28" s="15"/>
      <c r="R28" s="15"/>
      <c r="S28" s="15"/>
    </row>
    <row r="29" spans="1:19" x14ac:dyDescent="0.3">
      <c r="A29" s="83" t="s">
        <v>479</v>
      </c>
      <c r="B29" s="83" t="s">
        <v>350</v>
      </c>
      <c r="C29" s="83" t="s">
        <v>15</v>
      </c>
      <c r="D29" s="83">
        <v>12</v>
      </c>
      <c r="E29" s="84">
        <v>46148</v>
      </c>
      <c r="F29" s="85">
        <v>0.391666666666667</v>
      </c>
      <c r="G29" s="83" t="s">
        <v>447</v>
      </c>
      <c r="H29" s="83"/>
      <c r="I29" s="83"/>
      <c r="J29" s="83"/>
      <c r="K29" s="83"/>
      <c r="L29" s="83"/>
      <c r="M29" s="83"/>
      <c r="N29" s="83"/>
      <c r="O29" s="83" t="s">
        <v>480</v>
      </c>
      <c r="P29" s="15"/>
      <c r="Q29" s="15"/>
      <c r="R29" s="15"/>
      <c r="S29" s="15"/>
    </row>
    <row r="30" spans="1:19" x14ac:dyDescent="0.3">
      <c r="A30" s="80" t="s">
        <v>481</v>
      </c>
      <c r="B30" s="80" t="s">
        <v>402</v>
      </c>
      <c r="C30" s="80" t="s">
        <v>17</v>
      </c>
      <c r="D30" s="80">
        <v>14</v>
      </c>
      <c r="E30" s="81">
        <v>46149</v>
      </c>
      <c r="F30" s="82"/>
      <c r="G30" s="80" t="s">
        <v>259</v>
      </c>
      <c r="H30" s="80"/>
      <c r="I30" s="80"/>
      <c r="J30" s="80"/>
      <c r="K30" s="80"/>
      <c r="L30" s="80"/>
      <c r="M30" s="80"/>
      <c r="N30" s="80"/>
      <c r="O30" s="80"/>
      <c r="P30" s="15"/>
      <c r="Q30" s="15"/>
      <c r="R30" s="15"/>
      <c r="S30" s="15"/>
    </row>
    <row r="31" spans="1:19" x14ac:dyDescent="0.3">
      <c r="A31" s="83" t="s">
        <v>482</v>
      </c>
      <c r="B31" s="83" t="s">
        <v>402</v>
      </c>
      <c r="C31" s="83" t="s">
        <v>17</v>
      </c>
      <c r="D31" s="83">
        <v>14</v>
      </c>
      <c r="E31" s="84">
        <v>46149</v>
      </c>
      <c r="F31" s="85"/>
      <c r="G31" s="83" t="s">
        <v>447</v>
      </c>
      <c r="H31" s="83"/>
      <c r="I31" s="83"/>
      <c r="J31" s="83"/>
      <c r="K31" s="83"/>
      <c r="L31" s="83"/>
      <c r="M31" s="83"/>
      <c r="N31" s="83"/>
      <c r="O31" s="83" t="s">
        <v>483</v>
      </c>
      <c r="P31" s="15"/>
      <c r="Q31" s="15"/>
      <c r="R31" s="15"/>
      <c r="S31" s="15"/>
    </row>
    <row r="32" spans="1:19" x14ac:dyDescent="0.3">
      <c r="A32" s="80" t="s">
        <v>484</v>
      </c>
      <c r="B32" s="80" t="s">
        <v>395</v>
      </c>
      <c r="C32" s="80" t="s">
        <v>17</v>
      </c>
      <c r="D32" s="80">
        <v>12</v>
      </c>
      <c r="E32" s="81">
        <v>46149</v>
      </c>
      <c r="F32" s="82"/>
      <c r="G32" s="80" t="s">
        <v>259</v>
      </c>
      <c r="H32" s="80"/>
      <c r="I32" s="80"/>
      <c r="J32" s="80"/>
      <c r="K32" s="80"/>
      <c r="L32" s="80"/>
      <c r="M32" s="80"/>
      <c r="N32" s="80"/>
      <c r="O32" s="80"/>
      <c r="P32" s="15"/>
      <c r="Q32" s="15"/>
      <c r="R32" s="15"/>
      <c r="S32" s="15"/>
    </row>
    <row r="33" spans="1:19" x14ac:dyDescent="0.3">
      <c r="A33" s="83" t="s">
        <v>485</v>
      </c>
      <c r="B33" s="83" t="s">
        <v>395</v>
      </c>
      <c r="C33" s="83" t="s">
        <v>17</v>
      </c>
      <c r="D33" s="83">
        <v>12</v>
      </c>
      <c r="E33" s="84">
        <v>46149</v>
      </c>
      <c r="F33" s="85"/>
      <c r="G33" s="83" t="s">
        <v>447</v>
      </c>
      <c r="H33" s="83"/>
      <c r="I33" s="83"/>
      <c r="J33" s="83"/>
      <c r="K33" s="83"/>
      <c r="L33" s="83"/>
      <c r="M33" s="83"/>
      <c r="N33" s="83"/>
      <c r="O33" s="83" t="s">
        <v>486</v>
      </c>
      <c r="P33" s="15"/>
      <c r="Q33" s="15"/>
      <c r="R33" s="15"/>
      <c r="S33" s="15"/>
    </row>
    <row r="34" spans="1:19" x14ac:dyDescent="0.3">
      <c r="A34" s="80" t="s">
        <v>487</v>
      </c>
      <c r="B34" s="80" t="s">
        <v>411</v>
      </c>
      <c r="C34" s="80" t="s">
        <v>17</v>
      </c>
      <c r="D34" s="80">
        <v>13</v>
      </c>
      <c r="E34" s="81">
        <v>46149</v>
      </c>
      <c r="F34" s="82"/>
      <c r="G34" s="80" t="s">
        <v>259</v>
      </c>
      <c r="H34" s="80"/>
      <c r="I34" s="80"/>
      <c r="J34" s="80"/>
      <c r="K34" s="80"/>
      <c r="L34" s="80"/>
      <c r="M34" s="80"/>
      <c r="N34" s="80"/>
      <c r="O34" s="80"/>
      <c r="P34" s="15"/>
      <c r="Q34" s="15"/>
      <c r="R34" s="15"/>
      <c r="S34" s="15"/>
    </row>
    <row r="35" spans="1:19" x14ac:dyDescent="0.3">
      <c r="A35" s="83" t="s">
        <v>488</v>
      </c>
      <c r="B35" s="83" t="s">
        <v>411</v>
      </c>
      <c r="C35" s="83" t="s">
        <v>17</v>
      </c>
      <c r="D35" s="83">
        <v>13</v>
      </c>
      <c r="E35" s="84">
        <v>46149</v>
      </c>
      <c r="F35" s="85"/>
      <c r="G35" s="83" t="s">
        <v>450</v>
      </c>
      <c r="H35" s="83"/>
      <c r="I35" s="83"/>
      <c r="J35" s="83"/>
      <c r="K35" s="83"/>
      <c r="L35" s="83"/>
      <c r="M35" s="83"/>
      <c r="N35" s="83"/>
      <c r="O35" s="83" t="s">
        <v>489</v>
      </c>
      <c r="P35" s="15"/>
      <c r="Q35" s="15"/>
      <c r="R35" s="15"/>
      <c r="S35" s="15"/>
    </row>
    <row r="36" spans="1:19" x14ac:dyDescent="0.3">
      <c r="A36" s="80" t="s">
        <v>490</v>
      </c>
      <c r="B36" s="80" t="s">
        <v>411</v>
      </c>
      <c r="C36" s="80" t="s">
        <v>17</v>
      </c>
      <c r="D36" s="80">
        <v>13</v>
      </c>
      <c r="E36" s="81">
        <v>46149</v>
      </c>
      <c r="F36" s="82"/>
      <c r="G36" s="80" t="s">
        <v>453</v>
      </c>
      <c r="H36" s="80"/>
      <c r="I36" s="80"/>
      <c r="J36" s="80"/>
      <c r="K36" s="80"/>
      <c r="L36" s="80"/>
      <c r="M36" s="80"/>
      <c r="N36" s="80"/>
      <c r="O36" s="80" t="s">
        <v>491</v>
      </c>
      <c r="P36" s="15"/>
      <c r="Q36" s="15"/>
      <c r="R36" s="15"/>
      <c r="S36" s="15"/>
    </row>
    <row r="37" spans="1:19" x14ac:dyDescent="0.3">
      <c r="A37" s="83" t="s">
        <v>492</v>
      </c>
      <c r="B37" s="83" t="s">
        <v>405</v>
      </c>
      <c r="C37" s="83" t="s">
        <v>17</v>
      </c>
      <c r="D37" s="83">
        <v>8</v>
      </c>
      <c r="E37" s="84">
        <v>46149</v>
      </c>
      <c r="F37" s="85"/>
      <c r="G37" s="83" t="s">
        <v>259</v>
      </c>
      <c r="H37" s="83"/>
      <c r="I37" s="83"/>
      <c r="J37" s="83"/>
      <c r="K37" s="83"/>
      <c r="L37" s="83"/>
      <c r="M37" s="83"/>
      <c r="N37" s="83"/>
      <c r="O37" s="83"/>
      <c r="P37" s="15"/>
      <c r="Q37" s="15"/>
      <c r="R37" s="15"/>
      <c r="S37" s="15"/>
    </row>
    <row r="38" spans="1:19" x14ac:dyDescent="0.3">
      <c r="A38" s="80" t="s">
        <v>493</v>
      </c>
      <c r="B38" s="80" t="s">
        <v>416</v>
      </c>
      <c r="C38" s="80" t="s">
        <v>16</v>
      </c>
      <c r="D38" s="80">
        <v>7</v>
      </c>
      <c r="E38" s="81">
        <v>46149</v>
      </c>
      <c r="F38" s="82"/>
      <c r="G38" s="80" t="s">
        <v>259</v>
      </c>
      <c r="H38" s="80"/>
      <c r="I38" s="80"/>
      <c r="J38" s="80"/>
      <c r="K38" s="80"/>
      <c r="L38" s="80"/>
      <c r="M38" s="80"/>
      <c r="N38" s="80"/>
      <c r="O38" s="80"/>
      <c r="P38" s="15"/>
      <c r="Q38" s="15"/>
      <c r="R38" s="15"/>
      <c r="S38" s="15"/>
    </row>
    <row r="39" spans="1:19" x14ac:dyDescent="0.3">
      <c r="A39" s="83" t="s">
        <v>494</v>
      </c>
      <c r="B39" s="83" t="s">
        <v>416</v>
      </c>
      <c r="C39" s="83" t="s">
        <v>16</v>
      </c>
      <c r="D39" s="83">
        <v>7</v>
      </c>
      <c r="E39" s="84">
        <v>46149</v>
      </c>
      <c r="F39" s="85"/>
      <c r="G39" s="83" t="s">
        <v>447</v>
      </c>
      <c r="H39" s="83"/>
      <c r="I39" s="83"/>
      <c r="J39" s="83"/>
      <c r="K39" s="83"/>
      <c r="L39" s="83"/>
      <c r="M39" s="83"/>
      <c r="N39" s="83"/>
      <c r="O39" s="83" t="s">
        <v>495</v>
      </c>
      <c r="P39" s="15"/>
      <c r="Q39" s="15"/>
      <c r="R39" s="15"/>
      <c r="S39" s="15"/>
    </row>
    <row r="40" spans="1:19" x14ac:dyDescent="0.3">
      <c r="A40" s="86" t="s">
        <v>496</v>
      </c>
      <c r="B40" s="86"/>
      <c r="C40" s="86"/>
      <c r="D40" s="86"/>
      <c r="E40" s="87">
        <v>46149</v>
      </c>
      <c r="F40" s="88">
        <v>0.66666666666666696</v>
      </c>
      <c r="G40" s="86" t="s">
        <v>457</v>
      </c>
      <c r="H40" s="86"/>
      <c r="I40" s="86"/>
      <c r="J40" s="86"/>
      <c r="K40" s="86"/>
      <c r="L40" s="86"/>
      <c r="M40" s="86"/>
      <c r="N40" s="86"/>
      <c r="O40" s="86" t="s">
        <v>497</v>
      </c>
      <c r="P40" s="15"/>
      <c r="Q40" s="15"/>
      <c r="R40" s="15"/>
      <c r="S40" s="15"/>
    </row>
    <row r="41" spans="1:19" x14ac:dyDescent="0.3">
      <c r="A41" s="80" t="s">
        <v>498</v>
      </c>
      <c r="B41" s="80" t="s">
        <v>337</v>
      </c>
      <c r="C41" s="80" t="s">
        <v>20</v>
      </c>
      <c r="D41" s="80">
        <v>1</v>
      </c>
      <c r="E41" s="81">
        <v>46150</v>
      </c>
      <c r="F41" s="82"/>
      <c r="G41" s="80" t="s">
        <v>259</v>
      </c>
      <c r="H41" s="80"/>
      <c r="I41" s="80"/>
      <c r="J41" s="80"/>
      <c r="K41" s="80"/>
      <c r="L41" s="80"/>
      <c r="M41" s="80"/>
      <c r="N41" s="80"/>
      <c r="O41" s="80"/>
      <c r="P41" s="15"/>
      <c r="Q41" s="15"/>
      <c r="R41" s="15"/>
      <c r="S41" s="15"/>
    </row>
    <row r="42" spans="1:19" x14ac:dyDescent="0.3">
      <c r="A42" s="83" t="s">
        <v>499</v>
      </c>
      <c r="B42" s="83" t="s">
        <v>337</v>
      </c>
      <c r="C42" s="83" t="s">
        <v>20</v>
      </c>
      <c r="D42" s="83">
        <v>1</v>
      </c>
      <c r="E42" s="84">
        <v>46150</v>
      </c>
      <c r="F42" s="85"/>
      <c r="G42" s="83" t="s">
        <v>447</v>
      </c>
      <c r="H42" s="83"/>
      <c r="I42" s="83"/>
      <c r="J42" s="83"/>
      <c r="K42" s="83"/>
      <c r="L42" s="83"/>
      <c r="M42" s="83"/>
      <c r="N42" s="83"/>
      <c r="O42" s="83" t="s">
        <v>500</v>
      </c>
      <c r="P42" s="15"/>
      <c r="Q42" s="15"/>
      <c r="R42" s="15"/>
      <c r="S42" s="15"/>
    </row>
    <row r="43" spans="1:19" x14ac:dyDescent="0.3">
      <c r="A43" s="80" t="s">
        <v>501</v>
      </c>
      <c r="B43" s="80" t="s">
        <v>343</v>
      </c>
      <c r="C43" s="80" t="s">
        <v>20</v>
      </c>
      <c r="D43" s="80">
        <v>10</v>
      </c>
      <c r="E43" s="81">
        <v>46150</v>
      </c>
      <c r="F43" s="82"/>
      <c r="G43" s="80" t="s">
        <v>259</v>
      </c>
      <c r="H43" s="80"/>
      <c r="I43" s="80"/>
      <c r="J43" s="80"/>
      <c r="K43" s="80"/>
      <c r="L43" s="80"/>
      <c r="M43" s="80"/>
      <c r="N43" s="80"/>
      <c r="O43" s="80"/>
      <c r="P43" s="15"/>
      <c r="Q43" s="15"/>
      <c r="R43" s="15"/>
      <c r="S43" s="15"/>
    </row>
    <row r="44" spans="1:19" x14ac:dyDescent="0.3">
      <c r="A44" s="83" t="s">
        <v>502</v>
      </c>
      <c r="B44" s="83" t="s">
        <v>343</v>
      </c>
      <c r="C44" s="83" t="s">
        <v>20</v>
      </c>
      <c r="D44" s="83">
        <v>10</v>
      </c>
      <c r="E44" s="84">
        <v>46150</v>
      </c>
      <c r="F44" s="85"/>
      <c r="G44" s="83" t="s">
        <v>450</v>
      </c>
      <c r="H44" s="83"/>
      <c r="I44" s="83"/>
      <c r="J44" s="83"/>
      <c r="K44" s="83"/>
      <c r="L44" s="83"/>
      <c r="M44" s="83"/>
      <c r="N44" s="83"/>
      <c r="O44" s="83" t="s">
        <v>503</v>
      </c>
      <c r="P44" s="15"/>
      <c r="Q44" s="15"/>
      <c r="R44" s="15"/>
      <c r="S44" s="15"/>
    </row>
    <row r="45" spans="1:19" x14ac:dyDescent="0.3">
      <c r="A45" s="80" t="s">
        <v>504</v>
      </c>
      <c r="B45" s="80" t="s">
        <v>343</v>
      </c>
      <c r="C45" s="80" t="s">
        <v>20</v>
      </c>
      <c r="D45" s="80">
        <v>10</v>
      </c>
      <c r="E45" s="81">
        <v>46150</v>
      </c>
      <c r="F45" s="82"/>
      <c r="G45" s="80" t="s">
        <v>453</v>
      </c>
      <c r="H45" s="80"/>
      <c r="I45" s="80"/>
      <c r="J45" s="80"/>
      <c r="K45" s="80"/>
      <c r="L45" s="80"/>
      <c r="M45" s="80"/>
      <c r="N45" s="80"/>
      <c r="O45" s="80" t="s">
        <v>505</v>
      </c>
      <c r="P45" s="15"/>
      <c r="Q45" s="15"/>
      <c r="R45" s="15"/>
      <c r="S45" s="15"/>
    </row>
    <row r="46" spans="1:19" x14ac:dyDescent="0.3">
      <c r="A46" s="83" t="s">
        <v>506</v>
      </c>
      <c r="B46" s="83" t="s">
        <v>291</v>
      </c>
      <c r="C46" s="83" t="s">
        <v>14</v>
      </c>
      <c r="D46" s="83">
        <v>8</v>
      </c>
      <c r="E46" s="84">
        <v>46150</v>
      </c>
      <c r="F46" s="85"/>
      <c r="G46" s="83" t="s">
        <v>259</v>
      </c>
      <c r="H46" s="83"/>
      <c r="I46" s="83"/>
      <c r="J46" s="83"/>
      <c r="K46" s="83"/>
      <c r="L46" s="83"/>
      <c r="M46" s="83"/>
      <c r="N46" s="83"/>
      <c r="O46" s="83"/>
      <c r="P46" s="15"/>
      <c r="Q46" s="15"/>
      <c r="R46" s="15"/>
      <c r="S46" s="15"/>
    </row>
    <row r="47" spans="1:19" x14ac:dyDescent="0.3">
      <c r="A47" s="80" t="s">
        <v>507</v>
      </c>
      <c r="B47" s="80" t="s">
        <v>291</v>
      </c>
      <c r="C47" s="80" t="s">
        <v>14</v>
      </c>
      <c r="D47" s="80">
        <v>8</v>
      </c>
      <c r="E47" s="81">
        <v>46150</v>
      </c>
      <c r="F47" s="82"/>
      <c r="G47" s="80" t="s">
        <v>447</v>
      </c>
      <c r="H47" s="80"/>
      <c r="I47" s="80"/>
      <c r="J47" s="80"/>
      <c r="K47" s="80"/>
      <c r="L47" s="80"/>
      <c r="M47" s="80"/>
      <c r="N47" s="80"/>
      <c r="O47" s="80" t="s">
        <v>508</v>
      </c>
      <c r="P47" s="15"/>
      <c r="Q47" s="15"/>
      <c r="R47" s="15"/>
      <c r="S47" s="15"/>
    </row>
    <row r="48" spans="1:19" x14ac:dyDescent="0.3">
      <c r="A48" s="86" t="s">
        <v>509</v>
      </c>
      <c r="B48" s="86"/>
      <c r="C48" s="86"/>
      <c r="D48" s="86"/>
      <c r="E48" s="87">
        <v>46150</v>
      </c>
      <c r="F48" s="88">
        <v>0.66666666666666696</v>
      </c>
      <c r="G48" s="86" t="s">
        <v>457</v>
      </c>
      <c r="H48" s="86"/>
      <c r="I48" s="86"/>
      <c r="J48" s="86"/>
      <c r="K48" s="86"/>
      <c r="L48" s="86"/>
      <c r="M48" s="86"/>
      <c r="N48" s="86"/>
      <c r="O48" s="86" t="s">
        <v>510</v>
      </c>
      <c r="P48" s="15"/>
      <c r="Q48" s="15"/>
      <c r="R48" s="15"/>
      <c r="S48" s="15"/>
    </row>
    <row r="49" spans="1:19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</row>
    <row r="50" spans="1:19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</row>
    <row r="51" spans="1:19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</row>
    <row r="52" spans="1:19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</row>
    <row r="53" spans="1:19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</row>
    <row r="54" spans="1:19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</row>
    <row r="55" spans="1:19" x14ac:dyDescent="0.3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</row>
    <row r="56" spans="1:19" x14ac:dyDescent="0.3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</row>
    <row r="57" spans="1:19" x14ac:dyDescent="0.3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</row>
    <row r="58" spans="1:19" x14ac:dyDescent="0.3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</row>
    <row r="59" spans="1:19" x14ac:dyDescent="0.3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</row>
    <row r="60" spans="1:19" x14ac:dyDescent="0.3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</row>
    <row r="61" spans="1:19" x14ac:dyDescent="0.3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</row>
    <row r="62" spans="1:19" x14ac:dyDescent="0.3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</row>
    <row r="63" spans="1:19" x14ac:dyDescent="0.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</row>
    <row r="64" spans="1:19" x14ac:dyDescent="0.3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</row>
    <row r="65" spans="1:19" x14ac:dyDescent="0.3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</row>
    <row r="66" spans="1:19" x14ac:dyDescent="0.3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</row>
    <row r="67" spans="1:19" x14ac:dyDescent="0.3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</row>
    <row r="68" spans="1:19" x14ac:dyDescent="0.3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</row>
    <row r="69" spans="1:19" x14ac:dyDescent="0.3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</row>
    <row r="70" spans="1:19" x14ac:dyDescent="0.3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</row>
    <row r="71" spans="1:19" x14ac:dyDescent="0.3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</row>
    <row r="72" spans="1:19" x14ac:dyDescent="0.3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</row>
    <row r="73" spans="1:19" x14ac:dyDescent="0.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</row>
    <row r="74" spans="1:19" x14ac:dyDescent="0.3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</row>
    <row r="75" spans="1:19" x14ac:dyDescent="0.3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</row>
    <row r="76" spans="1:19" x14ac:dyDescent="0.3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</row>
    <row r="77" spans="1:19" x14ac:dyDescent="0.3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</row>
    <row r="78" spans="1:19" x14ac:dyDescent="0.3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</row>
    <row r="79" spans="1:19" x14ac:dyDescent="0.3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</row>
    <row r="80" spans="1:19" x14ac:dyDescent="0.3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</row>
    <row r="81" spans="1:19" x14ac:dyDescent="0.3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</row>
    <row r="82" spans="1:19" x14ac:dyDescent="0.3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</row>
    <row r="83" spans="1:19" x14ac:dyDescent="0.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</row>
    <row r="84" spans="1:19" x14ac:dyDescent="0.3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</row>
    <row r="85" spans="1:19" x14ac:dyDescent="0.3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</row>
    <row r="86" spans="1:19" x14ac:dyDescent="0.3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</row>
    <row r="87" spans="1:19" x14ac:dyDescent="0.3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</row>
    <row r="88" spans="1:19" x14ac:dyDescent="0.3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</row>
    <row r="89" spans="1:19" x14ac:dyDescent="0.3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</row>
    <row r="90" spans="1:19" x14ac:dyDescent="0.3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</row>
    <row r="91" spans="1:19" x14ac:dyDescent="0.3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</row>
    <row r="92" spans="1:19" x14ac:dyDescent="0.3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</row>
    <row r="93" spans="1:19" x14ac:dyDescent="0.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</row>
    <row r="94" spans="1:19" x14ac:dyDescent="0.3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</row>
    <row r="95" spans="1:19" x14ac:dyDescent="0.3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</row>
    <row r="96" spans="1:19" x14ac:dyDescent="0.3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</row>
    <row r="97" spans="1:19" x14ac:dyDescent="0.3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</row>
    <row r="98" spans="1:19" x14ac:dyDescent="0.3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</row>
    <row r="99" spans="1:19" x14ac:dyDescent="0.3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</row>
    <row r="100" spans="1:19" x14ac:dyDescent="0.3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</row>
    <row r="101" spans="1:19" x14ac:dyDescent="0.3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</row>
    <row r="102" spans="1:19" x14ac:dyDescent="0.3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</row>
    <row r="103" spans="1:19" x14ac:dyDescent="0.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</row>
    <row r="104" spans="1:19" x14ac:dyDescent="0.3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</row>
    <row r="105" spans="1:19" x14ac:dyDescent="0.3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</row>
    <row r="106" spans="1:19" x14ac:dyDescent="0.3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</row>
    <row r="107" spans="1:19" x14ac:dyDescent="0.3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</row>
    <row r="108" spans="1:19" x14ac:dyDescent="0.3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</row>
    <row r="109" spans="1:19" x14ac:dyDescent="0.3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</row>
  </sheetData>
  <autoFilter ref="A4:O48" xr:uid="{00000000-0009-0000-0000-000003000000}"/>
  <mergeCells count="5">
    <mergeCell ref="A1:O1"/>
    <mergeCell ref="A2:O2"/>
    <mergeCell ref="A3:G3"/>
    <mergeCell ref="H3:K3"/>
    <mergeCell ref="L3:N3"/>
  </mergeCells>
  <dataValidations count="1">
    <dataValidation type="list" allowBlank="1" sqref="A5:A104" xr:uid="{00000000-0002-0000-0300-000000000000}">
      <formula1>PowderIDs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48235"/>
    <pageSetUpPr fitToPage="1"/>
  </sheetPr>
  <dimension ref="A1:M69"/>
  <sheetViews>
    <sheetView zoomScaleNormal="100" workbookViewId="0">
      <pane ySplit="5" topLeftCell="A52" activePane="bottomLeft" state="frozen"/>
      <selection pane="bottomLeft" activeCell="E16" sqref="E16"/>
    </sheetView>
  </sheetViews>
  <sheetFormatPr defaultColWidth="8.6640625" defaultRowHeight="14.4" x14ac:dyDescent="0.3"/>
  <cols>
    <col min="1" max="1" width="9.44140625" bestFit="1" customWidth="1"/>
    <col min="2" max="2" width="13.5546875" bestFit="1" customWidth="1"/>
    <col min="3" max="3" width="18.33203125" bestFit="1" customWidth="1"/>
    <col min="4" max="4" width="10.109375" bestFit="1" customWidth="1"/>
    <col min="5" max="10" width="14.109375" bestFit="1" customWidth="1"/>
    <col min="11" max="11" width="10.44140625" bestFit="1" customWidth="1"/>
    <col min="12" max="12" width="61.21875" bestFit="1" customWidth="1"/>
    <col min="13" max="13" width="8.6640625" bestFit="1" customWidth="1"/>
  </cols>
  <sheetData>
    <row r="1" spans="1:13" ht="17.399999999999999" x14ac:dyDescent="0.3">
      <c r="A1" s="14" t="s">
        <v>511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3" x14ac:dyDescent="0.3">
      <c r="A2" s="13" t="s">
        <v>512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3" x14ac:dyDescent="0.3">
      <c r="A3" s="12" t="s">
        <v>513</v>
      </c>
      <c r="B3" s="12"/>
      <c r="C3" s="12"/>
      <c r="D3" s="12"/>
      <c r="E3" s="12" t="s">
        <v>514</v>
      </c>
      <c r="F3" s="12"/>
      <c r="G3" s="12"/>
      <c r="H3" s="12"/>
      <c r="I3" s="12"/>
      <c r="J3" s="12"/>
      <c r="K3" s="12" t="s">
        <v>515</v>
      </c>
      <c r="L3" s="12"/>
      <c r="M3" s="17"/>
    </row>
    <row r="4" spans="1:13" ht="28.8" x14ac:dyDescent="0.3">
      <c r="A4" s="17" t="s">
        <v>82</v>
      </c>
      <c r="B4" s="17" t="s">
        <v>516</v>
      </c>
      <c r="C4" s="17" t="s">
        <v>517</v>
      </c>
      <c r="D4" s="17" t="s">
        <v>241</v>
      </c>
      <c r="E4" s="17" t="s">
        <v>518</v>
      </c>
      <c r="F4" s="17" t="s">
        <v>519</v>
      </c>
      <c r="G4" s="17" t="s">
        <v>520</v>
      </c>
      <c r="H4" s="17" t="s">
        <v>521</v>
      </c>
      <c r="I4" s="17" t="s">
        <v>522</v>
      </c>
      <c r="J4" s="17" t="s">
        <v>523</v>
      </c>
      <c r="K4" s="17" t="s">
        <v>524</v>
      </c>
      <c r="L4" s="17" t="s">
        <v>47</v>
      </c>
      <c r="M4" s="17" t="s">
        <v>254</v>
      </c>
    </row>
    <row r="5" spans="1:13" x14ac:dyDescent="0.3">
      <c r="A5" s="11" t="s">
        <v>525</v>
      </c>
      <c r="B5" s="11"/>
      <c r="C5" s="11"/>
      <c r="D5" s="11"/>
      <c r="E5" s="89" t="s">
        <v>526</v>
      </c>
      <c r="F5" s="89" t="s">
        <v>527</v>
      </c>
      <c r="G5" s="89" t="s">
        <v>528</v>
      </c>
      <c r="H5" s="89" t="s">
        <v>529</v>
      </c>
      <c r="I5" s="89" t="s">
        <v>530</v>
      </c>
      <c r="J5" s="89" t="s">
        <v>531</v>
      </c>
      <c r="K5" s="89" t="s">
        <v>532</v>
      </c>
      <c r="L5" s="89"/>
      <c r="M5" s="89" t="s">
        <v>258</v>
      </c>
    </row>
    <row r="6" spans="1:13" x14ac:dyDescent="0.3">
      <c r="A6" s="53">
        <v>46114</v>
      </c>
      <c r="B6" s="46" t="s">
        <v>533</v>
      </c>
      <c r="C6" s="46" t="s">
        <v>534</v>
      </c>
      <c r="D6" s="46">
        <v>1</v>
      </c>
      <c r="E6" s="46">
        <v>86.18</v>
      </c>
      <c r="F6" s="46">
        <v>8990.1</v>
      </c>
      <c r="G6" s="46">
        <v>4313.8</v>
      </c>
      <c r="H6" s="46">
        <v>2921.7</v>
      </c>
      <c r="I6" s="46">
        <v>1671.1</v>
      </c>
      <c r="J6" s="46">
        <v>1281.5</v>
      </c>
      <c r="K6" s="46" t="s">
        <v>535</v>
      </c>
      <c r="L6" s="46"/>
      <c r="M6" s="90" t="s">
        <v>258</v>
      </c>
    </row>
    <row r="7" spans="1:13" x14ac:dyDescent="0.3">
      <c r="A7" s="48">
        <v>46114</v>
      </c>
      <c r="B7" s="49" t="s">
        <v>536</v>
      </c>
      <c r="C7" s="49" t="s">
        <v>534</v>
      </c>
      <c r="D7" s="49">
        <v>38</v>
      </c>
      <c r="E7" s="49">
        <v>85.18</v>
      </c>
      <c r="F7" s="49">
        <v>9330.2999999999993</v>
      </c>
      <c r="G7" s="49">
        <v>4224.1000000000004</v>
      </c>
      <c r="H7" s="49">
        <v>2868.6</v>
      </c>
      <c r="I7" s="49">
        <v>1672.8</v>
      </c>
      <c r="J7" s="49">
        <v>1428.7</v>
      </c>
      <c r="K7" s="49" t="s">
        <v>535</v>
      </c>
      <c r="L7" s="49"/>
      <c r="M7" s="91" t="s">
        <v>258</v>
      </c>
    </row>
    <row r="8" spans="1:13" x14ac:dyDescent="0.3">
      <c r="A8" s="45">
        <v>46115</v>
      </c>
      <c r="B8" s="46" t="s">
        <v>533</v>
      </c>
      <c r="C8" s="46" t="s">
        <v>534</v>
      </c>
      <c r="D8" s="46">
        <v>47</v>
      </c>
      <c r="E8" s="46">
        <v>85.72</v>
      </c>
      <c r="F8" s="46">
        <v>8860.6</v>
      </c>
      <c r="G8" s="46">
        <v>4117.3</v>
      </c>
      <c r="H8" s="46">
        <v>2875.3</v>
      </c>
      <c r="I8" s="46">
        <v>1653.3</v>
      </c>
      <c r="J8" s="46">
        <v>1431.8</v>
      </c>
      <c r="K8" s="46" t="s">
        <v>535</v>
      </c>
      <c r="L8" s="46" t="s">
        <v>537</v>
      </c>
      <c r="M8" s="90" t="s">
        <v>258</v>
      </c>
    </row>
    <row r="9" spans="1:13" x14ac:dyDescent="0.3">
      <c r="A9" s="48">
        <v>46115</v>
      </c>
      <c r="B9" s="49" t="s">
        <v>536</v>
      </c>
      <c r="C9" s="49" t="s">
        <v>534</v>
      </c>
      <c r="D9" s="49">
        <v>122</v>
      </c>
      <c r="E9" s="49">
        <v>87.01</v>
      </c>
      <c r="F9" s="49">
        <v>8988.6</v>
      </c>
      <c r="G9" s="49">
        <v>4211.3</v>
      </c>
      <c r="H9" s="49">
        <v>2789.6</v>
      </c>
      <c r="I9" s="49">
        <v>1666.4</v>
      </c>
      <c r="J9" s="49">
        <v>1351.7</v>
      </c>
      <c r="K9" s="49" t="s">
        <v>535</v>
      </c>
      <c r="L9" s="49"/>
      <c r="M9" s="91" t="s">
        <v>258</v>
      </c>
    </row>
    <row r="10" spans="1:13" x14ac:dyDescent="0.3">
      <c r="A10" s="45">
        <v>46118</v>
      </c>
      <c r="B10" s="46" t="s">
        <v>533</v>
      </c>
      <c r="C10" s="46" t="s">
        <v>534</v>
      </c>
      <c r="D10" s="46">
        <v>127</v>
      </c>
      <c r="E10" s="46">
        <v>86.23</v>
      </c>
      <c r="F10" s="46">
        <v>8750.2000000000007</v>
      </c>
      <c r="G10" s="46">
        <v>4199.2</v>
      </c>
      <c r="H10" s="46">
        <v>2831.9</v>
      </c>
      <c r="I10" s="46">
        <v>1662</v>
      </c>
      <c r="J10" s="46">
        <v>1728.7</v>
      </c>
      <c r="K10" s="46" t="s">
        <v>535</v>
      </c>
      <c r="L10" s="46" t="s">
        <v>538</v>
      </c>
      <c r="M10" s="90" t="s">
        <v>258</v>
      </c>
    </row>
    <row r="11" spans="1:13" x14ac:dyDescent="0.3">
      <c r="A11" s="48">
        <v>46118</v>
      </c>
      <c r="B11" s="49" t="s">
        <v>536</v>
      </c>
      <c r="C11" s="49" t="s">
        <v>534</v>
      </c>
      <c r="D11" s="49">
        <v>207</v>
      </c>
      <c r="E11" s="49">
        <v>83.5</v>
      </c>
      <c r="F11" s="49">
        <v>8416</v>
      </c>
      <c r="G11" s="49">
        <v>1583</v>
      </c>
      <c r="H11" s="49">
        <v>1906</v>
      </c>
      <c r="I11" s="49">
        <v>1613</v>
      </c>
      <c r="J11" s="49">
        <v>3050</v>
      </c>
      <c r="K11" s="49" t="s">
        <v>535</v>
      </c>
      <c r="L11" s="49" t="s">
        <v>539</v>
      </c>
      <c r="M11" s="91" t="s">
        <v>258</v>
      </c>
    </row>
    <row r="12" spans="1:13" x14ac:dyDescent="0.3">
      <c r="A12" s="45">
        <v>46119</v>
      </c>
      <c r="B12" s="46" t="s">
        <v>533</v>
      </c>
      <c r="C12" s="46" t="s">
        <v>534</v>
      </c>
      <c r="D12" s="46">
        <v>218</v>
      </c>
      <c r="E12" s="46">
        <v>86.08</v>
      </c>
      <c r="F12" s="46">
        <v>8774</v>
      </c>
      <c r="G12" s="46">
        <v>4155</v>
      </c>
      <c r="H12" s="46">
        <v>2805</v>
      </c>
      <c r="I12" s="46">
        <v>1688</v>
      </c>
      <c r="J12" s="46">
        <v>1478</v>
      </c>
      <c r="K12" s="46" t="s">
        <v>535</v>
      </c>
      <c r="L12" s="46"/>
      <c r="M12" s="90" t="s">
        <v>258</v>
      </c>
    </row>
    <row r="13" spans="1:13" x14ac:dyDescent="0.3">
      <c r="A13" s="48">
        <v>46119</v>
      </c>
      <c r="B13" s="49" t="s">
        <v>536</v>
      </c>
      <c r="C13" s="49" t="s">
        <v>534</v>
      </c>
      <c r="D13" s="49">
        <v>297</v>
      </c>
      <c r="E13" s="49">
        <v>86.3</v>
      </c>
      <c r="F13" s="49">
        <v>8806</v>
      </c>
      <c r="G13" s="49">
        <v>4211</v>
      </c>
      <c r="H13" s="49">
        <v>2810</v>
      </c>
      <c r="I13" s="49">
        <v>1697</v>
      </c>
      <c r="J13" s="49">
        <v>1678</v>
      </c>
      <c r="K13" s="49" t="s">
        <v>535</v>
      </c>
      <c r="L13" s="49"/>
      <c r="M13" s="91" t="s">
        <v>258</v>
      </c>
    </row>
    <row r="14" spans="1:13" x14ac:dyDescent="0.3">
      <c r="A14" s="45">
        <v>46120</v>
      </c>
      <c r="B14" s="46" t="s">
        <v>533</v>
      </c>
      <c r="C14" s="46" t="s">
        <v>534</v>
      </c>
      <c r="D14" s="46">
        <v>307</v>
      </c>
      <c r="E14" s="46">
        <v>86.61</v>
      </c>
      <c r="F14" s="46">
        <v>8778</v>
      </c>
      <c r="G14" s="46">
        <v>4248</v>
      </c>
      <c r="H14" s="46">
        <v>2777</v>
      </c>
      <c r="I14" s="46">
        <v>1742</v>
      </c>
      <c r="J14" s="46">
        <v>1343</v>
      </c>
      <c r="K14" s="46" t="s">
        <v>535</v>
      </c>
      <c r="L14" s="46"/>
      <c r="M14" s="90" t="s">
        <v>258</v>
      </c>
    </row>
    <row r="15" spans="1:13" x14ac:dyDescent="0.3">
      <c r="A15" s="48">
        <v>46120</v>
      </c>
      <c r="B15" s="49" t="s">
        <v>536</v>
      </c>
      <c r="C15" s="49" t="s">
        <v>534</v>
      </c>
      <c r="D15" s="49">
        <v>389</v>
      </c>
      <c r="E15" s="49">
        <v>86.48</v>
      </c>
      <c r="F15" s="49">
        <v>8897</v>
      </c>
      <c r="G15" s="49">
        <v>4207</v>
      </c>
      <c r="H15" s="49">
        <v>2740</v>
      </c>
      <c r="I15" s="49">
        <v>1756</v>
      </c>
      <c r="J15" s="49">
        <v>1092</v>
      </c>
      <c r="K15" s="49" t="s">
        <v>535</v>
      </c>
      <c r="L15" s="49"/>
      <c r="M15" s="91" t="s">
        <v>258</v>
      </c>
    </row>
    <row r="16" spans="1:13" x14ac:dyDescent="0.3">
      <c r="A16" s="45">
        <v>46121</v>
      </c>
      <c r="B16" s="46" t="s">
        <v>533</v>
      </c>
      <c r="C16" s="46" t="s">
        <v>534</v>
      </c>
      <c r="D16" s="46">
        <v>400</v>
      </c>
      <c r="E16" s="46">
        <v>86.12</v>
      </c>
      <c r="F16" s="46">
        <v>8770</v>
      </c>
      <c r="G16" s="46">
        <v>4213</v>
      </c>
      <c r="H16" s="46">
        <v>2773</v>
      </c>
      <c r="I16" s="46">
        <v>1679</v>
      </c>
      <c r="J16" s="46">
        <v>1366</v>
      </c>
      <c r="K16" s="46" t="s">
        <v>535</v>
      </c>
      <c r="L16" s="46"/>
      <c r="M16" s="90" t="s">
        <v>258</v>
      </c>
    </row>
    <row r="17" spans="1:13" x14ac:dyDescent="0.3">
      <c r="A17" s="48">
        <v>46121</v>
      </c>
      <c r="B17" s="49" t="s">
        <v>536</v>
      </c>
      <c r="C17" s="49" t="s">
        <v>534</v>
      </c>
      <c r="D17" s="49">
        <v>465</v>
      </c>
      <c r="E17" s="49">
        <v>84.67</v>
      </c>
      <c r="F17" s="49">
        <v>9059</v>
      </c>
      <c r="G17" s="49">
        <v>3947</v>
      </c>
      <c r="H17" s="49">
        <v>2743</v>
      </c>
      <c r="I17" s="49">
        <v>1695</v>
      </c>
      <c r="J17" s="49">
        <v>1195</v>
      </c>
      <c r="K17" s="49" t="s">
        <v>535</v>
      </c>
      <c r="L17" s="49"/>
      <c r="M17" s="91" t="s">
        <v>258</v>
      </c>
    </row>
    <row r="18" spans="1:13" x14ac:dyDescent="0.3">
      <c r="A18" s="71">
        <v>46125</v>
      </c>
      <c r="B18" s="70" t="s">
        <v>533</v>
      </c>
      <c r="C18" s="70" t="s">
        <v>534</v>
      </c>
      <c r="D18" s="70">
        <v>497</v>
      </c>
      <c r="E18" s="70">
        <v>86.59</v>
      </c>
      <c r="F18" s="70">
        <v>8774</v>
      </c>
      <c r="G18" s="70">
        <v>4169</v>
      </c>
      <c r="H18" s="70">
        <v>2761</v>
      </c>
      <c r="I18" s="70">
        <v>1708</v>
      </c>
      <c r="J18" s="70">
        <v>1386</v>
      </c>
      <c r="K18" s="70" t="s">
        <v>535</v>
      </c>
      <c r="L18" s="70"/>
      <c r="M18" s="62" t="s">
        <v>258</v>
      </c>
    </row>
    <row r="19" spans="1:13" x14ac:dyDescent="0.3">
      <c r="A19" s="74">
        <v>46125</v>
      </c>
      <c r="B19" s="73" t="s">
        <v>536</v>
      </c>
      <c r="C19" s="73" t="s">
        <v>534</v>
      </c>
      <c r="D19" s="73">
        <v>580</v>
      </c>
      <c r="E19" s="73">
        <v>87.2</v>
      </c>
      <c r="F19" s="73">
        <v>8894</v>
      </c>
      <c r="G19" s="73">
        <v>4251</v>
      </c>
      <c r="H19" s="73">
        <v>2773</v>
      </c>
      <c r="I19" s="73">
        <v>1724</v>
      </c>
      <c r="J19" s="73">
        <v>1450</v>
      </c>
      <c r="K19" s="73" t="s">
        <v>535</v>
      </c>
      <c r="L19" s="73"/>
      <c r="M19" s="66" t="s">
        <v>258</v>
      </c>
    </row>
    <row r="20" spans="1:13" x14ac:dyDescent="0.3">
      <c r="A20" s="71">
        <v>46126</v>
      </c>
      <c r="B20" s="70" t="s">
        <v>533</v>
      </c>
      <c r="C20" s="70" t="s">
        <v>540</v>
      </c>
      <c r="D20" s="70">
        <v>585</v>
      </c>
      <c r="E20" s="70">
        <v>86.98</v>
      </c>
      <c r="F20" s="70">
        <v>8766</v>
      </c>
      <c r="G20" s="70">
        <v>4267</v>
      </c>
      <c r="H20" s="70">
        <v>2903</v>
      </c>
      <c r="I20" s="70">
        <v>1620</v>
      </c>
      <c r="J20" s="70">
        <v>1300</v>
      </c>
      <c r="K20" s="70" t="s">
        <v>535</v>
      </c>
      <c r="L20" s="70"/>
      <c r="M20" s="62" t="s">
        <v>258</v>
      </c>
    </row>
    <row r="21" spans="1:13" x14ac:dyDescent="0.3">
      <c r="A21" s="74">
        <v>46126</v>
      </c>
      <c r="B21" s="73" t="s">
        <v>536</v>
      </c>
      <c r="C21" s="73" t="s">
        <v>540</v>
      </c>
      <c r="D21" s="73">
        <v>666</v>
      </c>
      <c r="E21" s="73">
        <v>87.48</v>
      </c>
      <c r="F21" s="73">
        <v>8765</v>
      </c>
      <c r="G21" s="73">
        <v>4273</v>
      </c>
      <c r="H21" s="73">
        <v>2878</v>
      </c>
      <c r="I21" s="73">
        <v>1703</v>
      </c>
      <c r="J21" s="73">
        <v>1088</v>
      </c>
      <c r="K21" s="73" t="s">
        <v>535</v>
      </c>
      <c r="L21" s="73"/>
      <c r="M21" s="66" t="s">
        <v>258</v>
      </c>
    </row>
    <row r="22" spans="1:13" x14ac:dyDescent="0.3">
      <c r="A22" s="45">
        <v>46127</v>
      </c>
      <c r="B22" s="46" t="s">
        <v>533</v>
      </c>
      <c r="C22" s="46" t="s">
        <v>534</v>
      </c>
      <c r="D22" s="46">
        <v>669</v>
      </c>
      <c r="E22" s="46">
        <v>86.21</v>
      </c>
      <c r="F22" s="46">
        <v>8736.1</v>
      </c>
      <c r="G22" s="46">
        <v>4166.8999999999996</v>
      </c>
      <c r="H22" s="46">
        <v>2746.1</v>
      </c>
      <c r="I22" s="46">
        <v>1659.2</v>
      </c>
      <c r="J22" s="46">
        <v>1217.0999999999999</v>
      </c>
      <c r="K22" s="46" t="s">
        <v>535</v>
      </c>
      <c r="L22" s="46"/>
      <c r="M22" s="90" t="s">
        <v>258</v>
      </c>
    </row>
    <row r="23" spans="1:13" x14ac:dyDescent="0.3">
      <c r="A23" s="48">
        <v>46127</v>
      </c>
      <c r="B23" s="49" t="s">
        <v>536</v>
      </c>
      <c r="C23" s="49" t="s">
        <v>534</v>
      </c>
      <c r="D23" s="49">
        <v>732</v>
      </c>
      <c r="E23" s="49">
        <v>87.19</v>
      </c>
      <c r="F23" s="49">
        <v>8855.2000000000007</v>
      </c>
      <c r="G23" s="49">
        <v>4248.2</v>
      </c>
      <c r="H23" s="49">
        <v>2891.7</v>
      </c>
      <c r="I23" s="49">
        <v>1725.7</v>
      </c>
      <c r="J23" s="49">
        <v>1033.3</v>
      </c>
      <c r="K23" s="49" t="s">
        <v>535</v>
      </c>
      <c r="L23" s="49"/>
      <c r="M23" s="91" t="s">
        <v>258</v>
      </c>
    </row>
    <row r="24" spans="1:13" x14ac:dyDescent="0.3">
      <c r="A24" s="45">
        <v>46128</v>
      </c>
      <c r="B24" s="46" t="s">
        <v>533</v>
      </c>
      <c r="C24" s="46" t="s">
        <v>534</v>
      </c>
      <c r="D24" s="46">
        <v>739</v>
      </c>
      <c r="E24" s="46">
        <v>86.17</v>
      </c>
      <c r="F24" s="46">
        <v>8834.4</v>
      </c>
      <c r="G24" s="46">
        <v>4189.8999999999996</v>
      </c>
      <c r="H24" s="46">
        <v>2835.5</v>
      </c>
      <c r="I24" s="46">
        <v>1629.3</v>
      </c>
      <c r="J24" s="46">
        <v>1383.1</v>
      </c>
      <c r="K24" s="46" t="s">
        <v>535</v>
      </c>
      <c r="L24" s="46"/>
      <c r="M24" s="90" t="s">
        <v>258</v>
      </c>
    </row>
    <row r="25" spans="1:13" x14ac:dyDescent="0.3">
      <c r="A25" s="48">
        <v>46128</v>
      </c>
      <c r="B25" s="49" t="s">
        <v>536</v>
      </c>
      <c r="C25" s="49" t="s">
        <v>534</v>
      </c>
      <c r="D25" s="49">
        <v>851</v>
      </c>
      <c r="E25" s="49">
        <v>86.54</v>
      </c>
      <c r="F25" s="49">
        <v>8802.1</v>
      </c>
      <c r="G25" s="49">
        <v>4195.8</v>
      </c>
      <c r="H25" s="49">
        <v>2786.8</v>
      </c>
      <c r="I25" s="49">
        <v>1653.6</v>
      </c>
      <c r="J25" s="49">
        <v>1292.7</v>
      </c>
      <c r="K25" s="49" t="s">
        <v>535</v>
      </c>
      <c r="L25" s="49"/>
      <c r="M25" s="91" t="s">
        <v>258</v>
      </c>
    </row>
    <row r="26" spans="1:13" x14ac:dyDescent="0.3">
      <c r="A26" s="45">
        <v>46129</v>
      </c>
      <c r="B26" s="46" t="s">
        <v>533</v>
      </c>
      <c r="C26" s="46" t="s">
        <v>534</v>
      </c>
      <c r="D26" s="46">
        <v>856</v>
      </c>
      <c r="E26" s="46">
        <v>85.99</v>
      </c>
      <c r="F26" s="46">
        <v>8850.2000000000007</v>
      </c>
      <c r="G26" s="46">
        <v>4141.2</v>
      </c>
      <c r="H26" s="46">
        <v>2845.2</v>
      </c>
      <c r="I26" s="46">
        <v>1689.3</v>
      </c>
      <c r="J26" s="46">
        <v>1368.4</v>
      </c>
      <c r="K26" s="46" t="s">
        <v>535</v>
      </c>
      <c r="L26" s="46"/>
      <c r="M26" s="90" t="s">
        <v>258</v>
      </c>
    </row>
    <row r="27" spans="1:13" x14ac:dyDescent="0.3">
      <c r="A27" s="48">
        <v>46129</v>
      </c>
      <c r="B27" s="49" t="s">
        <v>536</v>
      </c>
      <c r="C27" s="49" t="s">
        <v>534</v>
      </c>
      <c r="D27" s="49">
        <v>956</v>
      </c>
      <c r="E27" s="49">
        <v>87.45</v>
      </c>
      <c r="F27" s="49">
        <v>8863.2999999999993</v>
      </c>
      <c r="G27" s="49">
        <v>4273.7</v>
      </c>
      <c r="H27" s="49">
        <v>2930.6</v>
      </c>
      <c r="I27" s="49">
        <v>1714</v>
      </c>
      <c r="J27" s="49">
        <v>1209</v>
      </c>
      <c r="K27" s="49" t="s">
        <v>535</v>
      </c>
      <c r="L27" s="49"/>
      <c r="M27" s="91" t="s">
        <v>258</v>
      </c>
    </row>
    <row r="28" spans="1:13" x14ac:dyDescent="0.3">
      <c r="A28" s="45">
        <v>46130</v>
      </c>
      <c r="B28" s="46" t="s">
        <v>533</v>
      </c>
      <c r="C28" s="46" t="s">
        <v>534</v>
      </c>
      <c r="D28" s="46">
        <v>957</v>
      </c>
      <c r="E28" s="46">
        <v>85.77</v>
      </c>
      <c r="F28" s="46">
        <v>9007.4</v>
      </c>
      <c r="G28" s="46">
        <v>4025.6</v>
      </c>
      <c r="H28" s="46">
        <v>2850.7</v>
      </c>
      <c r="I28" s="46">
        <v>1647</v>
      </c>
      <c r="J28" s="46">
        <v>1332.9</v>
      </c>
      <c r="K28" s="46" t="s">
        <v>535</v>
      </c>
      <c r="L28" s="46"/>
      <c r="M28" s="90" t="s">
        <v>258</v>
      </c>
    </row>
    <row r="29" spans="1:13" x14ac:dyDescent="0.3">
      <c r="A29" s="48">
        <v>46130</v>
      </c>
      <c r="B29" s="49" t="s">
        <v>536</v>
      </c>
      <c r="C29" s="49" t="s">
        <v>534</v>
      </c>
      <c r="D29" s="49">
        <v>1033</v>
      </c>
      <c r="E29" s="49">
        <v>87.55</v>
      </c>
      <c r="F29" s="49">
        <v>8796.2000000000007</v>
      </c>
      <c r="G29" s="49">
        <v>4295.5</v>
      </c>
      <c r="H29" s="49">
        <v>2871.3</v>
      </c>
      <c r="I29" s="49">
        <v>1721.2</v>
      </c>
      <c r="J29" s="49">
        <v>1213.5999999999999</v>
      </c>
      <c r="K29" s="49" t="s">
        <v>535</v>
      </c>
      <c r="L29" s="49"/>
      <c r="M29" s="91" t="s">
        <v>258</v>
      </c>
    </row>
    <row r="30" spans="1:13" x14ac:dyDescent="0.3">
      <c r="A30" s="45">
        <v>46131</v>
      </c>
      <c r="B30" s="46" t="s">
        <v>533</v>
      </c>
      <c r="C30" s="46" t="s">
        <v>534</v>
      </c>
      <c r="D30" s="46">
        <v>1038</v>
      </c>
      <c r="E30" s="46">
        <v>86.4</v>
      </c>
      <c r="F30" s="46">
        <v>8831.06</v>
      </c>
      <c r="G30" s="46">
        <v>4214.6499999999996</v>
      </c>
      <c r="H30" s="46">
        <v>2762.63</v>
      </c>
      <c r="I30" s="46">
        <v>1672.5</v>
      </c>
      <c r="J30" s="46">
        <v>1259.32</v>
      </c>
      <c r="K30" s="46" t="s">
        <v>535</v>
      </c>
      <c r="L30" s="46"/>
      <c r="M30" s="90" t="s">
        <v>258</v>
      </c>
    </row>
    <row r="31" spans="1:13" x14ac:dyDescent="0.3">
      <c r="A31" s="48">
        <v>46131</v>
      </c>
      <c r="B31" s="49" t="s">
        <v>536</v>
      </c>
      <c r="C31" s="49" t="s">
        <v>534</v>
      </c>
      <c r="D31" s="49">
        <v>1105</v>
      </c>
      <c r="E31" s="49">
        <v>86.68</v>
      </c>
      <c r="F31" s="49">
        <v>8842.86</v>
      </c>
      <c r="G31" s="49">
        <v>4170.3500000000004</v>
      </c>
      <c r="H31" s="49">
        <v>2862.52</v>
      </c>
      <c r="I31" s="49">
        <v>1730.08</v>
      </c>
      <c r="J31" s="49">
        <v>1249.94</v>
      </c>
      <c r="K31" s="49" t="s">
        <v>535</v>
      </c>
      <c r="L31" s="49"/>
      <c r="M31" s="91" t="s">
        <v>258</v>
      </c>
    </row>
    <row r="32" spans="1:13" x14ac:dyDescent="0.3">
      <c r="A32" s="53">
        <v>46139</v>
      </c>
      <c r="B32" s="46" t="s">
        <v>533</v>
      </c>
      <c r="C32" s="46" t="s">
        <v>534</v>
      </c>
      <c r="D32" s="46">
        <v>1114</v>
      </c>
      <c r="E32" s="46">
        <v>85.83</v>
      </c>
      <c r="F32" s="46">
        <v>8832.19</v>
      </c>
      <c r="G32" s="46">
        <v>4105.0600000000004</v>
      </c>
      <c r="H32" s="46">
        <v>2753.21</v>
      </c>
      <c r="I32" s="46">
        <v>1677.89</v>
      </c>
      <c r="J32" s="46">
        <v>1355.14</v>
      </c>
      <c r="K32" s="46" t="s">
        <v>535</v>
      </c>
      <c r="L32" s="46"/>
      <c r="M32" s="90" t="s">
        <v>258</v>
      </c>
    </row>
    <row r="33" spans="1:13" x14ac:dyDescent="0.3">
      <c r="A33" s="54">
        <v>46139</v>
      </c>
      <c r="B33" s="49" t="s">
        <v>536</v>
      </c>
      <c r="C33" s="49" t="s">
        <v>534</v>
      </c>
      <c r="D33" s="49">
        <v>1221</v>
      </c>
      <c r="E33" s="49">
        <v>86.66</v>
      </c>
      <c r="F33" s="49">
        <v>8775.5</v>
      </c>
      <c r="G33" s="49">
        <v>4230.3500000000004</v>
      </c>
      <c r="H33" s="49">
        <v>2784.95</v>
      </c>
      <c r="I33" s="49">
        <v>1649.85</v>
      </c>
      <c r="J33" s="49">
        <v>1332.19</v>
      </c>
      <c r="K33" s="49" t="s">
        <v>535</v>
      </c>
      <c r="L33" s="49"/>
      <c r="M33" s="91" t="s">
        <v>258</v>
      </c>
    </row>
    <row r="34" spans="1:13" x14ac:dyDescent="0.3">
      <c r="A34" s="53">
        <v>46139</v>
      </c>
      <c r="B34" s="46" t="s">
        <v>533</v>
      </c>
      <c r="C34" s="46" t="s">
        <v>541</v>
      </c>
      <c r="D34" s="46">
        <v>11</v>
      </c>
      <c r="E34" s="46">
        <v>90.67</v>
      </c>
      <c r="F34" s="46">
        <v>9661.3799999999992</v>
      </c>
      <c r="G34" s="46">
        <v>5295.45</v>
      </c>
      <c r="H34" s="46">
        <v>4122.46</v>
      </c>
      <c r="I34" s="46">
        <v>1297.82</v>
      </c>
      <c r="J34" s="46">
        <v>470.17</v>
      </c>
      <c r="K34" s="46" t="s">
        <v>535</v>
      </c>
      <c r="L34" s="46"/>
      <c r="M34" s="90" t="s">
        <v>360</v>
      </c>
    </row>
    <row r="35" spans="1:13" x14ac:dyDescent="0.3">
      <c r="A35" s="54">
        <v>46139</v>
      </c>
      <c r="B35" s="49" t="s">
        <v>536</v>
      </c>
      <c r="C35" s="49" t="s">
        <v>541</v>
      </c>
      <c r="D35" s="49">
        <v>58</v>
      </c>
      <c r="E35" s="49">
        <v>89.46</v>
      </c>
      <c r="F35" s="49">
        <v>8883.75</v>
      </c>
      <c r="G35" s="49">
        <v>4366.62</v>
      </c>
      <c r="H35" s="49">
        <v>2806.05</v>
      </c>
      <c r="I35" s="49">
        <v>1638.3</v>
      </c>
      <c r="J35" s="49">
        <v>982.93</v>
      </c>
      <c r="K35" s="49" t="s">
        <v>535</v>
      </c>
      <c r="L35" s="49"/>
      <c r="M35" s="91" t="s">
        <v>360</v>
      </c>
    </row>
    <row r="36" spans="1:13" x14ac:dyDescent="0.3">
      <c r="A36" s="53">
        <v>46140</v>
      </c>
      <c r="B36" s="46" t="s">
        <v>533</v>
      </c>
      <c r="C36" s="46" t="s">
        <v>534</v>
      </c>
      <c r="D36" s="46">
        <v>1224</v>
      </c>
      <c r="E36" s="46">
        <v>87.74</v>
      </c>
      <c r="F36" s="46">
        <v>8891.8799999999992</v>
      </c>
      <c r="G36" s="46">
        <v>4309.93</v>
      </c>
      <c r="H36" s="46">
        <v>2894.66</v>
      </c>
      <c r="I36" s="46">
        <v>1708.1</v>
      </c>
      <c r="J36" s="46">
        <v>1353.96</v>
      </c>
      <c r="K36" s="46" t="s">
        <v>535</v>
      </c>
      <c r="L36" s="46"/>
      <c r="M36" s="90" t="s">
        <v>258</v>
      </c>
    </row>
    <row r="37" spans="1:13" x14ac:dyDescent="0.3">
      <c r="A37" s="54">
        <v>46140</v>
      </c>
      <c r="B37" s="49" t="s">
        <v>536</v>
      </c>
      <c r="C37" s="49" t="s">
        <v>534</v>
      </c>
      <c r="D37" s="49">
        <v>1276</v>
      </c>
      <c r="E37" s="49">
        <v>86.4</v>
      </c>
      <c r="F37" s="49">
        <v>8793.67</v>
      </c>
      <c r="G37" s="49">
        <v>4186.6099999999997</v>
      </c>
      <c r="H37" s="49">
        <v>2784.78</v>
      </c>
      <c r="I37" s="49">
        <v>1761.74</v>
      </c>
      <c r="J37" s="49">
        <v>1077.1199999999999</v>
      </c>
      <c r="K37" s="49" t="s">
        <v>535</v>
      </c>
      <c r="L37" s="49"/>
      <c r="M37" s="91" t="s">
        <v>258</v>
      </c>
    </row>
    <row r="38" spans="1:13" x14ac:dyDescent="0.3">
      <c r="A38" s="53">
        <v>46140</v>
      </c>
      <c r="B38" s="46" t="s">
        <v>533</v>
      </c>
      <c r="C38" s="46" t="s">
        <v>534</v>
      </c>
      <c r="D38" s="46">
        <v>62</v>
      </c>
      <c r="E38" s="46">
        <v>88.71</v>
      </c>
      <c r="F38" s="46">
        <v>9758.33</v>
      </c>
      <c r="G38" s="46">
        <v>5022.09</v>
      </c>
      <c r="H38" s="46">
        <v>3905.36</v>
      </c>
      <c r="I38" s="46">
        <v>1373.67</v>
      </c>
      <c r="J38" s="46">
        <v>475.91</v>
      </c>
      <c r="K38" s="46" t="s">
        <v>535</v>
      </c>
      <c r="L38" s="46"/>
      <c r="M38" s="90" t="s">
        <v>360</v>
      </c>
    </row>
    <row r="39" spans="1:13" x14ac:dyDescent="0.3">
      <c r="A39" s="54">
        <v>46140</v>
      </c>
      <c r="B39" s="49" t="s">
        <v>536</v>
      </c>
      <c r="C39" s="49" t="s">
        <v>534</v>
      </c>
      <c r="D39" s="49">
        <v>140</v>
      </c>
      <c r="E39" s="49">
        <v>88.28</v>
      </c>
      <c r="F39" s="49">
        <v>9614.2800000000007</v>
      </c>
      <c r="G39" s="49">
        <v>4975.4799999999996</v>
      </c>
      <c r="H39" s="49">
        <v>4038.04</v>
      </c>
      <c r="I39" s="49">
        <v>1264.79</v>
      </c>
      <c r="J39" s="49">
        <v>501.49</v>
      </c>
      <c r="K39" s="49" t="s">
        <v>535</v>
      </c>
      <c r="L39" s="49"/>
      <c r="M39" s="91" t="s">
        <v>360</v>
      </c>
    </row>
    <row r="40" spans="1:13" ht="26.4" x14ac:dyDescent="0.3">
      <c r="A40" s="53">
        <v>46141</v>
      </c>
      <c r="B40" s="46" t="s">
        <v>533</v>
      </c>
      <c r="C40" s="46" t="s">
        <v>542</v>
      </c>
      <c r="D40" s="46">
        <v>1287</v>
      </c>
      <c r="E40" s="46">
        <v>87.3</v>
      </c>
      <c r="F40" s="46">
        <v>8789.75</v>
      </c>
      <c r="G40" s="46">
        <v>4235.1400000000003</v>
      </c>
      <c r="H40" s="46">
        <v>2864.56</v>
      </c>
      <c r="I40" s="46">
        <v>1666.01</v>
      </c>
      <c r="J40" s="46">
        <v>1331.62</v>
      </c>
      <c r="K40" s="46" t="s">
        <v>535</v>
      </c>
      <c r="L40" s="46"/>
      <c r="M40" s="90" t="s">
        <v>258</v>
      </c>
    </row>
    <row r="41" spans="1:13" ht="26.4" x14ac:dyDescent="0.3">
      <c r="A41" s="54">
        <v>46141</v>
      </c>
      <c r="B41" s="49" t="s">
        <v>536</v>
      </c>
      <c r="C41" s="49" t="s">
        <v>542</v>
      </c>
      <c r="D41" s="49">
        <v>1363</v>
      </c>
      <c r="E41" s="49">
        <v>86.51</v>
      </c>
      <c r="F41" s="49">
        <v>8764.68</v>
      </c>
      <c r="G41" s="49">
        <v>4204.1099999999997</v>
      </c>
      <c r="H41" s="49">
        <v>2839.43</v>
      </c>
      <c r="I41" s="49">
        <v>1686.8</v>
      </c>
      <c r="J41" s="49">
        <v>1560.6</v>
      </c>
      <c r="K41" s="49" t="s">
        <v>535</v>
      </c>
      <c r="L41" s="49"/>
      <c r="M41" s="91" t="s">
        <v>258</v>
      </c>
    </row>
    <row r="42" spans="1:13" x14ac:dyDescent="0.3">
      <c r="A42" s="53">
        <v>46141</v>
      </c>
      <c r="B42" s="46" t="s">
        <v>533</v>
      </c>
      <c r="C42" s="46" t="s">
        <v>543</v>
      </c>
      <c r="D42" s="46">
        <v>143</v>
      </c>
      <c r="E42" s="46">
        <v>88.97</v>
      </c>
      <c r="F42" s="46">
        <v>9702.26</v>
      </c>
      <c r="G42" s="46">
        <v>5066.3100000000004</v>
      </c>
      <c r="H42" s="46">
        <v>4043.65</v>
      </c>
      <c r="I42" s="46">
        <v>1310.17</v>
      </c>
      <c r="J42" s="46">
        <v>473.88</v>
      </c>
      <c r="K42" s="46" t="s">
        <v>535</v>
      </c>
      <c r="L42" s="46"/>
      <c r="M42" s="90" t="s">
        <v>360</v>
      </c>
    </row>
    <row r="43" spans="1:13" x14ac:dyDescent="0.3">
      <c r="A43" s="54">
        <v>46141</v>
      </c>
      <c r="B43" s="49" t="s">
        <v>536</v>
      </c>
      <c r="C43" s="49" t="s">
        <v>543</v>
      </c>
      <c r="D43" s="49">
        <v>258</v>
      </c>
      <c r="E43" s="49">
        <v>89.01</v>
      </c>
      <c r="F43" s="49">
        <v>9695.1200000000008</v>
      </c>
      <c r="G43" s="49">
        <v>5054.7</v>
      </c>
      <c r="H43" s="49">
        <v>3907.54</v>
      </c>
      <c r="I43" s="49">
        <v>1271.6500000000001</v>
      </c>
      <c r="J43" s="49">
        <v>459.57</v>
      </c>
      <c r="K43" s="49" t="s">
        <v>535</v>
      </c>
      <c r="L43" s="49"/>
      <c r="M43" s="91" t="s">
        <v>360</v>
      </c>
    </row>
    <row r="44" spans="1:13" x14ac:dyDescent="0.3">
      <c r="A44" s="53">
        <v>46142</v>
      </c>
      <c r="B44" s="46" t="s">
        <v>533</v>
      </c>
      <c r="C44" s="46" t="s">
        <v>544</v>
      </c>
      <c r="D44" s="46">
        <v>1366</v>
      </c>
      <c r="E44" s="46">
        <v>87.43</v>
      </c>
      <c r="F44" s="46">
        <v>8760.01</v>
      </c>
      <c r="G44" s="46">
        <v>4348.66</v>
      </c>
      <c r="H44" s="46">
        <v>2837.37</v>
      </c>
      <c r="I44" s="46">
        <v>1694.36</v>
      </c>
      <c r="J44" s="46">
        <v>1301.3699999999999</v>
      </c>
      <c r="K44" s="46" t="s">
        <v>535</v>
      </c>
      <c r="L44" s="46"/>
      <c r="M44" s="90" t="s">
        <v>258</v>
      </c>
    </row>
    <row r="45" spans="1:13" ht="26.4" x14ac:dyDescent="0.3">
      <c r="A45" s="54">
        <v>46142</v>
      </c>
      <c r="B45" s="49" t="s">
        <v>536</v>
      </c>
      <c r="C45" s="49" t="s">
        <v>542</v>
      </c>
      <c r="D45" s="49">
        <v>1402</v>
      </c>
      <c r="E45" s="49">
        <v>86.33</v>
      </c>
      <c r="F45" s="49">
        <v>8783.0300000000007</v>
      </c>
      <c r="G45" s="49">
        <v>4203.38</v>
      </c>
      <c r="H45" s="49">
        <v>2716.99</v>
      </c>
      <c r="I45" s="49">
        <v>1726.19</v>
      </c>
      <c r="J45" s="49">
        <v>1100.33</v>
      </c>
      <c r="K45" s="49" t="s">
        <v>535</v>
      </c>
      <c r="L45" s="49"/>
      <c r="M45" s="91" t="s">
        <v>258</v>
      </c>
    </row>
    <row r="46" spans="1:13" x14ac:dyDescent="0.3">
      <c r="A46" s="53">
        <v>46142</v>
      </c>
      <c r="B46" s="46" t="s">
        <v>533</v>
      </c>
      <c r="C46" s="46" t="s">
        <v>543</v>
      </c>
      <c r="D46" s="46">
        <v>263</v>
      </c>
      <c r="E46" s="46">
        <v>88.67</v>
      </c>
      <c r="F46" s="46">
        <v>9609.1299999999992</v>
      </c>
      <c r="G46" s="46">
        <v>5051.32</v>
      </c>
      <c r="H46" s="46">
        <v>3995.29</v>
      </c>
      <c r="I46" s="46">
        <v>1219.6099999999999</v>
      </c>
      <c r="J46" s="46">
        <v>446.02</v>
      </c>
      <c r="K46" s="46" t="s">
        <v>535</v>
      </c>
      <c r="L46" s="46"/>
      <c r="M46" s="90" t="s">
        <v>360</v>
      </c>
    </row>
    <row r="47" spans="1:13" x14ac:dyDescent="0.3">
      <c r="A47" s="54">
        <v>46142</v>
      </c>
      <c r="B47" s="49" t="s">
        <v>536</v>
      </c>
      <c r="C47" s="49" t="s">
        <v>543</v>
      </c>
      <c r="D47" s="49">
        <v>351</v>
      </c>
      <c r="E47" s="49">
        <v>90.51</v>
      </c>
      <c r="F47" s="49">
        <v>9727.43</v>
      </c>
      <c r="G47" s="49">
        <v>5199.6400000000003</v>
      </c>
      <c r="H47" s="49">
        <v>4005.98</v>
      </c>
      <c r="I47" s="49">
        <v>1325.37</v>
      </c>
      <c r="J47" s="49">
        <v>422.85</v>
      </c>
      <c r="K47" s="49" t="s">
        <v>535</v>
      </c>
      <c r="L47" s="49"/>
      <c r="M47" s="91" t="s">
        <v>360</v>
      </c>
    </row>
    <row r="48" spans="1:13" x14ac:dyDescent="0.3">
      <c r="A48" s="53">
        <v>46143</v>
      </c>
      <c r="B48" s="46" t="s">
        <v>533</v>
      </c>
      <c r="C48" s="46" t="s">
        <v>544</v>
      </c>
      <c r="D48" s="46">
        <v>1405</v>
      </c>
      <c r="E48" s="46">
        <v>85.74</v>
      </c>
      <c r="F48" s="46">
        <v>8734.7800000000007</v>
      </c>
      <c r="G48" s="46">
        <v>4109.57</v>
      </c>
      <c r="H48" s="46">
        <v>2829.4</v>
      </c>
      <c r="I48" s="46">
        <v>1627.59</v>
      </c>
      <c r="J48" s="46">
        <v>1225.3499999999999</v>
      </c>
      <c r="K48" s="46" t="s">
        <v>535</v>
      </c>
      <c r="L48" s="46"/>
      <c r="M48" s="90" t="s">
        <v>258</v>
      </c>
    </row>
    <row r="49" spans="1:13" ht="26.4" x14ac:dyDescent="0.3">
      <c r="A49" s="54">
        <v>46143</v>
      </c>
      <c r="B49" s="49" t="s">
        <v>536</v>
      </c>
      <c r="C49" s="49" t="s">
        <v>545</v>
      </c>
      <c r="D49" s="49">
        <v>1481</v>
      </c>
      <c r="E49" s="49">
        <v>85.7</v>
      </c>
      <c r="F49" s="49">
        <v>8689.99</v>
      </c>
      <c r="G49" s="49">
        <v>4124.75</v>
      </c>
      <c r="H49" s="49">
        <v>2881.13</v>
      </c>
      <c r="I49" s="49">
        <v>1627.34</v>
      </c>
      <c r="J49" s="49">
        <v>1335.61</v>
      </c>
      <c r="K49" s="49" t="s">
        <v>535</v>
      </c>
      <c r="L49" s="49"/>
      <c r="M49" s="91" t="s">
        <v>258</v>
      </c>
    </row>
    <row r="50" spans="1:13" x14ac:dyDescent="0.3">
      <c r="A50" s="53">
        <v>46143</v>
      </c>
      <c r="B50" s="46" t="s">
        <v>533</v>
      </c>
      <c r="C50" s="46" t="s">
        <v>543</v>
      </c>
      <c r="D50" s="46">
        <v>354</v>
      </c>
      <c r="E50" s="46">
        <v>86.7</v>
      </c>
      <c r="F50" s="46">
        <v>9699.2999999999993</v>
      </c>
      <c r="G50" s="46">
        <v>4728.17</v>
      </c>
      <c r="H50" s="46">
        <v>3884.07</v>
      </c>
      <c r="I50" s="46">
        <v>1196</v>
      </c>
      <c r="J50" s="46">
        <v>475.98</v>
      </c>
      <c r="K50" s="46" t="s">
        <v>535</v>
      </c>
      <c r="L50" s="46"/>
      <c r="M50" s="90" t="s">
        <v>360</v>
      </c>
    </row>
    <row r="51" spans="1:13" ht="26.4" x14ac:dyDescent="0.3">
      <c r="A51" s="54">
        <v>46143</v>
      </c>
      <c r="B51" s="49" t="s">
        <v>536</v>
      </c>
      <c r="C51" s="49" t="s">
        <v>543</v>
      </c>
      <c r="D51" s="49">
        <v>435</v>
      </c>
      <c r="E51" s="49">
        <v>88.36</v>
      </c>
      <c r="F51" s="49">
        <v>9752.51</v>
      </c>
      <c r="G51" s="49">
        <v>5015.09</v>
      </c>
      <c r="H51" s="49">
        <v>3970.2</v>
      </c>
      <c r="I51" s="49">
        <v>1272.4100000000001</v>
      </c>
      <c r="J51" s="49">
        <v>587.82000000000005</v>
      </c>
      <c r="K51" s="49" t="s">
        <v>535</v>
      </c>
      <c r="L51" s="49" t="s">
        <v>546</v>
      </c>
      <c r="M51" s="91" t="s">
        <v>360</v>
      </c>
    </row>
    <row r="52" spans="1:13" x14ac:dyDescent="0.3">
      <c r="A52" s="53">
        <v>46146</v>
      </c>
      <c r="B52" s="46" t="s">
        <v>533</v>
      </c>
      <c r="C52" s="46" t="s">
        <v>547</v>
      </c>
      <c r="D52" s="46">
        <v>438</v>
      </c>
      <c r="E52" s="46">
        <v>89.47</v>
      </c>
      <c r="F52" s="46">
        <v>9745.61</v>
      </c>
      <c r="G52" s="46">
        <v>5155.67</v>
      </c>
      <c r="H52" s="46">
        <v>3897.09</v>
      </c>
      <c r="I52" s="46">
        <v>1276.1500000000001</v>
      </c>
      <c r="J52" s="46">
        <v>487.19</v>
      </c>
      <c r="K52" s="46" t="s">
        <v>535</v>
      </c>
      <c r="L52" s="46" t="s">
        <v>548</v>
      </c>
      <c r="M52" s="90" t="s">
        <v>360</v>
      </c>
    </row>
    <row r="53" spans="1:13" x14ac:dyDescent="0.3">
      <c r="A53" s="54">
        <v>46146</v>
      </c>
      <c r="B53" s="49" t="s">
        <v>536</v>
      </c>
      <c r="C53" s="49" t="s">
        <v>547</v>
      </c>
      <c r="D53" s="49">
        <v>488</v>
      </c>
      <c r="E53" s="49">
        <v>87.19</v>
      </c>
      <c r="F53" s="49">
        <v>9944.7199999999993</v>
      </c>
      <c r="G53" s="49">
        <v>4674.83</v>
      </c>
      <c r="H53" s="49">
        <v>3749.39</v>
      </c>
      <c r="I53" s="49">
        <v>1141.18</v>
      </c>
      <c r="J53" s="49">
        <v>514.9</v>
      </c>
      <c r="K53" s="49" t="s">
        <v>535</v>
      </c>
      <c r="L53" s="49" t="s">
        <v>548</v>
      </c>
      <c r="M53" s="91" t="s">
        <v>360</v>
      </c>
    </row>
    <row r="54" spans="1:13" x14ac:dyDescent="0.3">
      <c r="A54" s="53">
        <v>46147</v>
      </c>
      <c r="B54" s="46" t="s">
        <v>533</v>
      </c>
      <c r="C54" s="46" t="s">
        <v>547</v>
      </c>
      <c r="D54" s="46">
        <v>491</v>
      </c>
      <c r="E54" s="46">
        <v>87.55</v>
      </c>
      <c r="F54" s="46">
        <v>9646.09</v>
      </c>
      <c r="G54" s="46">
        <v>4968.34</v>
      </c>
      <c r="H54" s="46">
        <v>3986.52</v>
      </c>
      <c r="I54" s="46">
        <v>1220.29</v>
      </c>
      <c r="J54" s="46">
        <v>711.61</v>
      </c>
      <c r="K54" s="46" t="s">
        <v>535</v>
      </c>
      <c r="L54" s="46"/>
      <c r="M54" s="90" t="s">
        <v>360</v>
      </c>
    </row>
    <row r="55" spans="1:13" x14ac:dyDescent="0.3">
      <c r="A55" s="54">
        <v>46147</v>
      </c>
      <c r="B55" s="49" t="s">
        <v>536</v>
      </c>
      <c r="C55" s="49" t="s">
        <v>547</v>
      </c>
      <c r="D55" s="49">
        <v>548</v>
      </c>
      <c r="E55" s="49">
        <v>87.83</v>
      </c>
      <c r="F55" s="49">
        <v>9591.91</v>
      </c>
      <c r="G55" s="49">
        <v>4980.67</v>
      </c>
      <c r="H55" s="49">
        <v>3984.91</v>
      </c>
      <c r="I55" s="49">
        <v>1223.1199999999999</v>
      </c>
      <c r="J55" s="49">
        <v>438.12</v>
      </c>
      <c r="K55" s="49" t="s">
        <v>535</v>
      </c>
      <c r="L55" s="49" t="s">
        <v>548</v>
      </c>
      <c r="M55" s="91" t="s">
        <v>360</v>
      </c>
    </row>
    <row r="56" spans="1:13" x14ac:dyDescent="0.3">
      <c r="A56" s="53">
        <v>46147</v>
      </c>
      <c r="B56" s="46" t="s">
        <v>533</v>
      </c>
      <c r="C56" s="46" t="s">
        <v>549</v>
      </c>
      <c r="D56" s="46">
        <v>1548</v>
      </c>
      <c r="E56" s="46">
        <v>86.65</v>
      </c>
      <c r="F56" s="46">
        <v>8826.18</v>
      </c>
      <c r="G56" s="46">
        <v>4178.26</v>
      </c>
      <c r="H56" s="46">
        <v>2869.14</v>
      </c>
      <c r="I56" s="46">
        <v>1662.8</v>
      </c>
      <c r="J56" s="46">
        <v>1158.83</v>
      </c>
      <c r="K56" s="46" t="s">
        <v>535</v>
      </c>
      <c r="L56" s="46"/>
      <c r="M56" s="90" t="s">
        <v>258</v>
      </c>
    </row>
    <row r="57" spans="1:13" x14ac:dyDescent="0.3">
      <c r="A57" s="54">
        <v>46147</v>
      </c>
      <c r="B57" s="49" t="s">
        <v>536</v>
      </c>
      <c r="C57" s="49" t="s">
        <v>549</v>
      </c>
      <c r="D57" s="49">
        <v>1567</v>
      </c>
      <c r="E57" s="49">
        <v>85.41</v>
      </c>
      <c r="F57" s="49">
        <v>8757.2999999999993</v>
      </c>
      <c r="G57" s="49">
        <v>4124.28</v>
      </c>
      <c r="H57" s="49">
        <v>2815.16</v>
      </c>
      <c r="I57" s="49">
        <v>1631.92</v>
      </c>
      <c r="J57" s="49">
        <v>1069.52</v>
      </c>
      <c r="K57" s="49" t="s">
        <v>535</v>
      </c>
      <c r="L57" s="49"/>
      <c r="M57" s="91" t="s">
        <v>258</v>
      </c>
    </row>
    <row r="58" spans="1:13" x14ac:dyDescent="0.3">
      <c r="A58" s="53">
        <v>46148</v>
      </c>
      <c r="B58" s="46" t="s">
        <v>533</v>
      </c>
      <c r="C58" s="46" t="s">
        <v>549</v>
      </c>
      <c r="D58" s="46">
        <v>551</v>
      </c>
      <c r="E58" s="46">
        <v>89.29</v>
      </c>
      <c r="F58" s="46">
        <v>9746.7099999999991</v>
      </c>
      <c r="G58" s="46">
        <v>5115.28</v>
      </c>
      <c r="H58" s="46">
        <v>3972.87</v>
      </c>
      <c r="I58" s="46">
        <v>1289.4100000000001</v>
      </c>
      <c r="J58" s="46">
        <v>496.99</v>
      </c>
      <c r="K58" s="46" t="s">
        <v>535</v>
      </c>
      <c r="L58" s="46" t="s">
        <v>550</v>
      </c>
      <c r="M58" s="90" t="s">
        <v>360</v>
      </c>
    </row>
    <row r="59" spans="1:13" x14ac:dyDescent="0.3">
      <c r="A59" s="54">
        <v>46148</v>
      </c>
      <c r="B59" s="49" t="s">
        <v>536</v>
      </c>
      <c r="C59" s="49" t="s">
        <v>549</v>
      </c>
      <c r="D59" s="49">
        <v>574</v>
      </c>
      <c r="E59" s="49">
        <v>88.48</v>
      </c>
      <c r="F59" s="49">
        <v>9625.75</v>
      </c>
      <c r="G59" s="49">
        <v>4972.8100000000004</v>
      </c>
      <c r="H59" s="49">
        <v>3829.61</v>
      </c>
      <c r="I59" s="49">
        <v>1306.78</v>
      </c>
      <c r="J59" s="49">
        <v>445.52</v>
      </c>
      <c r="K59" s="49" t="s">
        <v>535</v>
      </c>
      <c r="L59" s="49"/>
      <c r="M59" s="91" t="s">
        <v>360</v>
      </c>
    </row>
    <row r="60" spans="1:13" x14ac:dyDescent="0.3">
      <c r="A60" s="53">
        <v>46148</v>
      </c>
      <c r="B60" s="46" t="s">
        <v>533</v>
      </c>
      <c r="C60" s="46" t="s">
        <v>551</v>
      </c>
      <c r="D60" s="46">
        <v>1570</v>
      </c>
      <c r="E60" s="46">
        <v>86.72</v>
      </c>
      <c r="F60" s="46">
        <v>8701.5400000000009</v>
      </c>
      <c r="G60" s="46">
        <v>4188.04</v>
      </c>
      <c r="H60" s="46">
        <v>2892.78</v>
      </c>
      <c r="I60" s="46">
        <v>1691.95</v>
      </c>
      <c r="J60" s="46">
        <v>1297.8699999999999</v>
      </c>
      <c r="K60" s="46" t="s">
        <v>535</v>
      </c>
      <c r="L60" s="46" t="s">
        <v>552</v>
      </c>
      <c r="M60" s="90" t="s">
        <v>258</v>
      </c>
    </row>
    <row r="61" spans="1:13" x14ac:dyDescent="0.3">
      <c r="A61" s="54">
        <v>46148</v>
      </c>
      <c r="B61" s="49" t="s">
        <v>536</v>
      </c>
      <c r="C61" s="49" t="s">
        <v>551</v>
      </c>
      <c r="D61" s="49">
        <v>1632</v>
      </c>
      <c r="E61" s="49">
        <v>87.68</v>
      </c>
      <c r="F61" s="49">
        <v>8847.73</v>
      </c>
      <c r="G61" s="49">
        <v>4290.5200000000004</v>
      </c>
      <c r="H61" s="49">
        <v>2715.51</v>
      </c>
      <c r="I61" s="49">
        <v>1772.38</v>
      </c>
      <c r="J61" s="49">
        <v>1117.1300000000001</v>
      </c>
      <c r="K61" s="49" t="s">
        <v>535</v>
      </c>
      <c r="L61" s="49"/>
      <c r="M61" s="91" t="s">
        <v>258</v>
      </c>
    </row>
    <row r="62" spans="1:13" x14ac:dyDescent="0.3">
      <c r="A62" s="53">
        <v>46149</v>
      </c>
      <c r="B62" s="46" t="s">
        <v>533</v>
      </c>
      <c r="C62" s="46" t="s">
        <v>549</v>
      </c>
      <c r="D62" s="46">
        <v>1635</v>
      </c>
      <c r="E62" s="46">
        <v>87.72</v>
      </c>
      <c r="F62" s="46">
        <v>8751.7199999999993</v>
      </c>
      <c r="G62" s="46">
        <v>4284.93</v>
      </c>
      <c r="H62" s="46">
        <v>2895.33</v>
      </c>
      <c r="I62" s="46">
        <v>1669.96</v>
      </c>
      <c r="J62" s="46">
        <v>1364.71</v>
      </c>
      <c r="K62" s="46" t="s">
        <v>535</v>
      </c>
      <c r="L62" s="46" t="s">
        <v>553</v>
      </c>
      <c r="M62" s="90" t="s">
        <v>258</v>
      </c>
    </row>
    <row r="63" spans="1:13" x14ac:dyDescent="0.3">
      <c r="A63" s="54">
        <v>46149</v>
      </c>
      <c r="B63" s="49" t="s">
        <v>536</v>
      </c>
      <c r="C63" s="49" t="s">
        <v>549</v>
      </c>
      <c r="D63" s="49">
        <v>1723</v>
      </c>
      <c r="E63" s="49">
        <v>86.11</v>
      </c>
      <c r="F63" s="49">
        <v>8854.15</v>
      </c>
      <c r="G63" s="49">
        <v>4156.74</v>
      </c>
      <c r="H63" s="49">
        <v>2730.09</v>
      </c>
      <c r="I63" s="49">
        <v>1659.16</v>
      </c>
      <c r="J63" s="49">
        <v>1223.69</v>
      </c>
      <c r="K63" s="49" t="s">
        <v>535</v>
      </c>
      <c r="L63" s="49"/>
      <c r="M63" s="91" t="s">
        <v>258</v>
      </c>
    </row>
    <row r="64" spans="1:13" x14ac:dyDescent="0.3">
      <c r="A64" s="53">
        <v>46149</v>
      </c>
      <c r="B64" s="46" t="s">
        <v>533</v>
      </c>
      <c r="C64" s="46" t="s">
        <v>547</v>
      </c>
      <c r="D64" s="46">
        <v>577</v>
      </c>
      <c r="E64" s="46">
        <v>89.22</v>
      </c>
      <c r="F64" s="46">
        <v>9732.34</v>
      </c>
      <c r="G64" s="46">
        <v>5119.97</v>
      </c>
      <c r="H64" s="46">
        <v>3816.04</v>
      </c>
      <c r="I64" s="46">
        <v>1323.98</v>
      </c>
      <c r="J64" s="46">
        <v>633.85</v>
      </c>
      <c r="K64" s="46" t="s">
        <v>535</v>
      </c>
      <c r="L64" s="46" t="s">
        <v>554</v>
      </c>
      <c r="M64" s="90" t="s">
        <v>360</v>
      </c>
    </row>
    <row r="65" spans="1:13" x14ac:dyDescent="0.3">
      <c r="A65" s="54">
        <v>46149</v>
      </c>
      <c r="B65" s="49" t="s">
        <v>536</v>
      </c>
      <c r="C65" s="49" t="s">
        <v>547</v>
      </c>
      <c r="D65" s="49">
        <v>659</v>
      </c>
      <c r="E65" s="49">
        <v>88.84</v>
      </c>
      <c r="F65" s="49">
        <v>9627.9500000000007</v>
      </c>
      <c r="G65" s="49">
        <v>5047.57</v>
      </c>
      <c r="H65" s="49">
        <v>3959.01</v>
      </c>
      <c r="I65" s="49">
        <v>1289.49</v>
      </c>
      <c r="J65" s="49">
        <v>420.76</v>
      </c>
      <c r="K65" s="49" t="s">
        <v>535</v>
      </c>
      <c r="L65" s="49"/>
      <c r="M65" s="91" t="s">
        <v>360</v>
      </c>
    </row>
    <row r="66" spans="1:13" x14ac:dyDescent="0.3">
      <c r="A66" s="53">
        <v>46150</v>
      </c>
      <c r="B66" s="46" t="s">
        <v>533</v>
      </c>
      <c r="C66" s="46" t="s">
        <v>549</v>
      </c>
      <c r="D66" s="46">
        <v>1728</v>
      </c>
      <c r="E66" s="46">
        <v>85.07</v>
      </c>
      <c r="F66" s="46">
        <v>9309.4599999999991</v>
      </c>
      <c r="G66" s="46">
        <v>4128.1000000000004</v>
      </c>
      <c r="H66" s="46">
        <v>2802.68</v>
      </c>
      <c r="I66" s="46">
        <v>1707.2</v>
      </c>
      <c r="J66" s="46">
        <v>1609.14</v>
      </c>
      <c r="K66" s="46" t="s">
        <v>535</v>
      </c>
      <c r="L66" s="46" t="s">
        <v>555</v>
      </c>
      <c r="M66" s="90" t="s">
        <v>258</v>
      </c>
    </row>
    <row r="67" spans="1:13" x14ac:dyDescent="0.3">
      <c r="A67" s="54">
        <v>46150</v>
      </c>
      <c r="B67" s="49" t="s">
        <v>536</v>
      </c>
      <c r="C67" s="49" t="s">
        <v>549</v>
      </c>
      <c r="D67" s="49">
        <v>1868</v>
      </c>
      <c r="E67" s="49">
        <v>86.34</v>
      </c>
      <c r="F67" s="49">
        <v>8860.48</v>
      </c>
      <c r="G67" s="49">
        <v>4246.49</v>
      </c>
      <c r="H67" s="49">
        <v>2889.57</v>
      </c>
      <c r="I67" s="49">
        <v>1718.53</v>
      </c>
      <c r="J67" s="49">
        <v>1274.8</v>
      </c>
      <c r="K67" s="49" t="s">
        <v>535</v>
      </c>
      <c r="L67" s="49"/>
      <c r="M67" s="91" t="s">
        <v>258</v>
      </c>
    </row>
    <row r="68" spans="1:13" x14ac:dyDescent="0.3">
      <c r="A68" s="53">
        <v>46150</v>
      </c>
      <c r="B68" s="46" t="s">
        <v>533</v>
      </c>
      <c r="C68" s="46" t="s">
        <v>547</v>
      </c>
      <c r="D68" s="46">
        <v>663</v>
      </c>
      <c r="E68" s="46">
        <v>88.34</v>
      </c>
      <c r="F68" s="46">
        <v>9527.69</v>
      </c>
      <c r="G68" s="46">
        <v>5003.72</v>
      </c>
      <c r="H68" s="46">
        <v>3992.31</v>
      </c>
      <c r="I68" s="46">
        <v>1233.6199999999999</v>
      </c>
      <c r="J68" s="46">
        <v>526.99</v>
      </c>
      <c r="K68" s="46" t="s">
        <v>535</v>
      </c>
      <c r="L68" s="46" t="s">
        <v>556</v>
      </c>
      <c r="M68" s="90" t="s">
        <v>360</v>
      </c>
    </row>
    <row r="69" spans="1:13" x14ac:dyDescent="0.3">
      <c r="A69" s="54">
        <v>46150</v>
      </c>
      <c r="B69" s="49" t="s">
        <v>536</v>
      </c>
      <c r="C69" s="49" t="s">
        <v>547</v>
      </c>
      <c r="D69" s="49">
        <v>805</v>
      </c>
      <c r="E69" s="49">
        <v>88.15</v>
      </c>
      <c r="F69" s="49">
        <v>9576.5400000000009</v>
      </c>
      <c r="G69" s="49">
        <v>4965.76</v>
      </c>
      <c r="H69" s="49">
        <v>4024.99</v>
      </c>
      <c r="I69" s="49">
        <v>1317.69</v>
      </c>
      <c r="J69" s="49">
        <v>433.42</v>
      </c>
      <c r="K69" s="49" t="s">
        <v>535</v>
      </c>
      <c r="L69" s="49"/>
      <c r="M69" s="91" t="s">
        <v>360</v>
      </c>
    </row>
  </sheetData>
  <autoFilter ref="A4:M69" xr:uid="{00000000-0009-0000-0000-000004000000}"/>
  <mergeCells count="6">
    <mergeCell ref="A5:D5"/>
    <mergeCell ref="A1:L1"/>
    <mergeCell ref="A2:L2"/>
    <mergeCell ref="A3:D3"/>
    <mergeCell ref="E3:J3"/>
    <mergeCell ref="K3:L3"/>
  </mergeCells>
  <dataValidations count="2">
    <dataValidation type="list" allowBlank="1" sqref="B6:B65" xr:uid="{00000000-0002-0000-0400-000000000000}">
      <formula1>"AM,PM"</formula1>
      <formula2>0</formula2>
    </dataValidation>
    <dataValidation type="list" allowBlank="1" sqref="K6:K65" xr:uid="{00000000-0002-0000-0400-000001000000}">
      <formula1>"Pass,Fail"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48235"/>
    <pageSetUpPr fitToPage="1"/>
  </sheetPr>
  <dimension ref="A1:K53"/>
  <sheetViews>
    <sheetView zoomScaleNormal="100" workbookViewId="0">
      <pane ySplit="3" topLeftCell="A17" activePane="bottomLeft" state="frozen"/>
      <selection pane="bottomLeft" sqref="A1:XFD1048576"/>
    </sheetView>
  </sheetViews>
  <sheetFormatPr defaultColWidth="8.6640625" defaultRowHeight="14.4" x14ac:dyDescent="0.3"/>
  <cols>
    <col min="1" max="1" width="9.44140625" bestFit="1" customWidth="1"/>
    <col min="2" max="2" width="40.33203125" bestFit="1" customWidth="1"/>
    <col min="3" max="3" width="202" bestFit="1" customWidth="1"/>
    <col min="4" max="5" width="14.44140625" bestFit="1" customWidth="1"/>
    <col min="6" max="6" width="13.44140625" bestFit="1" customWidth="1"/>
    <col min="7" max="7" width="255.77734375" bestFit="1" customWidth="1"/>
    <col min="8" max="8" width="47.6640625" bestFit="1" customWidth="1"/>
    <col min="9" max="9" width="22.33203125" bestFit="1" customWidth="1"/>
    <col min="10" max="10" width="255.77734375" bestFit="1" customWidth="1"/>
    <col min="11" max="11" width="3" customWidth="1"/>
  </cols>
  <sheetData>
    <row r="1" spans="1:10" ht="17.399999999999999" x14ac:dyDescent="0.3">
      <c r="A1" s="14" t="s">
        <v>557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3">
      <c r="A2" s="13" t="s">
        <v>558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28.8" x14ac:dyDescent="0.3">
      <c r="A3" s="17" t="s">
        <v>82</v>
      </c>
      <c r="B3" s="17" t="s">
        <v>559</v>
      </c>
      <c r="C3" s="17" t="s">
        <v>560</v>
      </c>
      <c r="D3" s="17" t="s">
        <v>561</v>
      </c>
      <c r="E3" s="17" t="s">
        <v>562</v>
      </c>
      <c r="F3" s="17" t="s">
        <v>563</v>
      </c>
      <c r="G3" s="17" t="s">
        <v>564</v>
      </c>
      <c r="H3" s="17" t="s">
        <v>565</v>
      </c>
      <c r="I3" s="17" t="s">
        <v>566</v>
      </c>
      <c r="J3" s="17" t="s">
        <v>567</v>
      </c>
    </row>
    <row r="4" spans="1:10" x14ac:dyDescent="0.3">
      <c r="A4" s="45">
        <v>46114</v>
      </c>
      <c r="B4" s="46" t="s">
        <v>568</v>
      </c>
      <c r="C4" s="46" t="s">
        <v>14</v>
      </c>
      <c r="D4" s="47">
        <f>IF(A4="","",COUNTIF('Boulder Sample Log'!A$5:A$204,A4))</f>
        <v>2</v>
      </c>
      <c r="E4" s="47">
        <f>IF(A4="","",SUMIF('Boulder Sample Log'!A$5:A$204,A4,'Boulder Sample Log'!P$5:P$204))</f>
        <v>36</v>
      </c>
      <c r="F4" s="47">
        <f>IF(A4="","",COUNTIFS('Boulder Sample Log'!A$5:A$204,A4,'Boulder Sample Log'!S$5:S$204,"Y"))</f>
        <v>2</v>
      </c>
      <c r="G4" s="46" t="s">
        <v>569</v>
      </c>
      <c r="H4" s="46" t="s">
        <v>108</v>
      </c>
      <c r="I4" s="46" t="s">
        <v>535</v>
      </c>
      <c r="J4" s="46" t="s">
        <v>570</v>
      </c>
    </row>
    <row r="5" spans="1:10" x14ac:dyDescent="0.3">
      <c r="A5" s="48">
        <v>46115</v>
      </c>
      <c r="B5" s="49" t="s">
        <v>568</v>
      </c>
      <c r="C5" s="49" t="s">
        <v>14</v>
      </c>
      <c r="D5" s="50">
        <f>IF(A5="","",COUNTIF('Boulder Sample Log'!A$5:A$204,A5))</f>
        <v>4</v>
      </c>
      <c r="E5" s="50">
        <f>IF(A5="","",SUMIF('Boulder Sample Log'!A$5:A$204,A5,'Boulder Sample Log'!P$5:P$204))</f>
        <v>74</v>
      </c>
      <c r="F5" s="50">
        <f>IF(A5="","",COUNTIFS('Boulder Sample Log'!A$5:A$204,A5,'Boulder Sample Log'!S$5:S$204,"Y"))</f>
        <v>4</v>
      </c>
      <c r="G5" s="49" t="s">
        <v>571</v>
      </c>
      <c r="H5" s="49" t="s">
        <v>108</v>
      </c>
      <c r="I5" s="49" t="s">
        <v>535</v>
      </c>
      <c r="J5" s="49" t="s">
        <v>572</v>
      </c>
    </row>
    <row r="6" spans="1:10" x14ac:dyDescent="0.3">
      <c r="A6" s="45">
        <v>46118</v>
      </c>
      <c r="B6" s="46" t="s">
        <v>573</v>
      </c>
      <c r="C6" s="46" t="s">
        <v>574</v>
      </c>
      <c r="D6" s="47">
        <f>IF(A6="","",COUNTIF('Boulder Sample Log'!A$5:A$204,A6))</f>
        <v>5</v>
      </c>
      <c r="E6" s="47">
        <f>IF(A6="","",SUMIF('Boulder Sample Log'!A$5:A$204,A6,'Boulder Sample Log'!P$5:P$204))</f>
        <v>78</v>
      </c>
      <c r="F6" s="47">
        <f>IF(A6="","",COUNTIFS('Boulder Sample Log'!A$5:A$204,A6,'Boulder Sample Log'!S$5:S$204,"Y"))</f>
        <v>0</v>
      </c>
      <c r="G6" s="46" t="s">
        <v>575</v>
      </c>
      <c r="H6" s="46" t="s">
        <v>108</v>
      </c>
      <c r="I6" s="46" t="s">
        <v>535</v>
      </c>
      <c r="J6" s="46" t="s">
        <v>576</v>
      </c>
    </row>
    <row r="7" spans="1:10" x14ac:dyDescent="0.3">
      <c r="A7" s="48">
        <v>46119</v>
      </c>
      <c r="B7" s="49" t="s">
        <v>577</v>
      </c>
      <c r="C7" s="49" t="s">
        <v>14</v>
      </c>
      <c r="D7" s="50">
        <f>IF(A7="","",COUNTIF('Boulder Sample Log'!A$5:A$204,A7))</f>
        <v>5</v>
      </c>
      <c r="E7" s="50">
        <f>IF(A7="","",SUMIF('Boulder Sample Log'!A$5:A$204,A7,'Boulder Sample Log'!P$5:P$204))</f>
        <v>78</v>
      </c>
      <c r="F7" s="50">
        <f>IF(A7="","",COUNTIFS('Boulder Sample Log'!A$5:A$204,A7,'Boulder Sample Log'!S$5:S$204,"Y"))</f>
        <v>0</v>
      </c>
      <c r="G7" s="49" t="s">
        <v>578</v>
      </c>
      <c r="H7" s="49" t="s">
        <v>108</v>
      </c>
      <c r="I7" s="49" t="s">
        <v>535</v>
      </c>
      <c r="J7" s="49" t="s">
        <v>579</v>
      </c>
    </row>
    <row r="8" spans="1:10" x14ac:dyDescent="0.3">
      <c r="A8" s="45">
        <v>46120</v>
      </c>
      <c r="B8" s="46" t="s">
        <v>580</v>
      </c>
      <c r="C8" s="46" t="s">
        <v>19</v>
      </c>
      <c r="D8" s="47">
        <f>IF(A8="","",COUNTIF('Boulder Sample Log'!A$5:A$204,A8))</f>
        <v>5</v>
      </c>
      <c r="E8" s="47">
        <f>IF(A8="","",SUMIF('Boulder Sample Log'!A$5:A$204,A8,'Boulder Sample Log'!P$5:P$204))</f>
        <v>96</v>
      </c>
      <c r="F8" s="47">
        <f>IF(A8="","",COUNTIFS('Boulder Sample Log'!A$5:A$204,A8,'Boulder Sample Log'!S$5:S$204,"Y"))</f>
        <v>0</v>
      </c>
      <c r="G8" s="46" t="s">
        <v>581</v>
      </c>
      <c r="H8" s="46" t="s">
        <v>108</v>
      </c>
      <c r="I8" s="46" t="s">
        <v>535</v>
      </c>
      <c r="J8" s="46" t="s">
        <v>582</v>
      </c>
    </row>
    <row r="9" spans="1:10" x14ac:dyDescent="0.3">
      <c r="A9" s="48">
        <v>46121</v>
      </c>
      <c r="B9" s="49" t="s">
        <v>583</v>
      </c>
      <c r="C9" s="49" t="s">
        <v>14</v>
      </c>
      <c r="D9" s="50">
        <f>IF(A9="","",COUNTIF('Boulder Sample Log'!A$5:A$204,A9))</f>
        <v>5</v>
      </c>
      <c r="E9" s="50">
        <f>IF(A9="","",SUMIF('Boulder Sample Log'!A$5:A$204,A9,'Boulder Sample Log'!P$5:P$204))</f>
        <v>64</v>
      </c>
      <c r="F9" s="50">
        <f>IF(A9="","",COUNTIFS('Boulder Sample Log'!A$5:A$204,A9,'Boulder Sample Log'!S$5:S$204,"Y"))</f>
        <v>0</v>
      </c>
      <c r="G9" s="49" t="s">
        <v>584</v>
      </c>
      <c r="H9" s="49" t="s">
        <v>108</v>
      </c>
      <c r="I9" s="49" t="s">
        <v>535</v>
      </c>
      <c r="J9" s="49" t="s">
        <v>585</v>
      </c>
    </row>
    <row r="10" spans="1:10" x14ac:dyDescent="0.3">
      <c r="A10" s="71">
        <v>46125</v>
      </c>
      <c r="B10" s="70" t="s">
        <v>586</v>
      </c>
      <c r="C10" s="70" t="s">
        <v>587</v>
      </c>
      <c r="D10" s="70">
        <f>IF(A10="","",COUNTIF('Boulder Sample Log'!A$5:A$204,A10))</f>
        <v>7</v>
      </c>
      <c r="E10" s="70">
        <f>IF(A10="","",SUMIF('Boulder Sample Log'!A$5:A$204,A10,'Boulder Sample Log'!P$5:P$204))</f>
        <v>80</v>
      </c>
      <c r="F10" s="70">
        <f>IF(A10="","",COUNTIFS('Boulder Sample Log'!A$5:A$204,A10,'Boulder Sample Log'!S$5:S$204,"Y"))</f>
        <v>0</v>
      </c>
      <c r="G10" s="70" t="s">
        <v>588</v>
      </c>
      <c r="H10" s="70" t="s">
        <v>108</v>
      </c>
      <c r="I10" s="70" t="s">
        <v>535</v>
      </c>
      <c r="J10" s="70" t="s">
        <v>589</v>
      </c>
    </row>
    <row r="11" spans="1:10" x14ac:dyDescent="0.3">
      <c r="A11" s="74">
        <v>46126</v>
      </c>
      <c r="B11" s="73" t="s">
        <v>590</v>
      </c>
      <c r="C11" s="73" t="s">
        <v>591</v>
      </c>
      <c r="D11" s="73">
        <f>IF(A11="","",COUNTIF('Boulder Sample Log'!A$5:A$204,A11))</f>
        <v>7</v>
      </c>
      <c r="E11" s="73">
        <f>IF(A11="","",SUMIF('Boulder Sample Log'!A$5:A$204,A11,'Boulder Sample Log'!P$5:P$204))</f>
        <v>79</v>
      </c>
      <c r="F11" s="73">
        <f>IF(A11="","",COUNTIFS('Boulder Sample Log'!A$5:A$204,A11,'Boulder Sample Log'!S$5:S$204,"Y"))</f>
        <v>0</v>
      </c>
      <c r="G11" s="73" t="s">
        <v>592</v>
      </c>
      <c r="H11" s="73" t="s">
        <v>108</v>
      </c>
      <c r="I11" s="73" t="s">
        <v>535</v>
      </c>
      <c r="J11" s="73" t="s">
        <v>593</v>
      </c>
    </row>
    <row r="12" spans="1:10" x14ac:dyDescent="0.3">
      <c r="A12" s="45">
        <v>46127</v>
      </c>
      <c r="B12" s="46" t="s">
        <v>594</v>
      </c>
      <c r="C12" s="46" t="s">
        <v>595</v>
      </c>
      <c r="D12" s="46">
        <f>IF(A12="","",COUNTIF('Boulder Sample Log'!A$5:A$204,A12))</f>
        <v>6</v>
      </c>
      <c r="E12" s="46">
        <f>IF(A12="","",SUMIF('Boulder Sample Log'!A$5:A$204,A12,'Boulder Sample Log'!P$5:P$204))</f>
        <v>62</v>
      </c>
      <c r="F12" s="46">
        <f>IF(A12="","",COUNTIFS('Boulder Sample Log'!A$5:A$204,A12,'Boulder Sample Log'!S$5:S$204,"Y"))</f>
        <v>0</v>
      </c>
      <c r="G12" s="46" t="s">
        <v>569</v>
      </c>
      <c r="H12" s="46" t="s">
        <v>108</v>
      </c>
      <c r="I12" s="46" t="s">
        <v>108</v>
      </c>
      <c r="J12" s="46" t="s">
        <v>596</v>
      </c>
    </row>
    <row r="13" spans="1:10" x14ac:dyDescent="0.3">
      <c r="A13" s="48">
        <v>46128</v>
      </c>
      <c r="B13" s="49" t="s">
        <v>597</v>
      </c>
      <c r="C13" s="49" t="s">
        <v>598</v>
      </c>
      <c r="D13" s="49">
        <f>IF(A13="","",COUNTIF('Boulder Sample Log'!A$5:A$204,A13))</f>
        <v>10</v>
      </c>
      <c r="E13" s="49">
        <f>IF(A13="","",SUMIF('Boulder Sample Log'!A$5:A$204,A13,'Boulder Sample Log'!P$5:P$204))</f>
        <v>111</v>
      </c>
      <c r="F13" s="49">
        <f>IF(A13="","",COUNTIFS('Boulder Sample Log'!A$5:A$204,A13,'Boulder Sample Log'!S$5:S$204,"Y"))</f>
        <v>0</v>
      </c>
      <c r="G13" s="49" t="s">
        <v>569</v>
      </c>
      <c r="H13" s="49" t="s">
        <v>108</v>
      </c>
      <c r="I13" s="49" t="s">
        <v>108</v>
      </c>
      <c r="J13" s="49" t="s">
        <v>599</v>
      </c>
    </row>
    <row r="14" spans="1:10" x14ac:dyDescent="0.3">
      <c r="A14" s="45">
        <v>46129</v>
      </c>
      <c r="B14" s="46" t="s">
        <v>594</v>
      </c>
      <c r="C14" s="46" t="s">
        <v>600</v>
      </c>
      <c r="D14" s="46">
        <f>IF(A14="","",COUNTIF('Boulder Sample Log'!A$5:A$204,A14))</f>
        <v>9</v>
      </c>
      <c r="E14" s="46">
        <f>IF(A14="","",SUMIF('Boulder Sample Log'!A$5:A$204,A14,'Boulder Sample Log'!P$5:P$204))</f>
        <v>99</v>
      </c>
      <c r="F14" s="46">
        <f>IF(A14="","",COUNTIFS('Boulder Sample Log'!A$5:A$204,A14,'Boulder Sample Log'!S$5:S$204,"Y"))</f>
        <v>0</v>
      </c>
      <c r="G14" s="46" t="s">
        <v>569</v>
      </c>
      <c r="H14" s="46" t="s">
        <v>108</v>
      </c>
      <c r="I14" s="46" t="s">
        <v>108</v>
      </c>
      <c r="J14" s="46" t="s">
        <v>601</v>
      </c>
    </row>
    <row r="15" spans="1:10" x14ac:dyDescent="0.3">
      <c r="A15" s="48">
        <v>46130</v>
      </c>
      <c r="B15" s="49" t="s">
        <v>602</v>
      </c>
      <c r="C15" s="49" t="s">
        <v>603</v>
      </c>
      <c r="D15" s="49">
        <f>IF(A15="","",COUNTIF('Boulder Sample Log'!A$5:A$204,A15))</f>
        <v>7</v>
      </c>
      <c r="E15" s="49">
        <f>IF(A15="","",SUMIF('Boulder Sample Log'!A$5:A$204,A15,'Boulder Sample Log'!P$5:P$204))</f>
        <v>75</v>
      </c>
      <c r="F15" s="49">
        <f>IF(A15="","",COUNTIFS('Boulder Sample Log'!A$5:A$204,A15,'Boulder Sample Log'!S$5:S$204,"Y"))</f>
        <v>0</v>
      </c>
      <c r="G15" s="49" t="s">
        <v>569</v>
      </c>
      <c r="H15" s="49" t="s">
        <v>108</v>
      </c>
      <c r="I15" s="49" t="s">
        <v>108</v>
      </c>
      <c r="J15" s="49" t="s">
        <v>604</v>
      </c>
    </row>
    <row r="16" spans="1:10" ht="26.4" x14ac:dyDescent="0.3">
      <c r="A16" s="45">
        <v>46131</v>
      </c>
      <c r="B16" s="46" t="s">
        <v>605</v>
      </c>
      <c r="C16" s="46" t="s">
        <v>606</v>
      </c>
      <c r="D16" s="47">
        <f>IF(A16="","",COUNTIF('Boulder Sample Log'!A$5:A$204,A16))</f>
        <v>6</v>
      </c>
      <c r="E16" s="47">
        <f>IF(A16="","",SUMIF('Boulder Sample Log'!A$5:A$204,A16,'Boulder Sample Log'!P$5:P$204))</f>
        <v>65</v>
      </c>
      <c r="F16" s="47">
        <f>IF(A16="","",COUNTIFS('Boulder Sample Log'!A$5:A$204,A16,'Boulder Sample Log'!S$5:S$204,"Y"))</f>
        <v>0</v>
      </c>
      <c r="G16" s="46" t="s">
        <v>569</v>
      </c>
      <c r="H16" s="46" t="s">
        <v>108</v>
      </c>
      <c r="I16" s="46" t="s">
        <v>108</v>
      </c>
      <c r="J16" s="46" t="s">
        <v>607</v>
      </c>
    </row>
    <row r="17" spans="1:11" ht="26.4" x14ac:dyDescent="0.3">
      <c r="A17" s="54">
        <v>46139</v>
      </c>
      <c r="B17" s="49" t="s">
        <v>608</v>
      </c>
      <c r="C17" s="49" t="s">
        <v>609</v>
      </c>
      <c r="D17" s="50">
        <f>IF(A17="","",COUNTIF('Boulder Sample Log'!A$5:A$204,A17))</f>
        <v>14</v>
      </c>
      <c r="E17" s="50">
        <f>IF(A17="","",SUMIF('Boulder Sample Log'!A$5:A$204,A17,'Boulder Sample Log'!P$5:P$204))</f>
        <v>150</v>
      </c>
      <c r="F17" s="50">
        <f>IF(A17="","",COUNTIFS('Boulder Sample Log'!A$5:A$204,A17,'Boulder Sample Log'!S$5:S$204,"Y"))</f>
        <v>0</v>
      </c>
      <c r="G17" s="49" t="s">
        <v>610</v>
      </c>
      <c r="H17" s="49" t="s">
        <v>108</v>
      </c>
      <c r="I17" s="49" t="s">
        <v>108</v>
      </c>
      <c r="J17" s="49" t="s">
        <v>611</v>
      </c>
    </row>
    <row r="18" spans="1:11" ht="26.4" x14ac:dyDescent="0.3">
      <c r="A18" s="53">
        <v>46140</v>
      </c>
      <c r="B18" s="46" t="s">
        <v>612</v>
      </c>
      <c r="C18" s="46" t="s">
        <v>613</v>
      </c>
      <c r="D18" s="47">
        <f>IF(A18="","",COUNTIF('Boulder Sample Log'!A$5:A$204,A18))</f>
        <v>11</v>
      </c>
      <c r="E18" s="47">
        <f>IF(A18="","",SUMIF('Boulder Sample Log'!A$5:A$204,A18,'Boulder Sample Log'!P$5:P$204))</f>
        <v>127</v>
      </c>
      <c r="F18" s="47">
        <f>IF(A18="","",COUNTIFS('Boulder Sample Log'!A$5:A$204,A18,'Boulder Sample Log'!S$5:S$204,"Y"))</f>
        <v>0</v>
      </c>
      <c r="G18" s="46" t="s">
        <v>614</v>
      </c>
      <c r="H18" s="46" t="s">
        <v>108</v>
      </c>
      <c r="I18" s="46" t="s">
        <v>108</v>
      </c>
      <c r="J18" s="46" t="s">
        <v>615</v>
      </c>
    </row>
    <row r="19" spans="1:11" ht="26.4" x14ac:dyDescent="0.3">
      <c r="A19" s="54">
        <v>46141</v>
      </c>
      <c r="B19" s="49" t="s">
        <v>616</v>
      </c>
      <c r="C19" s="49" t="s">
        <v>617</v>
      </c>
      <c r="D19" s="50">
        <f>IF(A19="","",COUNTIF('Boulder Sample Log'!A$5:A$204,A19))</f>
        <v>16</v>
      </c>
      <c r="E19" s="50">
        <f>IF(A19="","",SUMIF('Boulder Sample Log'!A$5:A$204,A19,'Boulder Sample Log'!P$5:P$204))</f>
        <v>189</v>
      </c>
      <c r="F19" s="50">
        <f>IF(A19="","",COUNTIFS('Boulder Sample Log'!A$5:A$204,A19,'Boulder Sample Log'!S$5:S$204,"Y"))</f>
        <v>0</v>
      </c>
      <c r="G19" s="49" t="s">
        <v>618</v>
      </c>
      <c r="H19" s="49" t="s">
        <v>108</v>
      </c>
      <c r="I19" s="49" t="s">
        <v>108</v>
      </c>
      <c r="J19" s="49" t="s">
        <v>619</v>
      </c>
      <c r="K19" s="92"/>
    </row>
    <row r="20" spans="1:11" ht="26.4" x14ac:dyDescent="0.3">
      <c r="A20" s="53">
        <v>46142</v>
      </c>
      <c r="B20" s="46" t="s">
        <v>620</v>
      </c>
      <c r="C20" s="46" t="s">
        <v>621</v>
      </c>
      <c r="D20" s="47">
        <f>IF(A20="","",COUNTIF('Boulder Sample Log'!A$5:A$204,A20))</f>
        <v>10</v>
      </c>
      <c r="E20" s="47">
        <f>IF(A20="","",SUMIF('Boulder Sample Log'!A$5:A$204,A20,'Boulder Sample Log'!P$5:P$204))</f>
        <v>120</v>
      </c>
      <c r="F20" s="47">
        <f>IF(A20="","",COUNTIFS('Boulder Sample Log'!A$5:A$204,A20,'Boulder Sample Log'!S$5:S$204,"Y"))</f>
        <v>0</v>
      </c>
      <c r="G20" s="46" t="s">
        <v>622</v>
      </c>
      <c r="H20" s="46" t="s">
        <v>108</v>
      </c>
      <c r="I20" s="46" t="s">
        <v>108</v>
      </c>
      <c r="J20" s="46" t="s">
        <v>623</v>
      </c>
      <c r="K20" s="93"/>
    </row>
    <row r="21" spans="1:11" ht="26.4" x14ac:dyDescent="0.3">
      <c r="A21" s="54">
        <v>46143</v>
      </c>
      <c r="B21" s="49" t="s">
        <v>624</v>
      </c>
      <c r="C21" s="49" t="s">
        <v>625</v>
      </c>
      <c r="D21" s="50">
        <f>IF(A21="","",COUNTIF('Boulder Sample Log'!A$5:A$204,A21))</f>
        <v>14</v>
      </c>
      <c r="E21" s="50">
        <f>IF(A21="","",SUMIF('Boulder Sample Log'!A$5:A$204,A21,'Boulder Sample Log'!P$5:P$204))</f>
        <v>154</v>
      </c>
      <c r="F21" s="50">
        <f>IF(A21="","",COUNTIFS('Boulder Sample Log'!A$5:A$204,A21,'Boulder Sample Log'!S$5:S$204,"Y"))</f>
        <v>0</v>
      </c>
      <c r="G21" s="49" t="s">
        <v>626</v>
      </c>
      <c r="H21" s="49" t="s">
        <v>108</v>
      </c>
      <c r="I21" s="49" t="s">
        <v>108</v>
      </c>
      <c r="J21" s="49" t="s">
        <v>627</v>
      </c>
      <c r="K21" s="92"/>
    </row>
    <row r="22" spans="1:11" ht="26.4" x14ac:dyDescent="0.3">
      <c r="A22" s="53">
        <v>46146</v>
      </c>
      <c r="B22" s="46" t="s">
        <v>628</v>
      </c>
      <c r="C22" s="46" t="s">
        <v>629</v>
      </c>
      <c r="D22" s="47">
        <f>IF(A22="","",COUNTIF('Boulder Sample Log'!A$5:A$204,A22))</f>
        <v>3</v>
      </c>
      <c r="E22" s="47">
        <f>IF(A22="","",SUMIF('Boulder Sample Log'!A$5:A$204,A22,'Boulder Sample Log'!P$5:P$204))</f>
        <v>31</v>
      </c>
      <c r="F22" s="47">
        <f>IF(A22="","",COUNTIFS('Boulder Sample Log'!A$5:A$204,A22,'Boulder Sample Log'!S$5:S$204,"Y"))</f>
        <v>0</v>
      </c>
      <c r="G22" s="46" t="s">
        <v>630</v>
      </c>
      <c r="H22" s="46" t="s">
        <v>108</v>
      </c>
      <c r="I22" s="46" t="s">
        <v>108</v>
      </c>
      <c r="J22" s="46" t="s">
        <v>631</v>
      </c>
      <c r="K22" s="93"/>
    </row>
    <row r="23" spans="1:11" ht="39.6" x14ac:dyDescent="0.3">
      <c r="A23" s="54">
        <v>46147</v>
      </c>
      <c r="B23" s="49" t="s">
        <v>632</v>
      </c>
      <c r="C23" s="49" t="s">
        <v>633</v>
      </c>
      <c r="D23" s="50">
        <f>IF(A23="","",COUNTIF('Boulder Sample Log'!A$5:A$204,A23))</f>
        <v>0</v>
      </c>
      <c r="E23" s="50">
        <f>IF(A23="","",SUMIF('Boulder Sample Log'!A$5:A$204,A23,'Boulder Sample Log'!P$5:P$204))</f>
        <v>0</v>
      </c>
      <c r="F23" s="50">
        <f>IF(A23="","",COUNTIFS('Boulder Sample Log'!A$5:A$204,A23,'Boulder Sample Log'!S$5:S$204,"Y"))</f>
        <v>0</v>
      </c>
      <c r="G23" s="49" t="s">
        <v>634</v>
      </c>
      <c r="H23" s="49" t="s">
        <v>108</v>
      </c>
      <c r="I23" s="49" t="s">
        <v>108</v>
      </c>
      <c r="J23" s="49" t="s">
        <v>635</v>
      </c>
      <c r="K23" s="93"/>
    </row>
    <row r="24" spans="1:11" ht="39.6" x14ac:dyDescent="0.3">
      <c r="A24" s="53">
        <v>46148</v>
      </c>
      <c r="B24" s="46" t="s">
        <v>636</v>
      </c>
      <c r="C24" s="46" t="s">
        <v>637</v>
      </c>
      <c r="D24" s="47">
        <f>IF(A24="","",COUNTIF('Boulder Sample Log'!A$5:A$204,A24))</f>
        <v>0</v>
      </c>
      <c r="E24" s="47">
        <f>IF(A24="","",SUMIF('Boulder Sample Log'!A$5:A$204,A24,'Boulder Sample Log'!P$5:P$204))</f>
        <v>0</v>
      </c>
      <c r="F24" s="47">
        <f>IF(A24="","",COUNTIFS('Boulder Sample Log'!A$5:A$204,A24,'Boulder Sample Log'!S$5:S$204,"Y"))</f>
        <v>0</v>
      </c>
      <c r="G24" s="46" t="s">
        <v>638</v>
      </c>
      <c r="H24" s="46" t="s">
        <v>108</v>
      </c>
      <c r="I24" s="46" t="s">
        <v>108</v>
      </c>
      <c r="J24" s="46" t="s">
        <v>639</v>
      </c>
      <c r="K24" s="93"/>
    </row>
    <row r="25" spans="1:11" ht="66" x14ac:dyDescent="0.3">
      <c r="A25" s="54">
        <v>46149</v>
      </c>
      <c r="B25" s="49" t="s">
        <v>636</v>
      </c>
      <c r="C25" s="49" t="s">
        <v>640</v>
      </c>
      <c r="D25" s="50">
        <f>IF(A25="","",COUNTIF('Boulder Sample Log'!A$5:A$204,A25))</f>
        <v>0</v>
      </c>
      <c r="E25" s="50">
        <f>IF(A25="","",SUMIF('Boulder Sample Log'!A$5:A$204,A25,'Boulder Sample Log'!P$5:P$204))</f>
        <v>0</v>
      </c>
      <c r="F25" s="50">
        <f>IF(A25="","",COUNTIFS('Boulder Sample Log'!A$5:A$204,A25,'Boulder Sample Log'!S$5:S$204,"Y"))</f>
        <v>0</v>
      </c>
      <c r="G25" s="49" t="s">
        <v>641</v>
      </c>
      <c r="H25" s="49" t="s">
        <v>108</v>
      </c>
      <c r="I25" s="49" t="s">
        <v>108</v>
      </c>
      <c r="J25" s="49" t="s">
        <v>642</v>
      </c>
      <c r="K25" s="93"/>
    </row>
    <row r="26" spans="1:11" ht="26.4" x14ac:dyDescent="0.3">
      <c r="A26" s="53">
        <v>46150</v>
      </c>
      <c r="B26" s="46" t="s">
        <v>643</v>
      </c>
      <c r="C26" s="46" t="s">
        <v>644</v>
      </c>
      <c r="D26" s="47">
        <f>IF(A26="","",COUNTIF('Boulder Sample Log'!A$5:A$204,A26))</f>
        <v>0</v>
      </c>
      <c r="E26" s="47">
        <f>IF(A26="","",SUMIF('Boulder Sample Log'!A$5:A$204,A26,'Boulder Sample Log'!P$5:P$204))</f>
        <v>0</v>
      </c>
      <c r="F26" s="47">
        <f>IF(A26="","",COUNTIFS('Boulder Sample Log'!A$5:A$204,A26,'Boulder Sample Log'!S$5:S$204,"Y"))</f>
        <v>0</v>
      </c>
      <c r="G26" s="46" t="s">
        <v>645</v>
      </c>
      <c r="H26" s="46" t="s">
        <v>646</v>
      </c>
      <c r="I26" s="46" t="s">
        <v>647</v>
      </c>
      <c r="J26" s="46" t="s">
        <v>648</v>
      </c>
    </row>
    <row r="27" spans="1:11" x14ac:dyDescent="0.3">
      <c r="A27" s="58"/>
      <c r="B27" s="59"/>
      <c r="C27" s="59"/>
      <c r="D27" s="60" t="str">
        <f>IF(A27="","",COUNTIF('Boulder Sample Log'!A$5:A$204,A27))</f>
        <v/>
      </c>
      <c r="E27" s="60" t="str">
        <f>IF(A27="","",SUMIF('Boulder Sample Log'!A$5:A$204,A27,'Boulder Sample Log'!P$5:P$204))</f>
        <v/>
      </c>
      <c r="F27" s="60" t="str">
        <f>IF(A27="","",COUNTIFS('Boulder Sample Log'!A$5:A$204,A27,'Boulder Sample Log'!S$5:S$204,"Y"))</f>
        <v/>
      </c>
      <c r="G27" s="59"/>
      <c r="H27" s="59"/>
      <c r="I27" s="59"/>
      <c r="J27" s="59"/>
    </row>
    <row r="28" spans="1:11" x14ac:dyDescent="0.3">
      <c r="A28" s="55"/>
      <c r="B28" s="56"/>
      <c r="C28" s="56"/>
      <c r="D28" s="57" t="str">
        <f>IF(A28="","",COUNTIF('Boulder Sample Log'!A$5:A$204,A28))</f>
        <v/>
      </c>
      <c r="E28" s="57" t="str">
        <f>IF(A28="","",SUMIF('Boulder Sample Log'!A$5:A$204,A28,'Boulder Sample Log'!P$5:P$204))</f>
        <v/>
      </c>
      <c r="F28" s="57" t="str">
        <f>IF(A28="","",COUNTIFS('Boulder Sample Log'!A$5:A$204,A28,'Boulder Sample Log'!S$5:S$204,"Y"))</f>
        <v/>
      </c>
      <c r="G28" s="56"/>
      <c r="H28" s="56"/>
      <c r="I28" s="56"/>
      <c r="J28" s="56"/>
    </row>
    <row r="29" spans="1:11" x14ac:dyDescent="0.3">
      <c r="A29" s="58"/>
      <c r="B29" s="59"/>
      <c r="C29" s="59"/>
      <c r="D29" s="60" t="str">
        <f>IF(A29="","",COUNTIF('Boulder Sample Log'!A$5:A$204,A29))</f>
        <v/>
      </c>
      <c r="E29" s="60" t="str">
        <f>IF(A29="","",SUMIF('Boulder Sample Log'!A$5:A$204,A29,'Boulder Sample Log'!P$5:P$204))</f>
        <v/>
      </c>
      <c r="F29" s="60" t="str">
        <f>IF(A29="","",COUNTIFS('Boulder Sample Log'!A$5:A$204,A29,'Boulder Sample Log'!S$5:S$204,"Y"))</f>
        <v/>
      </c>
      <c r="G29" s="59"/>
      <c r="H29" s="59"/>
      <c r="I29" s="59"/>
      <c r="J29" s="59"/>
    </row>
    <row r="30" spans="1:11" x14ac:dyDescent="0.3">
      <c r="A30" s="55"/>
      <c r="B30" s="56"/>
      <c r="C30" s="56"/>
      <c r="D30" s="57" t="str">
        <f>IF(A30="","",COUNTIF('Boulder Sample Log'!A$5:A$204,A30))</f>
        <v/>
      </c>
      <c r="E30" s="57" t="str">
        <f>IF(A30="","",SUMIF('Boulder Sample Log'!A$5:A$204,A30,'Boulder Sample Log'!P$5:P$204))</f>
        <v/>
      </c>
      <c r="F30" s="57" t="str">
        <f>IF(A30="","",COUNTIFS('Boulder Sample Log'!A$5:A$204,A30,'Boulder Sample Log'!S$5:S$204,"Y"))</f>
        <v/>
      </c>
      <c r="G30" s="56"/>
      <c r="H30" s="56"/>
      <c r="I30" s="56"/>
      <c r="J30" s="56"/>
    </row>
    <row r="31" spans="1:11" x14ac:dyDescent="0.3">
      <c r="A31" s="58"/>
      <c r="B31" s="59"/>
      <c r="C31" s="59"/>
      <c r="D31" s="60" t="str">
        <f>IF(A31="","",COUNTIF('Boulder Sample Log'!A$5:A$204,A31))</f>
        <v/>
      </c>
      <c r="E31" s="60" t="str">
        <f>IF(A31="","",SUMIF('Boulder Sample Log'!A$5:A$204,A31,'Boulder Sample Log'!P$5:P$204))</f>
        <v/>
      </c>
      <c r="F31" s="60" t="str">
        <f>IF(A31="","",COUNTIFS('Boulder Sample Log'!A$5:A$204,A31,'Boulder Sample Log'!S$5:S$204,"Y"))</f>
        <v/>
      </c>
      <c r="G31" s="59"/>
      <c r="H31" s="59"/>
      <c r="I31" s="59"/>
      <c r="J31" s="59"/>
    </row>
    <row r="32" spans="1:11" x14ac:dyDescent="0.3">
      <c r="A32" s="55"/>
      <c r="B32" s="56"/>
      <c r="C32" s="56"/>
      <c r="D32" s="57" t="str">
        <f>IF(A32="","",COUNTIF('Boulder Sample Log'!A$5:A$204,A32))</f>
        <v/>
      </c>
      <c r="E32" s="57" t="str">
        <f>IF(A32="","",SUMIF('Boulder Sample Log'!A$5:A$204,A32,'Boulder Sample Log'!P$5:P$204))</f>
        <v/>
      </c>
      <c r="F32" s="57" t="str">
        <f>IF(A32="","",COUNTIFS('Boulder Sample Log'!A$5:A$204,A32,'Boulder Sample Log'!S$5:S$204,"Y"))</f>
        <v/>
      </c>
      <c r="G32" s="56"/>
      <c r="H32" s="56"/>
      <c r="I32" s="56"/>
      <c r="J32" s="56"/>
    </row>
    <row r="33" spans="1:10" x14ac:dyDescent="0.3">
      <c r="A33" s="58"/>
      <c r="B33" s="59"/>
      <c r="C33" s="59"/>
      <c r="D33" s="60" t="str">
        <f>IF(A33="","",COUNTIF('Boulder Sample Log'!A$5:A$204,A33))</f>
        <v/>
      </c>
      <c r="E33" s="60" t="str">
        <f>IF(A33="","",SUMIF('Boulder Sample Log'!A$5:A$204,A33,'Boulder Sample Log'!P$5:P$204))</f>
        <v/>
      </c>
      <c r="F33" s="60" t="str">
        <f>IF(A33="","",COUNTIFS('Boulder Sample Log'!A$5:A$204,A33,'Boulder Sample Log'!S$5:S$204,"Y"))</f>
        <v/>
      </c>
      <c r="G33" s="59"/>
      <c r="H33" s="59"/>
      <c r="I33" s="59"/>
      <c r="J33" s="59"/>
    </row>
    <row r="34" spans="1:10" x14ac:dyDescent="0.3">
      <c r="A34" s="55"/>
      <c r="B34" s="56"/>
      <c r="C34" s="56"/>
      <c r="D34" s="57" t="str">
        <f>IF(A34="","",COUNTIF('Boulder Sample Log'!A$5:A$204,A34))</f>
        <v/>
      </c>
      <c r="E34" s="57" t="str">
        <f>IF(A34="","",SUMIF('Boulder Sample Log'!A$5:A$204,A34,'Boulder Sample Log'!P$5:P$204))</f>
        <v/>
      </c>
      <c r="F34" s="57" t="str">
        <f>IF(A34="","",COUNTIFS('Boulder Sample Log'!A$5:A$204,A34,'Boulder Sample Log'!S$5:S$204,"Y"))</f>
        <v/>
      </c>
      <c r="G34" s="56"/>
      <c r="H34" s="56"/>
      <c r="I34" s="56"/>
      <c r="J34" s="56"/>
    </row>
    <row r="35" spans="1:10" x14ac:dyDescent="0.3">
      <c r="A35" s="58"/>
      <c r="B35" s="59"/>
      <c r="C35" s="59"/>
      <c r="D35" s="60" t="str">
        <f>IF(A35="","",COUNTIF('Boulder Sample Log'!A$5:A$204,A35))</f>
        <v/>
      </c>
      <c r="E35" s="60" t="str">
        <f>IF(A35="","",SUMIF('Boulder Sample Log'!A$5:A$204,A35,'Boulder Sample Log'!P$5:P$204))</f>
        <v/>
      </c>
      <c r="F35" s="60" t="str">
        <f>IF(A35="","",COUNTIFS('Boulder Sample Log'!A$5:A$204,A35,'Boulder Sample Log'!S$5:S$204,"Y"))</f>
        <v/>
      </c>
      <c r="G35" s="59"/>
      <c r="H35" s="59"/>
      <c r="I35" s="59"/>
      <c r="J35" s="59"/>
    </row>
    <row r="36" spans="1:10" x14ac:dyDescent="0.3">
      <c r="A36" s="55"/>
      <c r="B36" s="56"/>
      <c r="C36" s="56"/>
      <c r="D36" s="57" t="str">
        <f>IF(A36="","",COUNTIF('Boulder Sample Log'!A$5:A$204,A36))</f>
        <v/>
      </c>
      <c r="E36" s="57" t="str">
        <f>IF(A36="","",SUMIF('Boulder Sample Log'!A$5:A$204,A36,'Boulder Sample Log'!P$5:P$204))</f>
        <v/>
      </c>
      <c r="F36" s="57" t="str">
        <f>IF(A36="","",COUNTIFS('Boulder Sample Log'!A$5:A$204,A36,'Boulder Sample Log'!S$5:S$204,"Y"))</f>
        <v/>
      </c>
      <c r="G36" s="56"/>
      <c r="H36" s="56"/>
      <c r="I36" s="56"/>
      <c r="J36" s="56"/>
    </row>
    <row r="37" spans="1:10" x14ac:dyDescent="0.3">
      <c r="A37" s="58"/>
      <c r="B37" s="59"/>
      <c r="C37" s="59"/>
      <c r="D37" s="60" t="str">
        <f>IF(A37="","",COUNTIF('Boulder Sample Log'!A$5:A$204,A37))</f>
        <v/>
      </c>
      <c r="E37" s="60" t="str">
        <f>IF(A37="","",SUMIF('Boulder Sample Log'!A$5:A$204,A37,'Boulder Sample Log'!P$5:P$204))</f>
        <v/>
      </c>
      <c r="F37" s="60" t="str">
        <f>IF(A37="","",COUNTIFS('Boulder Sample Log'!A$5:A$204,A37,'Boulder Sample Log'!S$5:S$204,"Y"))</f>
        <v/>
      </c>
      <c r="G37" s="59"/>
      <c r="H37" s="59"/>
      <c r="I37" s="59"/>
      <c r="J37" s="59"/>
    </row>
    <row r="38" spans="1:10" x14ac:dyDescent="0.3">
      <c r="A38" s="55"/>
      <c r="B38" s="56"/>
      <c r="C38" s="56"/>
      <c r="D38" s="57" t="str">
        <f>IF(A38="","",COUNTIF('Boulder Sample Log'!A$5:A$204,A38))</f>
        <v/>
      </c>
      <c r="E38" s="57" t="str">
        <f>IF(A38="","",SUMIF('Boulder Sample Log'!A$5:A$204,A38,'Boulder Sample Log'!P$5:P$204))</f>
        <v/>
      </c>
      <c r="F38" s="57" t="str">
        <f>IF(A38="","",COUNTIFS('Boulder Sample Log'!A$5:A$204,A38,'Boulder Sample Log'!S$5:S$204,"Y"))</f>
        <v/>
      </c>
      <c r="G38" s="56"/>
      <c r="H38" s="56"/>
      <c r="I38" s="56"/>
      <c r="J38" s="56"/>
    </row>
    <row r="39" spans="1:10" x14ac:dyDescent="0.3">
      <c r="A39" s="58"/>
      <c r="B39" s="59"/>
      <c r="C39" s="59"/>
      <c r="D39" s="60" t="str">
        <f>IF(A39="","",COUNTIF('Boulder Sample Log'!A$5:A$204,A39))</f>
        <v/>
      </c>
      <c r="E39" s="60" t="str">
        <f>IF(A39="","",SUMIF('Boulder Sample Log'!A$5:A$204,A39,'Boulder Sample Log'!P$5:P$204))</f>
        <v/>
      </c>
      <c r="F39" s="60" t="str">
        <f>IF(A39="","",COUNTIFS('Boulder Sample Log'!A$5:A$204,A39,'Boulder Sample Log'!S$5:S$204,"Y"))</f>
        <v/>
      </c>
      <c r="G39" s="59"/>
      <c r="H39" s="59"/>
      <c r="I39" s="59"/>
      <c r="J39" s="59"/>
    </row>
    <row r="40" spans="1:10" x14ac:dyDescent="0.3">
      <c r="A40" s="55"/>
      <c r="B40" s="56"/>
      <c r="C40" s="56"/>
      <c r="D40" s="57" t="str">
        <f>IF(A40="","",COUNTIF('Boulder Sample Log'!A$5:A$204,A40))</f>
        <v/>
      </c>
      <c r="E40" s="57" t="str">
        <f>IF(A40="","",SUMIF('Boulder Sample Log'!A$5:A$204,A40,'Boulder Sample Log'!P$5:P$204))</f>
        <v/>
      </c>
      <c r="F40" s="57" t="str">
        <f>IF(A40="","",COUNTIFS('Boulder Sample Log'!A$5:A$204,A40,'Boulder Sample Log'!S$5:S$204,"Y"))</f>
        <v/>
      </c>
      <c r="G40" s="56"/>
      <c r="H40" s="56"/>
      <c r="I40" s="56"/>
      <c r="J40" s="56"/>
    </row>
    <row r="41" spans="1:10" x14ac:dyDescent="0.3">
      <c r="A41" s="58"/>
      <c r="B41" s="59"/>
      <c r="C41" s="59"/>
      <c r="D41" s="60" t="str">
        <f>IF(A41="","",COUNTIF('Boulder Sample Log'!A$5:A$204,A41))</f>
        <v/>
      </c>
      <c r="E41" s="60" t="str">
        <f>IF(A41="","",SUMIF('Boulder Sample Log'!A$5:A$204,A41,'Boulder Sample Log'!P$5:P$204))</f>
        <v/>
      </c>
      <c r="F41" s="60" t="str">
        <f>IF(A41="","",COUNTIFS('Boulder Sample Log'!A$5:A$204,A41,'Boulder Sample Log'!S$5:S$204,"Y"))</f>
        <v/>
      </c>
      <c r="G41" s="59"/>
      <c r="H41" s="59"/>
      <c r="I41" s="59"/>
      <c r="J41" s="59"/>
    </row>
    <row r="42" spans="1:10" x14ac:dyDescent="0.3">
      <c r="A42" s="55"/>
      <c r="B42" s="56"/>
      <c r="C42" s="56"/>
      <c r="D42" s="57" t="str">
        <f>IF(A42="","",COUNTIF('Boulder Sample Log'!A$5:A$204,A42))</f>
        <v/>
      </c>
      <c r="E42" s="57" t="str">
        <f>IF(A42="","",SUMIF('Boulder Sample Log'!A$5:A$204,A42,'Boulder Sample Log'!P$5:P$204))</f>
        <v/>
      </c>
      <c r="F42" s="57" t="str">
        <f>IF(A42="","",COUNTIFS('Boulder Sample Log'!A$5:A$204,A42,'Boulder Sample Log'!S$5:S$204,"Y"))</f>
        <v/>
      </c>
      <c r="G42" s="56"/>
      <c r="H42" s="56"/>
      <c r="I42" s="56"/>
      <c r="J42" s="56"/>
    </row>
    <row r="43" spans="1:10" x14ac:dyDescent="0.3">
      <c r="A43" s="58"/>
      <c r="B43" s="59"/>
      <c r="C43" s="59"/>
      <c r="D43" s="60" t="str">
        <f>IF(A43="","",COUNTIF('Boulder Sample Log'!A$5:A$204,A43))</f>
        <v/>
      </c>
      <c r="E43" s="60" t="str">
        <f>IF(A43="","",SUMIF('Boulder Sample Log'!A$5:A$204,A43,'Boulder Sample Log'!P$5:P$204))</f>
        <v/>
      </c>
      <c r="F43" s="60" t="str">
        <f>IF(A43="","",COUNTIFS('Boulder Sample Log'!A$5:A$204,A43,'Boulder Sample Log'!S$5:S$204,"Y"))</f>
        <v/>
      </c>
      <c r="G43" s="59"/>
      <c r="H43" s="59"/>
      <c r="I43" s="59"/>
      <c r="J43" s="59"/>
    </row>
    <row r="44" spans="1:10" x14ac:dyDescent="0.3">
      <c r="A44" s="55"/>
      <c r="B44" s="56"/>
      <c r="C44" s="56"/>
      <c r="D44" s="57" t="str">
        <f>IF(A44="","",COUNTIF('Boulder Sample Log'!A$5:A$204,A44))</f>
        <v/>
      </c>
      <c r="E44" s="57" t="str">
        <f>IF(A44="","",SUMIF('Boulder Sample Log'!A$5:A$204,A44,'Boulder Sample Log'!P$5:P$204))</f>
        <v/>
      </c>
      <c r="F44" s="57" t="str">
        <f>IF(A44="","",COUNTIFS('Boulder Sample Log'!A$5:A$204,A44,'Boulder Sample Log'!S$5:S$204,"Y"))</f>
        <v/>
      </c>
      <c r="G44" s="56"/>
      <c r="H44" s="56"/>
      <c r="I44" s="56"/>
      <c r="J44" s="56"/>
    </row>
    <row r="45" spans="1:10" x14ac:dyDescent="0.3">
      <c r="A45" s="58"/>
      <c r="B45" s="59"/>
      <c r="C45" s="59"/>
      <c r="D45" s="60" t="str">
        <f>IF(A45="","",COUNTIF('Boulder Sample Log'!A$5:A$204,A45))</f>
        <v/>
      </c>
      <c r="E45" s="60" t="str">
        <f>IF(A45="","",SUMIF('Boulder Sample Log'!A$5:A$204,A45,'Boulder Sample Log'!P$5:P$204))</f>
        <v/>
      </c>
      <c r="F45" s="60" t="str">
        <f>IF(A45="","",COUNTIFS('Boulder Sample Log'!A$5:A$204,A45,'Boulder Sample Log'!S$5:S$204,"Y"))</f>
        <v/>
      </c>
      <c r="G45" s="59"/>
      <c r="H45" s="59"/>
      <c r="I45" s="59"/>
      <c r="J45" s="59"/>
    </row>
    <row r="46" spans="1:10" x14ac:dyDescent="0.3">
      <c r="A46" s="55"/>
      <c r="B46" s="56"/>
      <c r="C46" s="56"/>
      <c r="D46" s="57" t="str">
        <f>IF(A46="","",COUNTIF('Boulder Sample Log'!A$5:A$204,A46))</f>
        <v/>
      </c>
      <c r="E46" s="57" t="str">
        <f>IF(A46="","",SUMIF('Boulder Sample Log'!A$5:A$204,A46,'Boulder Sample Log'!P$5:P$204))</f>
        <v/>
      </c>
      <c r="F46" s="57" t="str">
        <f>IF(A46="","",COUNTIFS('Boulder Sample Log'!A$5:A$204,A46,'Boulder Sample Log'!S$5:S$204,"Y"))</f>
        <v/>
      </c>
      <c r="G46" s="56"/>
      <c r="H46" s="56"/>
      <c r="I46" s="56"/>
      <c r="J46" s="56"/>
    </row>
    <row r="47" spans="1:10" x14ac:dyDescent="0.3">
      <c r="A47" s="58"/>
      <c r="B47" s="59"/>
      <c r="C47" s="59"/>
      <c r="D47" s="60" t="str">
        <f>IF(A47="","",COUNTIF('Boulder Sample Log'!A$5:A$204,A47))</f>
        <v/>
      </c>
      <c r="E47" s="60" t="str">
        <f>IF(A47="","",SUMIF('Boulder Sample Log'!A$5:A$204,A47,'Boulder Sample Log'!P$5:P$204))</f>
        <v/>
      </c>
      <c r="F47" s="60" t="str">
        <f>IF(A47="","",COUNTIFS('Boulder Sample Log'!A$5:A$204,A47,'Boulder Sample Log'!S$5:S$204,"Y"))</f>
        <v/>
      </c>
      <c r="G47" s="59"/>
      <c r="H47" s="59"/>
      <c r="I47" s="59"/>
      <c r="J47" s="59"/>
    </row>
    <row r="48" spans="1:10" x14ac:dyDescent="0.3">
      <c r="A48" s="55"/>
      <c r="B48" s="56"/>
      <c r="C48" s="56"/>
      <c r="D48" s="57" t="str">
        <f>IF(A48="","",COUNTIF('Boulder Sample Log'!A$5:A$204,A48))</f>
        <v/>
      </c>
      <c r="E48" s="57" t="str">
        <f>IF(A48="","",SUMIF('Boulder Sample Log'!A$5:A$204,A48,'Boulder Sample Log'!P$5:P$204))</f>
        <v/>
      </c>
      <c r="F48" s="57" t="str">
        <f>IF(A48="","",COUNTIFS('Boulder Sample Log'!A$5:A$204,A48,'Boulder Sample Log'!S$5:S$204,"Y"))</f>
        <v/>
      </c>
      <c r="G48" s="56"/>
      <c r="H48" s="56"/>
      <c r="I48" s="56"/>
      <c r="J48" s="56"/>
    </row>
    <row r="49" spans="1:10" x14ac:dyDescent="0.3">
      <c r="A49" s="58"/>
      <c r="B49" s="59"/>
      <c r="C49" s="59"/>
      <c r="D49" s="60" t="str">
        <f>IF(A49="","",COUNTIF('Boulder Sample Log'!A$5:A$204,A49))</f>
        <v/>
      </c>
      <c r="E49" s="60" t="str">
        <f>IF(A49="","",SUMIF('Boulder Sample Log'!A$5:A$204,A49,'Boulder Sample Log'!P$5:P$204))</f>
        <v/>
      </c>
      <c r="F49" s="60" t="str">
        <f>IF(A49="","",COUNTIFS('Boulder Sample Log'!A$5:A$204,A49,'Boulder Sample Log'!S$5:S$204,"Y"))</f>
        <v/>
      </c>
      <c r="G49" s="59"/>
      <c r="H49" s="59"/>
      <c r="I49" s="59"/>
      <c r="J49" s="59"/>
    </row>
    <row r="50" spans="1:10" x14ac:dyDescent="0.3">
      <c r="A50" s="55"/>
      <c r="B50" s="56"/>
      <c r="C50" s="56"/>
      <c r="D50" s="57" t="str">
        <f>IF(A50="","",COUNTIF('Boulder Sample Log'!A$5:A$204,A50))</f>
        <v/>
      </c>
      <c r="E50" s="57" t="str">
        <f>IF(A50="","",SUMIF('Boulder Sample Log'!A$5:A$204,A50,'Boulder Sample Log'!P$5:P$204))</f>
        <v/>
      </c>
      <c r="F50" s="57" t="str">
        <f>IF(A50="","",COUNTIFS('Boulder Sample Log'!A$5:A$204,A50,'Boulder Sample Log'!S$5:S$204,"Y"))</f>
        <v/>
      </c>
      <c r="G50" s="56"/>
      <c r="H50" s="56"/>
      <c r="I50" s="56"/>
      <c r="J50" s="56"/>
    </row>
    <row r="51" spans="1:10" x14ac:dyDescent="0.3">
      <c r="A51" s="58"/>
      <c r="B51" s="59"/>
      <c r="C51" s="59"/>
      <c r="D51" s="60" t="str">
        <f>IF(A51="","",COUNTIF('Boulder Sample Log'!A$5:A$204,A51))</f>
        <v/>
      </c>
      <c r="E51" s="60" t="str">
        <f>IF(A51="","",SUMIF('Boulder Sample Log'!A$5:A$204,A51,'Boulder Sample Log'!P$5:P$204))</f>
        <v/>
      </c>
      <c r="F51" s="60" t="str">
        <f>IF(A51="","",COUNTIFS('Boulder Sample Log'!A$5:A$204,A51,'Boulder Sample Log'!S$5:S$204,"Y"))</f>
        <v/>
      </c>
      <c r="G51" s="59"/>
      <c r="H51" s="59"/>
      <c r="I51" s="59"/>
      <c r="J51" s="59"/>
    </row>
    <row r="52" spans="1:10" x14ac:dyDescent="0.3">
      <c r="A52" s="55"/>
      <c r="B52" s="56"/>
      <c r="C52" s="56"/>
      <c r="D52" s="57" t="str">
        <f>IF(A52="","",COUNTIF('Boulder Sample Log'!A$5:A$204,A52))</f>
        <v/>
      </c>
      <c r="E52" s="57" t="str">
        <f>IF(A52="","",SUMIF('Boulder Sample Log'!A$5:A$204,A52,'Boulder Sample Log'!P$5:P$204))</f>
        <v/>
      </c>
      <c r="F52" s="57" t="str">
        <f>IF(A52="","",COUNTIFS('Boulder Sample Log'!A$5:A$204,A52,'Boulder Sample Log'!S$5:S$204,"Y"))</f>
        <v/>
      </c>
      <c r="G52" s="56"/>
      <c r="H52" s="56"/>
      <c r="I52" s="56"/>
      <c r="J52" s="56"/>
    </row>
    <row r="53" spans="1:10" x14ac:dyDescent="0.3">
      <c r="A53" s="58"/>
      <c r="B53" s="59"/>
      <c r="C53" s="59"/>
      <c r="D53" s="60" t="str">
        <f>IF(A53="","",COUNTIF('Boulder Sample Log'!A$5:A$204,A53))</f>
        <v/>
      </c>
      <c r="E53" s="60" t="str">
        <f>IF(A53="","",SUMIF('Boulder Sample Log'!A$5:A$204,A53,'Boulder Sample Log'!P$5:P$204))</f>
        <v/>
      </c>
      <c r="F53" s="60" t="str">
        <f>IF(A53="","",COUNTIFS('Boulder Sample Log'!A$5:A$204,A53,'Boulder Sample Log'!S$5:S$204,"Y"))</f>
        <v/>
      </c>
      <c r="G53" s="59"/>
      <c r="H53" s="59"/>
      <c r="I53" s="59"/>
      <c r="J53" s="59"/>
    </row>
  </sheetData>
  <autoFilter ref="A3:J26" xr:uid="{00000000-0009-0000-0000-000005000000}"/>
  <mergeCells count="2">
    <mergeCell ref="A1:J1"/>
    <mergeCell ref="A2:J2"/>
  </mergeCells>
  <dataValidations count="1">
    <dataValidation type="list" allowBlank="1" sqref="I4:I53" xr:uid="{00000000-0002-0000-0500-000000000000}">
      <formula1>"Yes,No,N/A"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05496"/>
    <pageSetUpPr fitToPage="1"/>
  </sheetPr>
  <dimension ref="A1:R13"/>
  <sheetViews>
    <sheetView zoomScaleNormal="100" workbookViewId="0">
      <selection activeCell="C31" sqref="C31"/>
    </sheetView>
  </sheetViews>
  <sheetFormatPr defaultColWidth="8.6640625" defaultRowHeight="14.4" x14ac:dyDescent="0.3"/>
  <cols>
    <col min="1" max="1" width="12" customWidth="1"/>
    <col min="2" max="17" width="6" customWidth="1"/>
    <col min="18" max="18" width="22" customWidth="1"/>
  </cols>
  <sheetData>
    <row r="1" spans="1:18" ht="31.5" customHeight="1" x14ac:dyDescent="0.3">
      <c r="A1" s="195" t="s">
        <v>649</v>
      </c>
      <c r="B1" s="195"/>
      <c r="C1" s="195"/>
      <c r="D1" s="195"/>
      <c r="E1" s="195"/>
      <c r="F1" s="195"/>
      <c r="G1" s="195"/>
      <c r="H1" s="195"/>
      <c r="I1" s="195"/>
      <c r="J1" s="195"/>
      <c r="K1" s="195"/>
      <c r="L1" s="195"/>
      <c r="M1" s="195"/>
      <c r="N1" s="195"/>
      <c r="O1" s="195"/>
      <c r="P1" s="195"/>
      <c r="Q1" s="195"/>
      <c r="R1" s="195"/>
    </row>
    <row r="2" spans="1:18" ht="13.5" customHeight="1" x14ac:dyDescent="0.3">
      <c r="A2" s="196" t="s">
        <v>650</v>
      </c>
      <c r="B2" s="196"/>
      <c r="C2" s="196"/>
      <c r="D2" s="196"/>
      <c r="E2" s="196"/>
      <c r="F2" s="196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</row>
    <row r="3" spans="1:18" ht="24" customHeight="1" x14ac:dyDescent="0.3">
      <c r="A3" s="17" t="s">
        <v>7</v>
      </c>
      <c r="B3" s="17" t="s">
        <v>651</v>
      </c>
      <c r="C3" s="17" t="s">
        <v>652</v>
      </c>
      <c r="D3" s="17" t="s">
        <v>653</v>
      </c>
      <c r="E3" s="17" t="s">
        <v>654</v>
      </c>
      <c r="F3" s="17" t="s">
        <v>655</v>
      </c>
      <c r="G3" s="17" t="s">
        <v>656</v>
      </c>
      <c r="H3" s="17" t="s">
        <v>657</v>
      </c>
      <c r="I3" s="17" t="s">
        <v>658</v>
      </c>
      <c r="J3" s="17" t="s">
        <v>659</v>
      </c>
      <c r="K3" s="17" t="s">
        <v>660</v>
      </c>
      <c r="L3" s="17" t="s">
        <v>661</v>
      </c>
      <c r="M3" s="17" t="s">
        <v>662</v>
      </c>
      <c r="N3" s="17" t="s">
        <v>663</v>
      </c>
      <c r="O3" s="17" t="s">
        <v>664</v>
      </c>
      <c r="P3" s="17" t="s">
        <v>665</v>
      </c>
      <c r="Q3" s="17" t="s">
        <v>666</v>
      </c>
      <c r="R3" s="17" t="s">
        <v>47</v>
      </c>
    </row>
    <row r="4" spans="1:18" ht="27.75" customHeight="1" x14ac:dyDescent="0.3">
      <c r="A4" s="94" t="s">
        <v>14</v>
      </c>
      <c r="B4" s="95" t="str">
        <f>IF(COUNTIFS('Boulder Sample Log'!$B$5:$B$204,$A4,'Boulder Sample Log'!$C$5:$C$204,1)&gt;=2,"✓",IF(COUNTIFS('Boulder Sample Log'!$B$5:$B$204,$A4,'Boulder Sample Log'!$C$5:$C$204,1)=1,"½",""))</f>
        <v>✓</v>
      </c>
      <c r="C4" s="95" t="str">
        <f>IF(COUNTIFS('Boulder Sample Log'!$B$5:$B$204,$A4,'Boulder Sample Log'!$C$5:$C$204,2)&gt;=2,"✓",IF(COUNTIFS('Boulder Sample Log'!$B$5:$B$204,$A4,'Boulder Sample Log'!$C$5:$C$204,2)=1,"½",""))</f>
        <v>½</v>
      </c>
      <c r="D4" s="95" t="str">
        <f>IF(COUNTIFS('Boulder Sample Log'!$B$5:$B$204,$A4,'Boulder Sample Log'!$C$5:$C$204,3)&gt;=2,"✓",IF(COUNTIFS('Boulder Sample Log'!$B$5:$B$204,$A4,'Boulder Sample Log'!$C$5:$C$204,3)=1,"½",""))</f>
        <v/>
      </c>
      <c r="E4" s="95" t="str">
        <f>IF(COUNTIFS('Boulder Sample Log'!$B$5:$B$204,$A4,'Boulder Sample Log'!$C$5:$C$204,4)&gt;=2,"✓",IF(COUNTIFS('Boulder Sample Log'!$B$5:$B$204,$A4,'Boulder Sample Log'!$C$5:$C$204,4)=1,"½",""))</f>
        <v>✓</v>
      </c>
      <c r="F4" s="95" t="str">
        <f>IF(COUNTIFS('Boulder Sample Log'!$B$5:$B$204,$A4,'Boulder Sample Log'!$C$5:$C$204,5)&gt;=2,"✓",IF(COUNTIFS('Boulder Sample Log'!$B$5:$B$204,$A4,'Boulder Sample Log'!$C$5:$C$204,5)=1,"½",""))</f>
        <v>½</v>
      </c>
      <c r="G4" s="95" t="str">
        <f>IF(COUNTIFS('Boulder Sample Log'!$B$5:$B$204,$A4,'Boulder Sample Log'!$C$5:$C$204,6)&gt;=2,"✓",IF(COUNTIFS('Boulder Sample Log'!$B$5:$B$204,$A4,'Boulder Sample Log'!$C$5:$C$204,6)=1,"½",""))</f>
        <v/>
      </c>
      <c r="H4" s="95" t="str">
        <f>IF(COUNTIFS('Boulder Sample Log'!$B$5:$B$204,$A4,'Boulder Sample Log'!$C$5:$C$204,7)&gt;=2,"✓",IF(COUNTIFS('Boulder Sample Log'!$B$5:$B$204,$A4,'Boulder Sample Log'!$C$5:$C$204,7)=1,"½",""))</f>
        <v>✓</v>
      </c>
      <c r="I4" s="95" t="str">
        <f>IF(COUNTIFS('Boulder Sample Log'!$B$5:$B$204,$A4,'Boulder Sample Log'!$C$5:$C$204,8)&gt;=2,"✓",IF(COUNTIFS('Boulder Sample Log'!$B$5:$B$204,$A4,'Boulder Sample Log'!$C$5:$C$204,8)=1,"½",""))</f>
        <v>✓</v>
      </c>
      <c r="J4" s="95" t="str">
        <f>IF(COUNTIFS('Boulder Sample Log'!$B$5:$B$204,$A4,'Boulder Sample Log'!$C$5:$C$204,9)&gt;=2,"✓",IF(COUNTIFS('Boulder Sample Log'!$B$5:$B$204,$A4,'Boulder Sample Log'!$C$5:$C$204,9)=1,"½",""))</f>
        <v>½</v>
      </c>
      <c r="K4" s="95" t="str">
        <f>IF(COUNTIFS('Boulder Sample Log'!$B$5:$B$204,$A4,'Boulder Sample Log'!$C$5:$C$204,10)&gt;=2,"✓",IF(COUNTIFS('Boulder Sample Log'!$B$5:$B$204,$A4,'Boulder Sample Log'!$C$5:$C$204,10)=1,"½",""))</f>
        <v>✓</v>
      </c>
      <c r="L4" s="95" t="str">
        <f>IF(COUNTIFS('Boulder Sample Log'!$B$5:$B$204,$A4,'Boulder Sample Log'!$C$5:$C$204,11)&gt;=2,"✓",IF(COUNTIFS('Boulder Sample Log'!$B$5:$B$204,$A4,'Boulder Sample Log'!$C$5:$C$204,11)=1,"½",""))</f>
        <v>✓</v>
      </c>
      <c r="M4" s="95" t="str">
        <f>IF(COUNTIFS('Boulder Sample Log'!$B$5:$B$204,$A4,'Boulder Sample Log'!$C$5:$C$204,12)&gt;=2,"✓",IF(COUNTIFS('Boulder Sample Log'!$B$5:$B$204,$A4,'Boulder Sample Log'!$C$5:$C$204,12)=1,"½",""))</f>
        <v>✓</v>
      </c>
      <c r="N4" s="95" t="str">
        <f>IF(COUNTIFS('Boulder Sample Log'!$B$5:$B$204,$A4,'Boulder Sample Log'!$C$5:$C$204,13)&gt;=2,"✓",IF(COUNTIFS('Boulder Sample Log'!$B$5:$B$204,$A4,'Boulder Sample Log'!$C$5:$C$204,13)=1,"½",""))</f>
        <v>✓</v>
      </c>
      <c r="O4" s="95" t="str">
        <f>IF(COUNTIFS('Boulder Sample Log'!$B$5:$B$204,$A4,'Boulder Sample Log'!$C$5:$C$204,14)&gt;=2,"✓",IF(COUNTIFS('Boulder Sample Log'!$B$5:$B$204,$A4,'Boulder Sample Log'!$C$5:$C$204,14)=1,"½",""))</f>
        <v>✓</v>
      </c>
      <c r="P4" s="95" t="str">
        <f>IF(COUNTIFS('Boulder Sample Log'!$B$5:$B$204,$A4,'Boulder Sample Log'!$C$5:$C$204,15)&gt;=2,"✓",IF(COUNTIFS('Boulder Sample Log'!$B$5:$B$204,$A4,'Boulder Sample Log'!$C$5:$C$204,15)=1,"½",""))</f>
        <v>✓</v>
      </c>
      <c r="Q4" s="96" t="str">
        <f>SUMPRODUCT((COUNTIFS('Boulder Sample Log'!$B$5:$B$204,$A4,'Boulder Sample Log'!$C$5:$C$204,{1,2,3,4,5,6,7,8,9,10,11,12,13,14,15})&gt;=2)*1)&amp;"/15"</f>
        <v>10/15</v>
      </c>
      <c r="R4" s="97"/>
    </row>
    <row r="5" spans="1:18" ht="27.75" customHeight="1" x14ac:dyDescent="0.3">
      <c r="A5" s="98" t="s">
        <v>19</v>
      </c>
      <c r="B5" s="99" t="str">
        <f>IF(COUNTIFS('Boulder Sample Log'!$B$5:$B$204,$A5,'Boulder Sample Log'!$C$5:$C$204,1)&gt;=2,"✓",IF(COUNTIFS('Boulder Sample Log'!$B$5:$B$204,$A5,'Boulder Sample Log'!$C$5:$C$204,1)=1,"½",""))</f>
        <v/>
      </c>
      <c r="C5" s="99" t="str">
        <f>IF(COUNTIFS('Boulder Sample Log'!$B$5:$B$204,$A5,'Boulder Sample Log'!$C$5:$C$204,2)&gt;=2,"✓",IF(COUNTIFS('Boulder Sample Log'!$B$5:$B$204,$A5,'Boulder Sample Log'!$C$5:$C$204,2)=1,"½",""))</f>
        <v>½</v>
      </c>
      <c r="D5" s="99" t="str">
        <f>IF(COUNTIFS('Boulder Sample Log'!$B$5:$B$204,$A5,'Boulder Sample Log'!$C$5:$C$204,3)&gt;=2,"✓",IF(COUNTIFS('Boulder Sample Log'!$B$5:$B$204,$A5,'Boulder Sample Log'!$C$5:$C$204,3)=1,"½",""))</f>
        <v>✓</v>
      </c>
      <c r="E5" s="99" t="str">
        <f>IF(COUNTIFS('Boulder Sample Log'!$B$5:$B$204,$A5,'Boulder Sample Log'!$C$5:$C$204,4)&gt;=2,"✓",IF(COUNTIFS('Boulder Sample Log'!$B$5:$B$204,$A5,'Boulder Sample Log'!$C$5:$C$204,4)=1,"½",""))</f>
        <v>½</v>
      </c>
      <c r="F5" s="99" t="str">
        <f>IF(COUNTIFS('Boulder Sample Log'!$B$5:$B$204,$A5,'Boulder Sample Log'!$C$5:$C$204,5)&gt;=2,"✓",IF(COUNTIFS('Boulder Sample Log'!$B$5:$B$204,$A5,'Boulder Sample Log'!$C$5:$C$204,5)=1,"½",""))</f>
        <v>½</v>
      </c>
      <c r="G5" s="99" t="str">
        <f>IF(COUNTIFS('Boulder Sample Log'!$B$5:$B$204,$A5,'Boulder Sample Log'!$C$5:$C$204,6)&gt;=2,"✓",IF(COUNTIFS('Boulder Sample Log'!$B$5:$B$204,$A5,'Boulder Sample Log'!$C$5:$C$204,6)=1,"½",""))</f>
        <v>✓</v>
      </c>
      <c r="H5" s="99" t="str">
        <f>IF(COUNTIFS('Boulder Sample Log'!$B$5:$B$204,$A5,'Boulder Sample Log'!$C$5:$C$204,7)&gt;=2,"✓",IF(COUNTIFS('Boulder Sample Log'!$B$5:$B$204,$A5,'Boulder Sample Log'!$C$5:$C$204,7)=1,"½",""))</f>
        <v>✓</v>
      </c>
      <c r="I5" s="99" t="str">
        <f>IF(COUNTIFS('Boulder Sample Log'!$B$5:$B$204,$A5,'Boulder Sample Log'!$C$5:$C$204,8)&gt;=2,"✓",IF(COUNTIFS('Boulder Sample Log'!$B$5:$B$204,$A5,'Boulder Sample Log'!$C$5:$C$204,8)=1,"½",""))</f>
        <v/>
      </c>
      <c r="J5" s="99" t="str">
        <f>IF(COUNTIFS('Boulder Sample Log'!$B$5:$B$204,$A5,'Boulder Sample Log'!$C$5:$C$204,9)&gt;=2,"✓",IF(COUNTIFS('Boulder Sample Log'!$B$5:$B$204,$A5,'Boulder Sample Log'!$C$5:$C$204,9)=1,"½",""))</f>
        <v>½</v>
      </c>
      <c r="K5" s="99" t="str">
        <f>IF(COUNTIFS('Boulder Sample Log'!$B$5:$B$204,$A5,'Boulder Sample Log'!$C$5:$C$204,10)&gt;=2,"✓",IF(COUNTIFS('Boulder Sample Log'!$B$5:$B$204,$A5,'Boulder Sample Log'!$C$5:$C$204,10)=1,"½",""))</f>
        <v/>
      </c>
      <c r="L5" s="99" t="str">
        <f>IF(COUNTIFS('Boulder Sample Log'!$B$5:$B$204,$A5,'Boulder Sample Log'!$C$5:$C$204,11)&gt;=2,"✓",IF(COUNTIFS('Boulder Sample Log'!$B$5:$B$204,$A5,'Boulder Sample Log'!$C$5:$C$204,11)=1,"½",""))</f>
        <v/>
      </c>
      <c r="M5" s="99" t="str">
        <f>IF(COUNTIFS('Boulder Sample Log'!$B$5:$B$204,$A5,'Boulder Sample Log'!$C$5:$C$204,12)&gt;=2,"✓",IF(COUNTIFS('Boulder Sample Log'!$B$5:$B$204,$A5,'Boulder Sample Log'!$C$5:$C$204,12)=1,"½",""))</f>
        <v/>
      </c>
      <c r="N5" s="99" t="str">
        <f>IF(COUNTIFS('Boulder Sample Log'!$B$5:$B$204,$A5,'Boulder Sample Log'!$C$5:$C$204,13)&gt;=2,"✓",IF(COUNTIFS('Boulder Sample Log'!$B$5:$B$204,$A5,'Boulder Sample Log'!$C$5:$C$204,13)=1,"½",""))</f>
        <v>½</v>
      </c>
      <c r="O5" s="99" t="str">
        <f>IF(COUNTIFS('Boulder Sample Log'!$B$5:$B$204,$A5,'Boulder Sample Log'!$C$5:$C$204,14)&gt;=2,"✓",IF(COUNTIFS('Boulder Sample Log'!$B$5:$B$204,$A5,'Boulder Sample Log'!$C$5:$C$204,14)=1,"½",""))</f>
        <v>½</v>
      </c>
      <c r="P5" s="99" t="str">
        <f>IF(COUNTIFS('Boulder Sample Log'!$B$5:$B$204,$A5,'Boulder Sample Log'!$C$5:$C$204,15)&gt;=2,"✓",IF(COUNTIFS('Boulder Sample Log'!$B$5:$B$204,$A5,'Boulder Sample Log'!$C$5:$C$204,15)=1,"½",""))</f>
        <v>✓</v>
      </c>
      <c r="Q5" s="100" t="str">
        <f>SUMPRODUCT((COUNTIFS('Boulder Sample Log'!$B$5:$B$204,$A5,'Boulder Sample Log'!$C$5:$C$204,{1,2,3,4,5,6,7,8,9,10,11,12,13,14,15})&gt;=2)*1)&amp;"/15"</f>
        <v>4/15</v>
      </c>
      <c r="R5" s="101"/>
    </row>
    <row r="6" spans="1:18" ht="27.75" customHeight="1" x14ac:dyDescent="0.3">
      <c r="A6" s="94" t="s">
        <v>16</v>
      </c>
      <c r="B6" s="95" t="str">
        <f>IF(COUNTIFS('Boulder Sample Log'!$B$5:$B$204,$A6,'Boulder Sample Log'!$C$5:$C$204,1)&gt;=2,"✓",IF(COUNTIFS('Boulder Sample Log'!$B$5:$B$204,$A6,'Boulder Sample Log'!$C$5:$C$204,1)=1,"½",""))</f>
        <v>½</v>
      </c>
      <c r="C6" s="95" t="str">
        <f>IF(COUNTIFS('Boulder Sample Log'!$B$5:$B$204,$A6,'Boulder Sample Log'!$C$5:$C$204,2)&gt;=2,"✓",IF(COUNTIFS('Boulder Sample Log'!$B$5:$B$204,$A6,'Boulder Sample Log'!$C$5:$C$204,2)=1,"½",""))</f>
        <v>½</v>
      </c>
      <c r="D6" s="95" t="str">
        <f>IF(COUNTIFS('Boulder Sample Log'!$B$5:$B$204,$A6,'Boulder Sample Log'!$C$5:$C$204,3)&gt;=2,"✓",IF(COUNTIFS('Boulder Sample Log'!$B$5:$B$204,$A6,'Boulder Sample Log'!$C$5:$C$204,3)=1,"½",""))</f>
        <v>½</v>
      </c>
      <c r="E6" s="95" t="str">
        <f>IF(COUNTIFS('Boulder Sample Log'!$B$5:$B$204,$A6,'Boulder Sample Log'!$C$5:$C$204,4)&gt;=2,"✓",IF(COUNTIFS('Boulder Sample Log'!$B$5:$B$204,$A6,'Boulder Sample Log'!$C$5:$C$204,4)=1,"½",""))</f>
        <v>½</v>
      </c>
      <c r="F6" s="95" t="str">
        <f>IF(COUNTIFS('Boulder Sample Log'!$B$5:$B$204,$A6,'Boulder Sample Log'!$C$5:$C$204,5)&gt;=2,"✓",IF(COUNTIFS('Boulder Sample Log'!$B$5:$B$204,$A6,'Boulder Sample Log'!$C$5:$C$204,5)=1,"½",""))</f>
        <v>½</v>
      </c>
      <c r="G6" s="95" t="str">
        <f>IF(COUNTIFS('Boulder Sample Log'!$B$5:$B$204,$A6,'Boulder Sample Log'!$C$5:$C$204,6)&gt;=2,"✓",IF(COUNTIFS('Boulder Sample Log'!$B$5:$B$204,$A6,'Boulder Sample Log'!$C$5:$C$204,6)=1,"½",""))</f>
        <v>½</v>
      </c>
      <c r="H6" s="95" t="str">
        <f>IF(COUNTIFS('Boulder Sample Log'!$B$5:$B$204,$A6,'Boulder Sample Log'!$C$5:$C$204,7)&gt;=2,"✓",IF(COUNTIFS('Boulder Sample Log'!$B$5:$B$204,$A6,'Boulder Sample Log'!$C$5:$C$204,7)=1,"½",""))</f>
        <v>½</v>
      </c>
      <c r="I6" s="95" t="str">
        <f>IF(COUNTIFS('Boulder Sample Log'!$B$5:$B$204,$A6,'Boulder Sample Log'!$C$5:$C$204,8)&gt;=2,"✓",IF(COUNTIFS('Boulder Sample Log'!$B$5:$B$204,$A6,'Boulder Sample Log'!$C$5:$C$204,8)=1,"½",""))</f>
        <v>½</v>
      </c>
      <c r="J6" s="95" t="str">
        <f>IF(COUNTIFS('Boulder Sample Log'!$B$5:$B$204,$A6,'Boulder Sample Log'!$C$5:$C$204,9)&gt;=2,"✓",IF(COUNTIFS('Boulder Sample Log'!$B$5:$B$204,$A6,'Boulder Sample Log'!$C$5:$C$204,9)=1,"½",""))</f>
        <v>½</v>
      </c>
      <c r="K6" s="95" t="str">
        <f>IF(COUNTIFS('Boulder Sample Log'!$B$5:$B$204,$A6,'Boulder Sample Log'!$C$5:$C$204,10)&gt;=2,"✓",IF(COUNTIFS('Boulder Sample Log'!$B$5:$B$204,$A6,'Boulder Sample Log'!$C$5:$C$204,10)=1,"½",""))</f>
        <v>½</v>
      </c>
      <c r="L6" s="95" t="str">
        <f>IF(COUNTIFS('Boulder Sample Log'!$B$5:$B$204,$A6,'Boulder Sample Log'!$C$5:$C$204,11)&gt;=2,"✓",IF(COUNTIFS('Boulder Sample Log'!$B$5:$B$204,$A6,'Boulder Sample Log'!$C$5:$C$204,11)=1,"½",""))</f>
        <v>½</v>
      </c>
      <c r="M6" s="95" t="str">
        <f>IF(COUNTIFS('Boulder Sample Log'!$B$5:$B$204,$A6,'Boulder Sample Log'!$C$5:$C$204,12)&gt;=2,"✓",IF(COUNTIFS('Boulder Sample Log'!$B$5:$B$204,$A6,'Boulder Sample Log'!$C$5:$C$204,12)=1,"½",""))</f>
        <v>½</v>
      </c>
      <c r="N6" s="95" t="str">
        <f>IF(COUNTIFS('Boulder Sample Log'!$B$5:$B$204,$A6,'Boulder Sample Log'!$C$5:$C$204,13)&gt;=2,"✓",IF(COUNTIFS('Boulder Sample Log'!$B$5:$B$204,$A6,'Boulder Sample Log'!$C$5:$C$204,13)=1,"½",""))</f>
        <v>½</v>
      </c>
      <c r="O6" s="95" t="str">
        <f>IF(COUNTIFS('Boulder Sample Log'!$B$5:$B$204,$A6,'Boulder Sample Log'!$C$5:$C$204,14)&gt;=2,"✓",IF(COUNTIFS('Boulder Sample Log'!$B$5:$B$204,$A6,'Boulder Sample Log'!$C$5:$C$204,14)=1,"½",""))</f>
        <v>½</v>
      </c>
      <c r="P6" s="95" t="str">
        <f>IF(COUNTIFS('Boulder Sample Log'!$B$5:$B$204,$A6,'Boulder Sample Log'!$C$5:$C$204,15)&gt;=2,"✓",IF(COUNTIFS('Boulder Sample Log'!$B$5:$B$204,$A6,'Boulder Sample Log'!$C$5:$C$204,15)=1,"½",""))</f>
        <v>½</v>
      </c>
      <c r="Q6" s="96" t="str">
        <f>SUMPRODUCT((COUNTIFS('Boulder Sample Log'!$B$5:$B$204,$A6,'Boulder Sample Log'!$C$5:$C$204,{1,2,3,4,5,6,7,8,9,10,11,12,13,14,15})&gt;=2)*1)&amp;"/15"</f>
        <v>0/15</v>
      </c>
      <c r="R6" s="97"/>
    </row>
    <row r="7" spans="1:18" ht="27.75" customHeight="1" x14ac:dyDescent="0.3">
      <c r="A7" s="98" t="s">
        <v>15</v>
      </c>
      <c r="B7" s="99" t="str">
        <f>IF(COUNTIFS('Boulder Sample Log'!$B$5:$B$204,$A7,'Boulder Sample Log'!$C$5:$C$204,1)&gt;=2,"✓",IF(COUNTIFS('Boulder Sample Log'!$B$5:$B$204,$A7,'Boulder Sample Log'!$C$5:$C$204,1)=1,"½",""))</f>
        <v/>
      </c>
      <c r="C7" s="99" t="str">
        <f>IF(COUNTIFS('Boulder Sample Log'!$B$5:$B$204,$A7,'Boulder Sample Log'!$C$5:$C$204,2)&gt;=2,"✓",IF(COUNTIFS('Boulder Sample Log'!$B$5:$B$204,$A7,'Boulder Sample Log'!$C$5:$C$204,2)=1,"½",""))</f>
        <v>½</v>
      </c>
      <c r="D7" s="99" t="str">
        <f>IF(COUNTIFS('Boulder Sample Log'!$B$5:$B$204,$A7,'Boulder Sample Log'!$C$5:$C$204,3)&gt;=2,"✓",IF(COUNTIFS('Boulder Sample Log'!$B$5:$B$204,$A7,'Boulder Sample Log'!$C$5:$C$204,3)=1,"½",""))</f>
        <v>½</v>
      </c>
      <c r="E7" s="99" t="str">
        <f>IF(COUNTIFS('Boulder Sample Log'!$B$5:$B$204,$A7,'Boulder Sample Log'!$C$5:$C$204,4)&gt;=2,"✓",IF(COUNTIFS('Boulder Sample Log'!$B$5:$B$204,$A7,'Boulder Sample Log'!$C$5:$C$204,4)=1,"½",""))</f>
        <v>✓</v>
      </c>
      <c r="F7" s="99" t="str">
        <f>IF(COUNTIFS('Boulder Sample Log'!$B$5:$B$204,$A7,'Boulder Sample Log'!$C$5:$C$204,5)&gt;=2,"✓",IF(COUNTIFS('Boulder Sample Log'!$B$5:$B$204,$A7,'Boulder Sample Log'!$C$5:$C$204,5)=1,"½",""))</f>
        <v>✓</v>
      </c>
      <c r="G7" s="99" t="str">
        <f>IF(COUNTIFS('Boulder Sample Log'!$B$5:$B$204,$A7,'Boulder Sample Log'!$C$5:$C$204,6)&gt;=2,"✓",IF(COUNTIFS('Boulder Sample Log'!$B$5:$B$204,$A7,'Boulder Sample Log'!$C$5:$C$204,6)=1,"½",""))</f>
        <v>✓</v>
      </c>
      <c r="H7" s="99" t="str">
        <f>IF(COUNTIFS('Boulder Sample Log'!$B$5:$B$204,$A7,'Boulder Sample Log'!$C$5:$C$204,7)&gt;=2,"✓",IF(COUNTIFS('Boulder Sample Log'!$B$5:$B$204,$A7,'Boulder Sample Log'!$C$5:$C$204,7)=1,"½",""))</f>
        <v>✓</v>
      </c>
      <c r="I7" s="99" t="str">
        <f>IF(COUNTIFS('Boulder Sample Log'!$B$5:$B$204,$A7,'Boulder Sample Log'!$C$5:$C$204,8)&gt;=2,"✓",IF(COUNTIFS('Boulder Sample Log'!$B$5:$B$204,$A7,'Boulder Sample Log'!$C$5:$C$204,8)=1,"½",""))</f>
        <v>✓</v>
      </c>
      <c r="J7" s="99" t="str">
        <f>IF(COUNTIFS('Boulder Sample Log'!$B$5:$B$204,$A7,'Boulder Sample Log'!$C$5:$C$204,9)&gt;=2,"✓",IF(COUNTIFS('Boulder Sample Log'!$B$5:$B$204,$A7,'Boulder Sample Log'!$C$5:$C$204,9)=1,"½",""))</f>
        <v>✓</v>
      </c>
      <c r="K7" s="99" t="str">
        <f>IF(COUNTIFS('Boulder Sample Log'!$B$5:$B$204,$A7,'Boulder Sample Log'!$C$5:$C$204,10)&gt;=2,"✓",IF(COUNTIFS('Boulder Sample Log'!$B$5:$B$204,$A7,'Boulder Sample Log'!$C$5:$C$204,10)=1,"½",""))</f>
        <v>✓</v>
      </c>
      <c r="L7" s="99" t="str">
        <f>IF(COUNTIFS('Boulder Sample Log'!$B$5:$B$204,$A7,'Boulder Sample Log'!$C$5:$C$204,11)&gt;=2,"✓",IF(COUNTIFS('Boulder Sample Log'!$B$5:$B$204,$A7,'Boulder Sample Log'!$C$5:$C$204,11)=1,"½",""))</f>
        <v>✓</v>
      </c>
      <c r="M7" s="99" t="str">
        <f>IF(COUNTIFS('Boulder Sample Log'!$B$5:$B$204,$A7,'Boulder Sample Log'!$C$5:$C$204,12)&gt;=2,"✓",IF(COUNTIFS('Boulder Sample Log'!$B$5:$B$204,$A7,'Boulder Sample Log'!$C$5:$C$204,12)=1,"½",""))</f>
        <v>✓</v>
      </c>
      <c r="N7" s="99" t="str">
        <f>IF(COUNTIFS('Boulder Sample Log'!$B$5:$B$204,$A7,'Boulder Sample Log'!$C$5:$C$204,13)&gt;=2,"✓",IF(COUNTIFS('Boulder Sample Log'!$B$5:$B$204,$A7,'Boulder Sample Log'!$C$5:$C$204,13)=1,"½",""))</f>
        <v>✓</v>
      </c>
      <c r="O7" s="99" t="str">
        <f>IF(COUNTIFS('Boulder Sample Log'!$B$5:$B$204,$A7,'Boulder Sample Log'!$C$5:$C$204,14)&gt;=2,"✓",IF(COUNTIFS('Boulder Sample Log'!$B$5:$B$204,$A7,'Boulder Sample Log'!$C$5:$C$204,14)=1,"½",""))</f>
        <v>✓</v>
      </c>
      <c r="P7" s="99" t="str">
        <f>IF(COUNTIFS('Boulder Sample Log'!$B$5:$B$204,$A7,'Boulder Sample Log'!$C$5:$C$204,15)&gt;=2,"✓",IF(COUNTIFS('Boulder Sample Log'!$B$5:$B$204,$A7,'Boulder Sample Log'!$C$5:$C$204,15)=1,"½",""))</f>
        <v/>
      </c>
      <c r="Q7" s="100" t="str">
        <f>SUMPRODUCT((COUNTIFS('Boulder Sample Log'!$B$5:$B$204,$A7,'Boulder Sample Log'!$C$5:$C$204,{1,2,3,4,5,6,7,8,9,10,11,12,13,14,15})&gt;=2)*1)&amp;"/15"</f>
        <v>11/15</v>
      </c>
      <c r="R7" s="101"/>
    </row>
    <row r="8" spans="1:18" ht="27.75" customHeight="1" x14ac:dyDescent="0.3">
      <c r="A8" s="94" t="s">
        <v>17</v>
      </c>
      <c r="B8" s="95" t="str">
        <f>IF(COUNTIFS('Boulder Sample Log'!$B$5:$B$204,$A8,'Boulder Sample Log'!$C$5:$C$204,1)&gt;=2,"✓",IF(COUNTIFS('Boulder Sample Log'!$B$5:$B$204,$A8,'Boulder Sample Log'!$C$5:$C$204,1)=1,"½",""))</f>
        <v>✓</v>
      </c>
      <c r="C8" s="95" t="str">
        <f>IF(COUNTIFS('Boulder Sample Log'!$B$5:$B$204,$A8,'Boulder Sample Log'!$C$5:$C$204,2)&gt;=2,"✓",IF(COUNTIFS('Boulder Sample Log'!$B$5:$B$204,$A8,'Boulder Sample Log'!$C$5:$C$204,2)=1,"½",""))</f>
        <v>✓</v>
      </c>
      <c r="D8" s="95" t="str">
        <f>IF(COUNTIFS('Boulder Sample Log'!$B$5:$B$204,$A8,'Boulder Sample Log'!$C$5:$C$204,3)&gt;=2,"✓",IF(COUNTIFS('Boulder Sample Log'!$B$5:$B$204,$A8,'Boulder Sample Log'!$C$5:$C$204,3)=1,"½",""))</f>
        <v/>
      </c>
      <c r="E8" s="95" t="str">
        <f>IF(COUNTIFS('Boulder Sample Log'!$B$5:$B$204,$A8,'Boulder Sample Log'!$C$5:$C$204,4)&gt;=2,"✓",IF(COUNTIFS('Boulder Sample Log'!$B$5:$B$204,$A8,'Boulder Sample Log'!$C$5:$C$204,4)=1,"½",""))</f>
        <v>½</v>
      </c>
      <c r="F8" s="95" t="str">
        <f>IF(COUNTIFS('Boulder Sample Log'!$B$5:$B$204,$A8,'Boulder Sample Log'!$C$5:$C$204,5)&gt;=2,"✓",IF(COUNTIFS('Boulder Sample Log'!$B$5:$B$204,$A8,'Boulder Sample Log'!$C$5:$C$204,5)=1,"½",""))</f>
        <v>✓</v>
      </c>
      <c r="G8" s="95" t="str">
        <f>IF(COUNTIFS('Boulder Sample Log'!$B$5:$B$204,$A8,'Boulder Sample Log'!$C$5:$C$204,6)&gt;=2,"✓",IF(COUNTIFS('Boulder Sample Log'!$B$5:$B$204,$A8,'Boulder Sample Log'!$C$5:$C$204,6)=1,"½",""))</f>
        <v>✓</v>
      </c>
      <c r="H8" s="95" t="str">
        <f>IF(COUNTIFS('Boulder Sample Log'!$B$5:$B$204,$A8,'Boulder Sample Log'!$C$5:$C$204,7)&gt;=2,"✓",IF(COUNTIFS('Boulder Sample Log'!$B$5:$B$204,$A8,'Boulder Sample Log'!$C$5:$C$204,7)=1,"½",""))</f>
        <v/>
      </c>
      <c r="I8" s="95" t="str">
        <f>IF(COUNTIFS('Boulder Sample Log'!$B$5:$B$204,$A8,'Boulder Sample Log'!$C$5:$C$204,8)&gt;=2,"✓",IF(COUNTIFS('Boulder Sample Log'!$B$5:$B$204,$A8,'Boulder Sample Log'!$C$5:$C$204,8)=1,"½",""))</f>
        <v>½</v>
      </c>
      <c r="J8" s="95" t="str">
        <f>IF(COUNTIFS('Boulder Sample Log'!$B$5:$B$204,$A8,'Boulder Sample Log'!$C$5:$C$204,9)&gt;=2,"✓",IF(COUNTIFS('Boulder Sample Log'!$B$5:$B$204,$A8,'Boulder Sample Log'!$C$5:$C$204,9)=1,"½",""))</f>
        <v>½</v>
      </c>
      <c r="K8" s="95" t="str">
        <f>IF(COUNTIFS('Boulder Sample Log'!$B$5:$B$204,$A8,'Boulder Sample Log'!$C$5:$C$204,10)&gt;=2,"✓",IF(COUNTIFS('Boulder Sample Log'!$B$5:$B$204,$A8,'Boulder Sample Log'!$C$5:$C$204,10)=1,"½",""))</f>
        <v/>
      </c>
      <c r="L8" s="95" t="str">
        <f>IF(COUNTIFS('Boulder Sample Log'!$B$5:$B$204,$A8,'Boulder Sample Log'!$C$5:$C$204,11)&gt;=2,"✓",IF(COUNTIFS('Boulder Sample Log'!$B$5:$B$204,$A8,'Boulder Sample Log'!$C$5:$C$204,11)=1,"½",""))</f>
        <v>✓</v>
      </c>
      <c r="M8" s="95" t="str">
        <f>IF(COUNTIFS('Boulder Sample Log'!$B$5:$B$204,$A8,'Boulder Sample Log'!$C$5:$C$204,12)&gt;=2,"✓",IF(COUNTIFS('Boulder Sample Log'!$B$5:$B$204,$A8,'Boulder Sample Log'!$C$5:$C$204,12)=1,"½",""))</f>
        <v>½</v>
      </c>
      <c r="N8" s="95" t="str">
        <f>IF(COUNTIFS('Boulder Sample Log'!$B$5:$B$204,$A8,'Boulder Sample Log'!$C$5:$C$204,13)&gt;=2,"✓",IF(COUNTIFS('Boulder Sample Log'!$B$5:$B$204,$A8,'Boulder Sample Log'!$C$5:$C$204,13)=1,"½",""))</f>
        <v>½</v>
      </c>
      <c r="O8" s="95" t="str">
        <f>IF(COUNTIFS('Boulder Sample Log'!$B$5:$B$204,$A8,'Boulder Sample Log'!$C$5:$C$204,14)&gt;=2,"✓",IF(COUNTIFS('Boulder Sample Log'!$B$5:$B$204,$A8,'Boulder Sample Log'!$C$5:$C$204,14)=1,"½",""))</f>
        <v>✓</v>
      </c>
      <c r="P8" s="95" t="str">
        <f>IF(COUNTIFS('Boulder Sample Log'!$B$5:$B$204,$A8,'Boulder Sample Log'!$C$5:$C$204,15)&gt;=2,"✓",IF(COUNTIFS('Boulder Sample Log'!$B$5:$B$204,$A8,'Boulder Sample Log'!$C$5:$C$204,15)=1,"½",""))</f>
        <v/>
      </c>
      <c r="Q8" s="96" t="str">
        <f>SUMPRODUCT((COUNTIFS('Boulder Sample Log'!$B$5:$B$204,$A8,'Boulder Sample Log'!$C$5:$C$204,{1,2,3,4,5,6,7,8,9,10,11,12,13,14,15})&gt;=2)*1)&amp;"/15"</f>
        <v>6/15</v>
      </c>
      <c r="R8" s="97"/>
    </row>
    <row r="9" spans="1:18" ht="27.75" customHeight="1" x14ac:dyDescent="0.3">
      <c r="A9" s="98" t="s">
        <v>18</v>
      </c>
      <c r="B9" s="99" t="str">
        <f>IF(COUNTIFS('Boulder Sample Log'!$B$5:$B$204,$A9,'Boulder Sample Log'!$C$5:$C$204,1)&gt;=2,"✓",IF(COUNTIFS('Boulder Sample Log'!$B$5:$B$204,$A9,'Boulder Sample Log'!$C$5:$C$204,1)=1,"½",""))</f>
        <v>✓</v>
      </c>
      <c r="C9" s="99" t="str">
        <f>IF(COUNTIFS('Boulder Sample Log'!$B$5:$B$204,$A9,'Boulder Sample Log'!$C$5:$C$204,2)&gt;=2,"✓",IF(COUNTIFS('Boulder Sample Log'!$B$5:$B$204,$A9,'Boulder Sample Log'!$C$5:$C$204,2)=1,"½",""))</f>
        <v>✓</v>
      </c>
      <c r="D9" s="99" t="str">
        <f>IF(COUNTIFS('Boulder Sample Log'!$B$5:$B$204,$A9,'Boulder Sample Log'!$C$5:$C$204,3)&gt;=2,"✓",IF(COUNTIFS('Boulder Sample Log'!$B$5:$B$204,$A9,'Boulder Sample Log'!$C$5:$C$204,3)=1,"½",""))</f>
        <v>✓</v>
      </c>
      <c r="E9" s="99" t="str">
        <f>IF(COUNTIFS('Boulder Sample Log'!$B$5:$B$204,$A9,'Boulder Sample Log'!$C$5:$C$204,4)&gt;=2,"✓",IF(COUNTIFS('Boulder Sample Log'!$B$5:$B$204,$A9,'Boulder Sample Log'!$C$5:$C$204,4)=1,"½",""))</f>
        <v>✓</v>
      </c>
      <c r="F9" s="99" t="str">
        <f>IF(COUNTIFS('Boulder Sample Log'!$B$5:$B$204,$A9,'Boulder Sample Log'!$C$5:$C$204,5)&gt;=2,"✓",IF(COUNTIFS('Boulder Sample Log'!$B$5:$B$204,$A9,'Boulder Sample Log'!$C$5:$C$204,5)=1,"½",""))</f>
        <v>✓</v>
      </c>
      <c r="G9" s="99" t="str">
        <f>IF(COUNTIFS('Boulder Sample Log'!$B$5:$B$204,$A9,'Boulder Sample Log'!$C$5:$C$204,6)&gt;=2,"✓",IF(COUNTIFS('Boulder Sample Log'!$B$5:$B$204,$A9,'Boulder Sample Log'!$C$5:$C$204,6)=1,"½",""))</f>
        <v>✓</v>
      </c>
      <c r="H9" s="99" t="str">
        <f>IF(COUNTIFS('Boulder Sample Log'!$B$5:$B$204,$A9,'Boulder Sample Log'!$C$5:$C$204,7)&gt;=2,"✓",IF(COUNTIFS('Boulder Sample Log'!$B$5:$B$204,$A9,'Boulder Sample Log'!$C$5:$C$204,7)=1,"½",""))</f>
        <v>✓</v>
      </c>
      <c r="I9" s="99" t="str">
        <f>IF(COUNTIFS('Boulder Sample Log'!$B$5:$B$204,$A9,'Boulder Sample Log'!$C$5:$C$204,8)&gt;=2,"✓",IF(COUNTIFS('Boulder Sample Log'!$B$5:$B$204,$A9,'Boulder Sample Log'!$C$5:$C$204,8)=1,"½",""))</f>
        <v>✓</v>
      </c>
      <c r="J9" s="99" t="str">
        <f>IF(COUNTIFS('Boulder Sample Log'!$B$5:$B$204,$A9,'Boulder Sample Log'!$C$5:$C$204,9)&gt;=2,"✓",IF(COUNTIFS('Boulder Sample Log'!$B$5:$B$204,$A9,'Boulder Sample Log'!$C$5:$C$204,9)=1,"½",""))</f>
        <v>✓</v>
      </c>
      <c r="K9" s="99" t="str">
        <f>IF(COUNTIFS('Boulder Sample Log'!$B$5:$B$204,$A9,'Boulder Sample Log'!$C$5:$C$204,10)&gt;=2,"✓",IF(COUNTIFS('Boulder Sample Log'!$B$5:$B$204,$A9,'Boulder Sample Log'!$C$5:$C$204,10)=1,"½",""))</f>
        <v>✓</v>
      </c>
      <c r="L9" s="99" t="str">
        <f>IF(COUNTIFS('Boulder Sample Log'!$B$5:$B$204,$A9,'Boulder Sample Log'!$C$5:$C$204,11)&gt;=2,"✓",IF(COUNTIFS('Boulder Sample Log'!$B$5:$B$204,$A9,'Boulder Sample Log'!$C$5:$C$204,11)=1,"½",""))</f>
        <v>✓</v>
      </c>
      <c r="M9" s="99" t="str">
        <f>IF(COUNTIFS('Boulder Sample Log'!$B$5:$B$204,$A9,'Boulder Sample Log'!$C$5:$C$204,12)&gt;=2,"✓",IF(COUNTIFS('Boulder Sample Log'!$B$5:$B$204,$A9,'Boulder Sample Log'!$C$5:$C$204,12)=1,"½",""))</f>
        <v>✓</v>
      </c>
      <c r="N9" s="99" t="str">
        <f>IF(COUNTIFS('Boulder Sample Log'!$B$5:$B$204,$A9,'Boulder Sample Log'!$C$5:$C$204,13)&gt;=2,"✓",IF(COUNTIFS('Boulder Sample Log'!$B$5:$B$204,$A9,'Boulder Sample Log'!$C$5:$C$204,13)=1,"½",""))</f>
        <v>½</v>
      </c>
      <c r="O9" s="99" t="str">
        <f>IF(COUNTIFS('Boulder Sample Log'!$B$5:$B$204,$A9,'Boulder Sample Log'!$C$5:$C$204,14)&gt;=2,"✓",IF(COUNTIFS('Boulder Sample Log'!$B$5:$B$204,$A9,'Boulder Sample Log'!$C$5:$C$204,14)=1,"½",""))</f>
        <v>✓</v>
      </c>
      <c r="P9" s="99" t="str">
        <f>IF(COUNTIFS('Boulder Sample Log'!$B$5:$B$204,$A9,'Boulder Sample Log'!$C$5:$C$204,15)&gt;=2,"✓",IF(COUNTIFS('Boulder Sample Log'!$B$5:$B$204,$A9,'Boulder Sample Log'!$C$5:$C$204,15)=1,"½",""))</f>
        <v>✓</v>
      </c>
      <c r="Q9" s="100" t="str">
        <f>SUMPRODUCT((COUNTIFS('Boulder Sample Log'!$B$5:$B$204,$A9,'Boulder Sample Log'!$C$5:$C$204,{1,2,3,4,5,6,7,8,9,10,11,12,13,14,15})&gt;=2)*1)&amp;"/15"</f>
        <v>14/15</v>
      </c>
      <c r="R9" s="101"/>
    </row>
    <row r="10" spans="1:18" ht="27.75" customHeight="1" x14ac:dyDescent="0.3">
      <c r="A10" s="94" t="s">
        <v>20</v>
      </c>
      <c r="B10" s="95" t="str">
        <f>IF(COUNTIFS('Boulder Sample Log'!$B$5:$B$204,$A10,'Boulder Sample Log'!$C$5:$C$204,1)&gt;=2,"✓",IF(COUNTIFS('Boulder Sample Log'!$B$5:$B$204,$A10,'Boulder Sample Log'!$C$5:$C$204,1)=1,"½",""))</f>
        <v>✓</v>
      </c>
      <c r="C10" s="95" t="str">
        <f>IF(COUNTIFS('Boulder Sample Log'!$B$5:$B$204,$A10,'Boulder Sample Log'!$C$5:$C$204,2)&gt;=2,"✓",IF(COUNTIFS('Boulder Sample Log'!$B$5:$B$204,$A10,'Boulder Sample Log'!$C$5:$C$204,2)=1,"½",""))</f>
        <v>✓</v>
      </c>
      <c r="D10" s="95" t="str">
        <f>IF(COUNTIFS('Boulder Sample Log'!$B$5:$B$204,$A10,'Boulder Sample Log'!$C$5:$C$204,3)&gt;=2,"✓",IF(COUNTIFS('Boulder Sample Log'!$B$5:$B$204,$A10,'Boulder Sample Log'!$C$5:$C$204,3)=1,"½",""))</f>
        <v>✓</v>
      </c>
      <c r="E10" s="95" t="str">
        <f>IF(COUNTIFS('Boulder Sample Log'!$B$5:$B$204,$A10,'Boulder Sample Log'!$C$5:$C$204,4)&gt;=2,"✓",IF(COUNTIFS('Boulder Sample Log'!$B$5:$B$204,$A10,'Boulder Sample Log'!$C$5:$C$204,4)=1,"½",""))</f>
        <v/>
      </c>
      <c r="F10" s="95" t="str">
        <f>IF(COUNTIFS('Boulder Sample Log'!$B$5:$B$204,$A10,'Boulder Sample Log'!$C$5:$C$204,5)&gt;=2,"✓",IF(COUNTIFS('Boulder Sample Log'!$B$5:$B$204,$A10,'Boulder Sample Log'!$C$5:$C$204,5)=1,"½",""))</f>
        <v>✓</v>
      </c>
      <c r="G10" s="95" t="str">
        <f>IF(COUNTIFS('Boulder Sample Log'!$B$5:$B$204,$A10,'Boulder Sample Log'!$C$5:$C$204,6)&gt;=2,"✓",IF(COUNTIFS('Boulder Sample Log'!$B$5:$B$204,$A10,'Boulder Sample Log'!$C$5:$C$204,6)=1,"½",""))</f>
        <v>✓</v>
      </c>
      <c r="H10" s="95" t="str">
        <f>IF(COUNTIFS('Boulder Sample Log'!$B$5:$B$204,$A10,'Boulder Sample Log'!$C$5:$C$204,7)&gt;=2,"✓",IF(COUNTIFS('Boulder Sample Log'!$B$5:$B$204,$A10,'Boulder Sample Log'!$C$5:$C$204,7)=1,"½",""))</f>
        <v>✓</v>
      </c>
      <c r="I10" s="95" t="str">
        <f>IF(COUNTIFS('Boulder Sample Log'!$B$5:$B$204,$A10,'Boulder Sample Log'!$C$5:$C$204,8)&gt;=2,"✓",IF(COUNTIFS('Boulder Sample Log'!$B$5:$B$204,$A10,'Boulder Sample Log'!$C$5:$C$204,8)=1,"½",""))</f>
        <v>✓</v>
      </c>
      <c r="J10" s="95" t="str">
        <f>IF(COUNTIFS('Boulder Sample Log'!$B$5:$B$204,$A10,'Boulder Sample Log'!$C$5:$C$204,9)&gt;=2,"✓",IF(COUNTIFS('Boulder Sample Log'!$B$5:$B$204,$A10,'Boulder Sample Log'!$C$5:$C$204,9)=1,"½",""))</f>
        <v>½</v>
      </c>
      <c r="K10" s="95" t="str">
        <f>IF(COUNTIFS('Boulder Sample Log'!$B$5:$B$204,$A10,'Boulder Sample Log'!$C$5:$C$204,10)&gt;=2,"✓",IF(COUNTIFS('Boulder Sample Log'!$B$5:$B$204,$A10,'Boulder Sample Log'!$C$5:$C$204,10)=1,"½",""))</f>
        <v>✓</v>
      </c>
      <c r="L10" s="95" t="str">
        <f>IF(COUNTIFS('Boulder Sample Log'!$B$5:$B$204,$A10,'Boulder Sample Log'!$C$5:$C$204,11)&gt;=2,"✓",IF(COUNTIFS('Boulder Sample Log'!$B$5:$B$204,$A10,'Boulder Sample Log'!$C$5:$C$204,11)=1,"½",""))</f>
        <v/>
      </c>
      <c r="M10" s="95" t="str">
        <f>IF(COUNTIFS('Boulder Sample Log'!$B$5:$B$204,$A10,'Boulder Sample Log'!$C$5:$C$204,12)&gt;=2,"✓",IF(COUNTIFS('Boulder Sample Log'!$B$5:$B$204,$A10,'Boulder Sample Log'!$C$5:$C$204,12)=1,"½",""))</f>
        <v>✓</v>
      </c>
      <c r="N10" s="95" t="str">
        <f>IF(COUNTIFS('Boulder Sample Log'!$B$5:$B$204,$A10,'Boulder Sample Log'!$C$5:$C$204,13)&gt;=2,"✓",IF(COUNTIFS('Boulder Sample Log'!$B$5:$B$204,$A10,'Boulder Sample Log'!$C$5:$C$204,13)=1,"½",""))</f>
        <v>✓</v>
      </c>
      <c r="O10" s="95" t="str">
        <f>IF(COUNTIFS('Boulder Sample Log'!$B$5:$B$204,$A10,'Boulder Sample Log'!$C$5:$C$204,14)&gt;=2,"✓",IF(COUNTIFS('Boulder Sample Log'!$B$5:$B$204,$A10,'Boulder Sample Log'!$C$5:$C$204,14)=1,"½",""))</f>
        <v>✓</v>
      </c>
      <c r="P10" s="95" t="str">
        <f>IF(COUNTIFS('Boulder Sample Log'!$B$5:$B$204,$A10,'Boulder Sample Log'!$C$5:$C$204,15)&gt;=2,"✓",IF(COUNTIFS('Boulder Sample Log'!$B$5:$B$204,$A10,'Boulder Sample Log'!$C$5:$C$204,15)=1,"½",""))</f>
        <v/>
      </c>
      <c r="Q10" s="96" t="str">
        <f>SUMPRODUCT((COUNTIFS('Boulder Sample Log'!$B$5:$B$204,$A10,'Boulder Sample Log'!$C$5:$C$204,{1,2,3,4,5,6,7,8,9,10,11,12,13,14,15})&gt;=2)*1)&amp;"/15"</f>
        <v>11/15</v>
      </c>
      <c r="R10" s="97"/>
    </row>
    <row r="11" spans="1:18" ht="14.25" customHeight="1" x14ac:dyDescent="0.3">
      <c r="A11" s="26" t="s">
        <v>667</v>
      </c>
      <c r="B11" s="197" t="str">
        <f>(SUMPRODUCT((COUNTIFS('Boulder Sample Log'!$B$5:$B$204,A4,'Boulder Sample Log'!$C$5:$C$204,{1,2,3,4,5,6,7,8,9,10,11,12,13,14,15})&gt;=2)*1)+SUMPRODUCT((COUNTIFS('Boulder Sample Log'!$B$5:$B$204,A5,'Boulder Sample Log'!$C$5:$C$204,{1,2,3,4,5,6,7,8,9,10,11,12,13,14,15})&gt;=2)*1)+SUMPRODUCT((COUNTIFS('Boulder Sample Log'!$B$5:$B$204,A6,'Boulder Sample Log'!$C$5:$C$204,{1,2,3,4,5,6,7,8,9,10,11,12,13,14,15})&gt;=2)*1)+SUMPRODUCT((COUNTIFS('Boulder Sample Log'!$B$5:$B$204,A7,'Boulder Sample Log'!$C$5:$C$204,{1,2,3,4,5,6,7,8,9,10,11,12,13,14,15})&gt;=2)*1)+SUMPRODUCT((COUNTIFS('Boulder Sample Log'!$B$5:$B$204,A8,'Boulder Sample Log'!$C$5:$C$204,{1,2,3,4,5,6,7,8,9,10,11,12,13,14,15})&gt;=2)*1)+SUMPRODUCT((COUNTIFS('Boulder Sample Log'!$B$5:$B$204,A9,'Boulder Sample Log'!$C$5:$C$204,{1,2,3,4,5,6,7,8,9,10,11,12,13,14,15})&gt;=2)*1)+SUMPRODUCT((COUNTIFS('Boulder Sample Log'!$B$5:$B$204,A10,'Boulder Sample Log'!$C$5:$C$204,{1,2,3,4,5,6,7,8,9,10,11,12,13,14,15})&gt;=2)*1))&amp;"/105 Grids  |  "&amp;(SUMPRODUCT((COUNTIFS('Boulder Sample Log'!$B$5:$B$204,A4,'Boulder Sample Log'!$C$5:$C$204,{1,2,3,4,5,6,7,8,9,10,11,12,13,14,15})&gt;=2)*1)+SUMPRODUCT((COUNTIFS('Boulder Sample Log'!$B$5:$B$204,A5,'Boulder Sample Log'!$C$5:$C$204,{1,2,3,4,5,6,7,8,9,10,11,12,13,14,15})&gt;=2)*1)+SUMPRODUCT((COUNTIFS('Boulder Sample Log'!$B$5:$B$204,A6,'Boulder Sample Log'!$C$5:$C$204,{1,2,3,4,5,6,7,8,9,10,11,12,13,14,15})&gt;=2)*1)+SUMPRODUCT((COUNTIFS('Boulder Sample Log'!$B$5:$B$204,A7,'Boulder Sample Log'!$C$5:$C$204,{1,2,3,4,5,6,7,8,9,10,11,12,13,14,15})&gt;=2)*1)+SUMPRODUCT((COUNTIFS('Boulder Sample Log'!$B$5:$B$204,A8,'Boulder Sample Log'!$C$5:$C$204,{1,2,3,4,5,6,7,8,9,10,11,12,13,14,15})&gt;=2)*1)+SUMPRODUCT((COUNTIFS('Boulder Sample Log'!$B$5:$B$204,A9,'Boulder Sample Log'!$C$5:$C$204,{1,2,3,4,5,6,7,8,9,10,11,12,13,14,15})&gt;=2)*1)+SUMPRODUCT((COUNTIFS('Boulder Sample Log'!$B$5:$B$204,A10,'Boulder Sample Log'!$C$5:$C$204,{1,2,3,4,5,6,7,8,9,10,11,12,13,14,15})&gt;=2)*1))*2&amp;"/210 Boulders"</f>
        <v>56/105 Grids  |  112/210 Boulders</v>
      </c>
      <c r="C11" s="197"/>
      <c r="D11" s="197"/>
      <c r="E11" s="197"/>
      <c r="F11" s="197"/>
      <c r="G11" s="197"/>
      <c r="H11" s="197"/>
      <c r="I11" s="197"/>
      <c r="J11" s="197"/>
      <c r="K11" s="197"/>
      <c r="L11" s="197"/>
      <c r="M11" s="197"/>
      <c r="N11" s="197"/>
      <c r="O11" s="197"/>
      <c r="P11" s="197"/>
      <c r="Q11" s="26" t="str">
        <f>(SUMPRODUCT((COUNTIFS('Boulder Sample Log'!$B$5:$B$204,A4,'Boulder Sample Log'!$C$5:$C$204,{1,2,3,4,5,6,7,8,9,10,11,12,13,14,15})&gt;=2)*1)+SUMPRODUCT((COUNTIFS('Boulder Sample Log'!$B$5:$B$204,A5,'Boulder Sample Log'!$C$5:$C$204,{1,2,3,4,5,6,7,8,9,10,11,12,13,14,15})&gt;=2)*1)+SUMPRODUCT((COUNTIFS('Boulder Sample Log'!$B$5:$B$204,A6,'Boulder Sample Log'!$C$5:$C$204,{1,2,3,4,5,6,7,8,9,10,11,12,13,14,15})&gt;=2)*1)+SUMPRODUCT((COUNTIFS('Boulder Sample Log'!$B$5:$B$204,A7,'Boulder Sample Log'!$C$5:$C$204,{1,2,3,4,5,6,7,8,9,10,11,12,13,14,15})&gt;=2)*1)+SUMPRODUCT((COUNTIFS('Boulder Sample Log'!$B$5:$B$204,A8,'Boulder Sample Log'!$C$5:$C$204,{1,2,3,4,5,6,7,8,9,10,11,12,13,14,15})&gt;=2)*1)+SUMPRODUCT((COUNTIFS('Boulder Sample Log'!$B$5:$B$204,A9,'Boulder Sample Log'!$C$5:$C$204,{1,2,3,4,5,6,7,8,9,10,11,12,13,14,15})&gt;=2)*1)+SUMPRODUCT((COUNTIFS('Boulder Sample Log'!$B$5:$B$204,A10,'Boulder Sample Log'!$C$5:$C$204,{1,2,3,4,5,6,7,8,9,10,11,12,13,14,15})&gt;=2)*1))&amp;"/105"</f>
        <v>56/105</v>
      </c>
      <c r="R11" s="26"/>
    </row>
    <row r="13" spans="1:18" ht="14.25" customHeight="1" x14ac:dyDescent="0.3">
      <c r="A13" s="102" t="s">
        <v>668</v>
      </c>
      <c r="B13" s="198" t="s">
        <v>669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</row>
  </sheetData>
  <mergeCells count="4">
    <mergeCell ref="A1:R1"/>
    <mergeCell ref="A2:R2"/>
    <mergeCell ref="B11:P11"/>
    <mergeCell ref="B13:R13"/>
  </mergeCells>
  <conditionalFormatting sqref="B4:P10">
    <cfRule type="cellIs" dxfId="1" priority="2" operator="equal">
      <formula>"✓"</formula>
    </cfRule>
    <cfRule type="cellIs" dxfId="0" priority="3" operator="equal">
      <formula>"½"</formula>
    </cfRule>
  </conditionalFormatting>
  <printOptions horizontalCentered="1" gridLines="1"/>
  <pageMargins left="0.3" right="0.3" top="0.4" bottom="0.3" header="0.511811023622047" footer="0.511811023622047"/>
  <pageSetup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</sheetPr>
  <dimension ref="A1:Z48"/>
  <sheetViews>
    <sheetView zoomScale="70" zoomScaleNormal="70" workbookViewId="0">
      <pane ySplit="4" topLeftCell="A5" activePane="bottomLeft" state="frozen"/>
      <selection activeCell="B1" sqref="B1"/>
      <selection pane="bottomLeft" activeCell="W20" sqref="W20"/>
    </sheetView>
  </sheetViews>
  <sheetFormatPr defaultColWidth="8.6640625" defaultRowHeight="14.4" x14ac:dyDescent="0.3"/>
  <cols>
    <col min="1" max="1" width="8.88671875" bestFit="1" customWidth="1"/>
    <col min="2" max="2" width="20.5546875" bestFit="1" customWidth="1"/>
    <col min="3" max="3" width="11.77734375" bestFit="1" customWidth="1"/>
    <col min="4" max="4" width="10.77734375" bestFit="1" customWidth="1"/>
    <col min="5" max="5" width="14.109375" bestFit="1" customWidth="1"/>
    <col min="6" max="6" width="47.44140625" bestFit="1" customWidth="1"/>
    <col min="7" max="7" width="222.88671875" bestFit="1" customWidth="1"/>
    <col min="8" max="8" width="13.88671875" bestFit="1" customWidth="1"/>
    <col min="9" max="10" width="13.5546875" bestFit="1" customWidth="1"/>
    <col min="11" max="11" width="13.44140625" bestFit="1" customWidth="1"/>
    <col min="12" max="12" width="13.21875" bestFit="1" customWidth="1"/>
    <col min="13" max="13" width="17.77734375" bestFit="1" customWidth="1"/>
    <col min="14" max="14" width="17.6640625" bestFit="1" customWidth="1"/>
    <col min="15" max="15" width="30.109375" bestFit="1" customWidth="1"/>
    <col min="16" max="16" width="22.88671875" bestFit="1" customWidth="1"/>
    <col min="17" max="17" width="11.109375" bestFit="1" customWidth="1"/>
    <col min="18" max="19" width="16" bestFit="1" customWidth="1"/>
    <col min="20" max="20" width="16.77734375" bestFit="1" customWidth="1"/>
    <col min="21" max="21" width="49.109375" bestFit="1" customWidth="1"/>
    <col min="22" max="22" width="12.21875" bestFit="1" customWidth="1"/>
    <col min="23" max="23" width="165" bestFit="1" customWidth="1"/>
    <col min="24" max="24" width="18.33203125" bestFit="1" customWidth="1"/>
    <col min="25" max="25" width="18.21875" bestFit="1" customWidth="1"/>
    <col min="26" max="26" width="92.6640625" bestFit="1" customWidth="1"/>
  </cols>
  <sheetData>
    <row r="1" spans="1:26" ht="17.399999999999999" x14ac:dyDescent="0.3">
      <c r="A1" s="199" t="s">
        <v>670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</row>
    <row r="2" spans="1:26" x14ac:dyDescent="0.3">
      <c r="A2" s="200" t="s">
        <v>671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200"/>
      <c r="S2" s="200"/>
      <c r="T2" s="200"/>
      <c r="U2" s="200"/>
      <c r="V2" s="200"/>
      <c r="W2" s="200"/>
      <c r="X2" s="200"/>
      <c r="Y2" s="200"/>
      <c r="Z2" s="200"/>
    </row>
    <row r="3" spans="1:26" x14ac:dyDescent="0.3">
      <c r="A3" s="201" t="s">
        <v>237</v>
      </c>
      <c r="B3" s="201"/>
      <c r="C3" s="201"/>
      <c r="D3" s="201" t="s">
        <v>672</v>
      </c>
      <c r="E3" s="201"/>
      <c r="F3" s="201"/>
      <c r="G3" s="201"/>
      <c r="H3" s="201" t="s">
        <v>673</v>
      </c>
      <c r="I3" s="201"/>
      <c r="J3" s="201"/>
      <c r="K3" s="201" t="s">
        <v>674</v>
      </c>
      <c r="L3" s="201"/>
      <c r="M3" s="201"/>
      <c r="N3" s="201" t="s">
        <v>675</v>
      </c>
      <c r="O3" s="201"/>
      <c r="P3" s="201"/>
      <c r="Q3" s="201" t="s">
        <v>676</v>
      </c>
      <c r="R3" s="201"/>
      <c r="S3" s="201"/>
      <c r="T3" s="201" t="s">
        <v>81</v>
      </c>
      <c r="U3" s="201"/>
      <c r="V3" s="201"/>
      <c r="W3" s="201"/>
      <c r="X3" s="201" t="s">
        <v>677</v>
      </c>
      <c r="Y3" s="201"/>
      <c r="Z3" s="201"/>
    </row>
    <row r="4" spans="1:26" ht="28.8" x14ac:dyDescent="0.3">
      <c r="A4" s="17" t="s">
        <v>678</v>
      </c>
      <c r="B4" s="17" t="s">
        <v>86</v>
      </c>
      <c r="C4" s="17" t="s">
        <v>90</v>
      </c>
      <c r="D4" s="17" t="s">
        <v>679</v>
      </c>
      <c r="E4" s="17" t="s">
        <v>680</v>
      </c>
      <c r="F4" s="17" t="s">
        <v>681</v>
      </c>
      <c r="G4" s="17" t="s">
        <v>682</v>
      </c>
      <c r="H4" s="17" t="s">
        <v>683</v>
      </c>
      <c r="I4" s="17" t="s">
        <v>684</v>
      </c>
      <c r="J4" s="17" t="s">
        <v>685</v>
      </c>
      <c r="K4" s="17" t="s">
        <v>686</v>
      </c>
      <c r="L4" s="17" t="s">
        <v>687</v>
      </c>
      <c r="M4" s="17" t="s">
        <v>688</v>
      </c>
      <c r="N4" s="17" t="s">
        <v>689</v>
      </c>
      <c r="O4" s="17" t="s">
        <v>690</v>
      </c>
      <c r="P4" s="17" t="s">
        <v>691</v>
      </c>
      <c r="Q4" s="17" t="s">
        <v>254</v>
      </c>
      <c r="R4" s="17" t="s">
        <v>692</v>
      </c>
      <c r="S4" s="17" t="s">
        <v>693</v>
      </c>
      <c r="T4" s="17" t="s">
        <v>694</v>
      </c>
      <c r="U4" s="17" t="s">
        <v>103</v>
      </c>
      <c r="V4" s="17" t="s">
        <v>104</v>
      </c>
      <c r="W4" s="17" t="s">
        <v>47</v>
      </c>
      <c r="X4" s="17" t="s">
        <v>695</v>
      </c>
      <c r="Y4" s="17" t="s">
        <v>696</v>
      </c>
      <c r="Z4" s="17" t="s">
        <v>697</v>
      </c>
    </row>
    <row r="5" spans="1:26" x14ac:dyDescent="0.3">
      <c r="A5" s="103">
        <v>1</v>
      </c>
      <c r="B5" s="103" t="s">
        <v>298</v>
      </c>
      <c r="C5" s="103" t="s">
        <v>113</v>
      </c>
      <c r="D5" s="103">
        <v>1</v>
      </c>
      <c r="E5" s="103" t="s">
        <v>698</v>
      </c>
      <c r="F5" s="104" t="s">
        <v>699</v>
      </c>
      <c r="G5" s="104" t="s">
        <v>700</v>
      </c>
      <c r="H5" s="105">
        <v>23796</v>
      </c>
      <c r="I5" s="105">
        <v>15</v>
      </c>
      <c r="J5" s="103" t="s">
        <v>257</v>
      </c>
      <c r="K5" s="106">
        <v>3702.09</v>
      </c>
      <c r="L5" s="106">
        <v>4.28</v>
      </c>
      <c r="M5" s="103" t="s">
        <v>108</v>
      </c>
      <c r="N5" s="107">
        <v>46147</v>
      </c>
      <c r="O5" s="103" t="s">
        <v>701</v>
      </c>
      <c r="P5" s="103" t="s">
        <v>702</v>
      </c>
      <c r="Q5" s="103"/>
      <c r="R5" s="103"/>
      <c r="S5" s="103"/>
      <c r="T5" s="103" t="str">
        <f t="shared" ref="T5:T18" si="0">IF(R5="","",(S5-R5+1))</f>
        <v/>
      </c>
      <c r="U5" s="103"/>
      <c r="V5" s="103">
        <v>0</v>
      </c>
      <c r="W5" s="104"/>
      <c r="X5" s="108"/>
      <c r="Y5" s="108"/>
      <c r="Z5" s="108"/>
    </row>
    <row r="6" spans="1:26" x14ac:dyDescent="0.3">
      <c r="A6" s="109">
        <v>2</v>
      </c>
      <c r="B6" s="109" t="s">
        <v>372</v>
      </c>
      <c r="C6" s="109" t="s">
        <v>113</v>
      </c>
      <c r="D6" s="109">
        <v>1</v>
      </c>
      <c r="E6" s="109" t="s">
        <v>703</v>
      </c>
      <c r="F6" s="110" t="s">
        <v>704</v>
      </c>
      <c r="G6" s="110" t="s">
        <v>705</v>
      </c>
      <c r="H6" s="111">
        <v>373</v>
      </c>
      <c r="I6" s="111">
        <v>555</v>
      </c>
      <c r="J6" s="111">
        <v>632</v>
      </c>
      <c r="K6" s="112">
        <v>73.849999999999994</v>
      </c>
      <c r="L6" s="112">
        <v>222.85</v>
      </c>
      <c r="M6" s="109" t="s">
        <v>108</v>
      </c>
      <c r="N6" s="113">
        <v>46147</v>
      </c>
      <c r="O6" s="109" t="s">
        <v>701</v>
      </c>
      <c r="P6" s="109" t="s">
        <v>702</v>
      </c>
      <c r="Q6" s="109"/>
      <c r="R6" s="109"/>
      <c r="S6" s="109"/>
      <c r="T6" s="109" t="str">
        <f t="shared" si="0"/>
        <v/>
      </c>
      <c r="U6" s="109"/>
      <c r="V6" s="109">
        <v>0</v>
      </c>
      <c r="W6" s="110"/>
      <c r="X6" s="114"/>
      <c r="Y6" s="114"/>
      <c r="Z6" s="114"/>
    </row>
    <row r="7" spans="1:26" x14ac:dyDescent="0.3">
      <c r="A7" s="103">
        <v>3</v>
      </c>
      <c r="B7" s="103" t="s">
        <v>326</v>
      </c>
      <c r="C7" s="103" t="s">
        <v>113</v>
      </c>
      <c r="D7" s="103">
        <v>1</v>
      </c>
      <c r="E7" s="103" t="s">
        <v>703</v>
      </c>
      <c r="F7" s="104" t="s">
        <v>704</v>
      </c>
      <c r="G7" s="104" t="s">
        <v>706</v>
      </c>
      <c r="H7" s="105">
        <v>166</v>
      </c>
      <c r="I7" s="105">
        <v>207</v>
      </c>
      <c r="J7" s="105">
        <v>396</v>
      </c>
      <c r="K7" s="106">
        <v>76.37</v>
      </c>
      <c r="L7" s="106">
        <v>114.15</v>
      </c>
      <c r="M7" s="103" t="s">
        <v>108</v>
      </c>
      <c r="N7" s="107">
        <v>46147</v>
      </c>
      <c r="O7" s="103" t="s">
        <v>707</v>
      </c>
      <c r="P7" s="103" t="s">
        <v>708</v>
      </c>
      <c r="Q7" s="103" t="s">
        <v>258</v>
      </c>
      <c r="R7" s="103">
        <v>1549</v>
      </c>
      <c r="S7" s="103">
        <v>1566</v>
      </c>
      <c r="T7" s="103">
        <f t="shared" si="0"/>
        <v>18</v>
      </c>
      <c r="U7" s="106" t="s">
        <v>709</v>
      </c>
      <c r="V7" s="106">
        <v>0</v>
      </c>
      <c r="W7" s="115" t="s">
        <v>710</v>
      </c>
      <c r="X7" s="108">
        <v>0.27</v>
      </c>
      <c r="Y7" s="108">
        <v>1.54</v>
      </c>
      <c r="Z7" s="108">
        <v>0</v>
      </c>
    </row>
    <row r="8" spans="1:26" x14ac:dyDescent="0.3">
      <c r="A8" s="109">
        <v>4</v>
      </c>
      <c r="B8" s="109" t="s">
        <v>402</v>
      </c>
      <c r="C8" s="109" t="s">
        <v>107</v>
      </c>
      <c r="D8" s="109">
        <v>1</v>
      </c>
      <c r="E8" s="109" t="s">
        <v>711</v>
      </c>
      <c r="F8" s="110" t="s">
        <v>712</v>
      </c>
      <c r="G8" s="110" t="s">
        <v>713</v>
      </c>
      <c r="H8" s="111">
        <v>2291</v>
      </c>
      <c r="I8" s="111">
        <v>11</v>
      </c>
      <c r="J8" s="109" t="s">
        <v>257</v>
      </c>
      <c r="K8" s="112">
        <v>377.57</v>
      </c>
      <c r="L8" s="112">
        <v>3.59</v>
      </c>
      <c r="M8" s="109" t="s">
        <v>108</v>
      </c>
      <c r="N8" s="113">
        <v>46147</v>
      </c>
      <c r="O8" s="109" t="s">
        <v>701</v>
      </c>
      <c r="P8" s="109" t="s">
        <v>702</v>
      </c>
      <c r="Q8" s="109"/>
      <c r="R8" s="109"/>
      <c r="S8" s="109"/>
      <c r="T8" s="109" t="str">
        <f t="shared" si="0"/>
        <v/>
      </c>
      <c r="U8" s="109"/>
      <c r="V8" s="109">
        <v>0</v>
      </c>
      <c r="W8" s="110"/>
      <c r="X8" s="114"/>
      <c r="Y8" s="114"/>
      <c r="Z8" s="114"/>
    </row>
    <row r="9" spans="1:26" x14ac:dyDescent="0.3">
      <c r="A9" s="103">
        <v>5</v>
      </c>
      <c r="B9" s="103" t="s">
        <v>268</v>
      </c>
      <c r="C9" s="103" t="s">
        <v>107</v>
      </c>
      <c r="D9" s="103">
        <v>1</v>
      </c>
      <c r="E9" s="103" t="s">
        <v>714</v>
      </c>
      <c r="F9" s="104" t="s">
        <v>715</v>
      </c>
      <c r="G9" s="104" t="s">
        <v>716</v>
      </c>
      <c r="H9" s="105">
        <v>43</v>
      </c>
      <c r="I9" s="105">
        <v>629</v>
      </c>
      <c r="J9" s="105">
        <v>52</v>
      </c>
      <c r="K9" s="106">
        <v>14.98</v>
      </c>
      <c r="L9" s="106">
        <v>353.99</v>
      </c>
      <c r="M9" s="103" t="s">
        <v>108</v>
      </c>
      <c r="N9" s="107">
        <v>46147</v>
      </c>
      <c r="O9" s="103" t="s">
        <v>701</v>
      </c>
      <c r="P9" s="103" t="s">
        <v>702</v>
      </c>
      <c r="Q9" s="103"/>
      <c r="R9" s="103"/>
      <c r="S9" s="103"/>
      <c r="T9" s="103" t="str">
        <f t="shared" si="0"/>
        <v/>
      </c>
      <c r="U9" s="103"/>
      <c r="V9" s="103">
        <v>0</v>
      </c>
      <c r="W9" s="104"/>
      <c r="X9" s="108"/>
      <c r="Y9" s="108"/>
      <c r="Z9" s="108"/>
    </row>
    <row r="10" spans="1:26" x14ac:dyDescent="0.3">
      <c r="A10" s="109">
        <v>6</v>
      </c>
      <c r="B10" s="109" t="s">
        <v>304</v>
      </c>
      <c r="C10" s="109" t="s">
        <v>107</v>
      </c>
      <c r="D10" s="109">
        <v>1</v>
      </c>
      <c r="E10" s="109" t="s">
        <v>717</v>
      </c>
      <c r="F10" s="110" t="s">
        <v>718</v>
      </c>
      <c r="G10" s="110" t="s">
        <v>719</v>
      </c>
      <c r="H10" s="111">
        <v>335</v>
      </c>
      <c r="I10" s="111">
        <v>50</v>
      </c>
      <c r="J10" s="111">
        <v>285</v>
      </c>
      <c r="K10" s="112">
        <v>73.08</v>
      </c>
      <c r="L10" s="112">
        <v>11.68</v>
      </c>
      <c r="M10" s="109" t="s">
        <v>108</v>
      </c>
      <c r="N10" s="113">
        <v>46147</v>
      </c>
      <c r="O10" s="109" t="s">
        <v>720</v>
      </c>
      <c r="P10" s="109" t="s">
        <v>708</v>
      </c>
      <c r="Q10" s="109" t="s">
        <v>360</v>
      </c>
      <c r="R10" s="109">
        <v>492</v>
      </c>
      <c r="S10" s="109">
        <v>510</v>
      </c>
      <c r="T10" s="109">
        <f t="shared" si="0"/>
        <v>19</v>
      </c>
      <c r="U10" s="112" t="s">
        <v>721</v>
      </c>
      <c r="V10" s="112">
        <v>0</v>
      </c>
      <c r="W10" s="116" t="s">
        <v>722</v>
      </c>
      <c r="X10" s="114">
        <v>2.6</v>
      </c>
      <c r="Y10" s="114">
        <v>25.44</v>
      </c>
      <c r="Z10" s="114">
        <v>0</v>
      </c>
    </row>
    <row r="11" spans="1:26" ht="28.8" x14ac:dyDescent="0.3">
      <c r="A11" s="117">
        <v>7</v>
      </c>
      <c r="B11" s="117" t="s">
        <v>280</v>
      </c>
      <c r="C11" s="117" t="s">
        <v>113</v>
      </c>
      <c r="D11" s="117">
        <v>1</v>
      </c>
      <c r="E11" s="117" t="s">
        <v>723</v>
      </c>
      <c r="F11" s="118" t="s">
        <v>724</v>
      </c>
      <c r="G11" s="118" t="s">
        <v>725</v>
      </c>
      <c r="H11" s="119">
        <v>252</v>
      </c>
      <c r="I11" s="119">
        <v>4</v>
      </c>
      <c r="J11" s="119">
        <v>466</v>
      </c>
      <c r="K11" s="120">
        <v>74.2</v>
      </c>
      <c r="L11" s="120">
        <v>0.5</v>
      </c>
      <c r="M11" s="117" t="s">
        <v>108</v>
      </c>
      <c r="N11" s="117"/>
      <c r="O11" s="117"/>
      <c r="P11" s="117" t="s">
        <v>726</v>
      </c>
      <c r="Q11" s="117"/>
      <c r="R11" s="117"/>
      <c r="S11" s="117"/>
      <c r="T11" s="117" t="str">
        <f t="shared" si="0"/>
        <v/>
      </c>
      <c r="U11" s="117"/>
      <c r="V11" s="117">
        <v>0</v>
      </c>
      <c r="W11" s="118"/>
      <c r="X11" s="121"/>
      <c r="Y11" s="121"/>
      <c r="Z11" s="121" t="s">
        <v>727</v>
      </c>
    </row>
    <row r="12" spans="1:26" x14ac:dyDescent="0.3">
      <c r="A12" s="109">
        <v>8</v>
      </c>
      <c r="B12" s="109" t="s">
        <v>337</v>
      </c>
      <c r="C12" s="109" t="s">
        <v>107</v>
      </c>
      <c r="D12" s="109">
        <v>1</v>
      </c>
      <c r="E12" s="109" t="s">
        <v>728</v>
      </c>
      <c r="F12" s="110" t="s">
        <v>729</v>
      </c>
      <c r="G12" s="110" t="s">
        <v>730</v>
      </c>
      <c r="H12" s="109" t="s">
        <v>257</v>
      </c>
      <c r="I12" s="111">
        <v>2</v>
      </c>
      <c r="J12" s="111">
        <v>63</v>
      </c>
      <c r="K12" s="112">
        <v>111.04</v>
      </c>
      <c r="L12" s="112">
        <v>0.14000000000000001</v>
      </c>
      <c r="M12" s="109" t="s">
        <v>108</v>
      </c>
      <c r="N12" s="122">
        <v>46148</v>
      </c>
      <c r="O12" s="109" t="s">
        <v>701</v>
      </c>
      <c r="P12" s="109" t="s">
        <v>702</v>
      </c>
      <c r="Q12" s="109"/>
      <c r="R12" s="109"/>
      <c r="S12" s="109"/>
      <c r="T12" s="109" t="str">
        <f t="shared" si="0"/>
        <v/>
      </c>
      <c r="U12" s="109"/>
      <c r="V12" s="109">
        <v>0</v>
      </c>
      <c r="W12" s="110"/>
      <c r="X12" s="114"/>
      <c r="Y12" s="114"/>
      <c r="Z12" s="114"/>
    </row>
    <row r="13" spans="1:26" x14ac:dyDescent="0.3">
      <c r="A13" s="103">
        <v>9</v>
      </c>
      <c r="B13" s="103" t="s">
        <v>416</v>
      </c>
      <c r="C13" s="103" t="s">
        <v>107</v>
      </c>
      <c r="D13" s="103">
        <v>1</v>
      </c>
      <c r="E13" s="103" t="s">
        <v>731</v>
      </c>
      <c r="F13" s="104" t="s">
        <v>732</v>
      </c>
      <c r="G13" s="104" t="s">
        <v>733</v>
      </c>
      <c r="H13" s="105">
        <v>13</v>
      </c>
      <c r="I13" s="105">
        <v>85</v>
      </c>
      <c r="J13" s="105">
        <v>85</v>
      </c>
      <c r="K13" s="106">
        <v>7.14</v>
      </c>
      <c r="L13" s="106">
        <v>4.46</v>
      </c>
      <c r="M13" s="103" t="s">
        <v>108</v>
      </c>
      <c r="N13" s="107">
        <v>46147</v>
      </c>
      <c r="O13" s="103" t="s">
        <v>701</v>
      </c>
      <c r="P13" s="103" t="s">
        <v>702</v>
      </c>
      <c r="Q13" s="103"/>
      <c r="R13" s="103"/>
      <c r="S13" s="103"/>
      <c r="T13" s="103" t="str">
        <f t="shared" si="0"/>
        <v/>
      </c>
      <c r="U13" s="103"/>
      <c r="V13" s="103">
        <v>0</v>
      </c>
      <c r="W13" s="104"/>
      <c r="X13" s="108"/>
      <c r="Y13" s="108"/>
      <c r="Z13" s="108"/>
    </row>
    <row r="14" spans="1:26" x14ac:dyDescent="0.3">
      <c r="A14" s="109">
        <v>10</v>
      </c>
      <c r="B14" s="109" t="s">
        <v>405</v>
      </c>
      <c r="C14" s="109" t="s">
        <v>107</v>
      </c>
      <c r="D14" s="109">
        <v>2</v>
      </c>
      <c r="E14" s="109" t="s">
        <v>734</v>
      </c>
      <c r="F14" s="110" t="s">
        <v>735</v>
      </c>
      <c r="G14" s="110" t="s">
        <v>736</v>
      </c>
      <c r="H14" s="111">
        <v>114</v>
      </c>
      <c r="I14" s="111">
        <v>2</v>
      </c>
      <c r="J14" s="111">
        <v>4</v>
      </c>
      <c r="K14" s="112">
        <v>43.87</v>
      </c>
      <c r="L14" s="112">
        <v>0</v>
      </c>
      <c r="M14" s="109" t="s">
        <v>108</v>
      </c>
      <c r="N14" s="113">
        <v>46147</v>
      </c>
      <c r="O14" s="109" t="s">
        <v>701</v>
      </c>
      <c r="P14" s="109" t="s">
        <v>702</v>
      </c>
      <c r="Q14" s="109"/>
      <c r="R14" s="109"/>
      <c r="S14" s="109"/>
      <c r="T14" s="109" t="str">
        <f t="shared" si="0"/>
        <v/>
      </c>
      <c r="U14" s="109"/>
      <c r="V14" s="109">
        <v>0</v>
      </c>
      <c r="W14" s="110"/>
      <c r="X14" s="114"/>
      <c r="Y14" s="114"/>
      <c r="Z14" s="114"/>
    </row>
    <row r="15" spans="1:26" x14ac:dyDescent="0.3">
      <c r="A15" s="103">
        <v>11</v>
      </c>
      <c r="B15" s="103" t="s">
        <v>350</v>
      </c>
      <c r="C15" s="103" t="s">
        <v>113</v>
      </c>
      <c r="D15" s="103">
        <v>2</v>
      </c>
      <c r="E15" s="103" t="s">
        <v>737</v>
      </c>
      <c r="F15" s="104" t="s">
        <v>738</v>
      </c>
      <c r="G15" s="104" t="s">
        <v>739</v>
      </c>
      <c r="H15" s="105">
        <v>17</v>
      </c>
      <c r="I15" s="105">
        <v>134</v>
      </c>
      <c r="J15" s="105">
        <v>144</v>
      </c>
      <c r="K15" s="106">
        <v>10.4</v>
      </c>
      <c r="L15" s="106">
        <v>45.23</v>
      </c>
      <c r="M15" s="103" t="s">
        <v>108</v>
      </c>
      <c r="N15" s="123">
        <v>46147</v>
      </c>
      <c r="O15" s="103" t="s">
        <v>701</v>
      </c>
      <c r="P15" s="103" t="s">
        <v>702</v>
      </c>
      <c r="Q15" s="103"/>
      <c r="R15" s="103"/>
      <c r="S15" s="103"/>
      <c r="T15" s="103" t="str">
        <f t="shared" si="0"/>
        <v/>
      </c>
      <c r="U15" s="103"/>
      <c r="V15" s="103">
        <v>0</v>
      </c>
      <c r="W15" s="104"/>
      <c r="X15" s="108"/>
      <c r="Y15" s="108"/>
      <c r="Z15" s="108"/>
    </row>
    <row r="16" spans="1:26" x14ac:dyDescent="0.3">
      <c r="A16" s="109">
        <v>12</v>
      </c>
      <c r="B16" s="109" t="s">
        <v>411</v>
      </c>
      <c r="C16" s="109" t="s">
        <v>107</v>
      </c>
      <c r="D16" s="109">
        <v>2</v>
      </c>
      <c r="E16" s="109" t="s">
        <v>740</v>
      </c>
      <c r="F16" s="110" t="s">
        <v>741</v>
      </c>
      <c r="G16" s="110" t="s">
        <v>742</v>
      </c>
      <c r="H16" s="111" t="s">
        <v>257</v>
      </c>
      <c r="I16" s="111">
        <v>28</v>
      </c>
      <c r="J16" s="111">
        <v>94</v>
      </c>
      <c r="K16" s="112">
        <v>13.77</v>
      </c>
      <c r="L16" s="112">
        <v>12.46</v>
      </c>
      <c r="M16" s="109" t="s">
        <v>108</v>
      </c>
      <c r="N16" s="113">
        <v>46146</v>
      </c>
      <c r="O16" s="109" t="s">
        <v>720</v>
      </c>
      <c r="P16" s="109" t="s">
        <v>708</v>
      </c>
      <c r="Q16" s="109" t="s">
        <v>360</v>
      </c>
      <c r="R16" s="109">
        <v>470</v>
      </c>
      <c r="S16" s="109">
        <v>487</v>
      </c>
      <c r="T16" s="109">
        <f t="shared" si="0"/>
        <v>18</v>
      </c>
      <c r="U16" s="109" t="s">
        <v>743</v>
      </c>
      <c r="V16" s="109">
        <v>0</v>
      </c>
      <c r="W16" s="110" t="s">
        <v>744</v>
      </c>
      <c r="X16" s="114">
        <v>0.4</v>
      </c>
      <c r="Y16" s="114">
        <v>0</v>
      </c>
      <c r="Z16" s="114">
        <v>0</v>
      </c>
    </row>
    <row r="17" spans="1:26" x14ac:dyDescent="0.3">
      <c r="A17" s="103">
        <v>13</v>
      </c>
      <c r="B17" s="103" t="s">
        <v>343</v>
      </c>
      <c r="C17" s="103" t="s">
        <v>113</v>
      </c>
      <c r="D17" s="103">
        <v>2</v>
      </c>
      <c r="E17" s="103" t="s">
        <v>711</v>
      </c>
      <c r="F17" s="104" t="s">
        <v>712</v>
      </c>
      <c r="G17" s="104" t="s">
        <v>745</v>
      </c>
      <c r="H17" s="103">
        <v>698</v>
      </c>
      <c r="I17" s="105">
        <v>13</v>
      </c>
      <c r="J17" s="105">
        <v>4</v>
      </c>
      <c r="K17" s="106">
        <v>118.61</v>
      </c>
      <c r="L17" s="106">
        <v>7.0000000000000007E-2</v>
      </c>
      <c r="M17" s="103" t="s">
        <v>125</v>
      </c>
      <c r="N17" s="107">
        <v>46148</v>
      </c>
      <c r="O17" s="103" t="s">
        <v>701</v>
      </c>
      <c r="P17" s="103" t="s">
        <v>702</v>
      </c>
      <c r="Q17" s="103"/>
      <c r="R17" s="103"/>
      <c r="S17" s="103"/>
      <c r="T17" s="103" t="str">
        <f t="shared" si="0"/>
        <v/>
      </c>
      <c r="U17" s="106"/>
      <c r="V17" s="106">
        <v>0</v>
      </c>
      <c r="W17" s="115"/>
      <c r="X17" s="108"/>
      <c r="Y17" s="108"/>
      <c r="Z17" s="108"/>
    </row>
    <row r="18" spans="1:26" x14ac:dyDescent="0.3">
      <c r="A18" s="109">
        <v>14</v>
      </c>
      <c r="B18" s="109" t="s">
        <v>291</v>
      </c>
      <c r="C18" s="109" t="s">
        <v>113</v>
      </c>
      <c r="D18" s="109">
        <v>2</v>
      </c>
      <c r="E18" s="109" t="s">
        <v>746</v>
      </c>
      <c r="F18" s="110" t="s">
        <v>699</v>
      </c>
      <c r="G18" s="110" t="s">
        <v>747</v>
      </c>
      <c r="H18" s="111">
        <v>529</v>
      </c>
      <c r="I18" s="111">
        <v>11</v>
      </c>
      <c r="J18" s="111">
        <v>8</v>
      </c>
      <c r="K18" s="112">
        <v>122.93</v>
      </c>
      <c r="L18" s="112">
        <v>1.79</v>
      </c>
      <c r="M18" s="109" t="s">
        <v>125</v>
      </c>
      <c r="N18" s="113">
        <v>46147</v>
      </c>
      <c r="O18" s="109" t="s">
        <v>701</v>
      </c>
      <c r="P18" s="109" t="s">
        <v>702</v>
      </c>
      <c r="Q18" s="109"/>
      <c r="R18" s="109"/>
      <c r="S18" s="109"/>
      <c r="T18" s="109" t="str">
        <f t="shared" si="0"/>
        <v/>
      </c>
      <c r="U18" s="109"/>
      <c r="V18" s="109">
        <v>0</v>
      </c>
      <c r="W18" s="110"/>
      <c r="X18" s="114"/>
      <c r="Y18" s="114"/>
      <c r="Z18" s="114"/>
    </row>
    <row r="19" spans="1:26" x14ac:dyDescent="0.3">
      <c r="A19" s="103">
        <v>15</v>
      </c>
      <c r="B19" s="103" t="s">
        <v>395</v>
      </c>
      <c r="C19" s="103" t="s">
        <v>107</v>
      </c>
      <c r="D19" s="103">
        <v>2</v>
      </c>
      <c r="E19" s="103" t="s">
        <v>711</v>
      </c>
      <c r="F19" s="104" t="s">
        <v>712</v>
      </c>
      <c r="G19" s="104" t="s">
        <v>748</v>
      </c>
      <c r="H19" s="105">
        <v>768</v>
      </c>
      <c r="I19" s="105">
        <v>11</v>
      </c>
      <c r="J19" s="105">
        <v>7</v>
      </c>
      <c r="K19" s="106"/>
      <c r="L19" s="106"/>
      <c r="M19" s="103" t="s">
        <v>125</v>
      </c>
      <c r="N19" s="107">
        <v>46149</v>
      </c>
      <c r="O19" s="103" t="s">
        <v>701</v>
      </c>
      <c r="P19" s="103" t="s">
        <v>749</v>
      </c>
      <c r="Q19" s="103"/>
      <c r="R19" s="103"/>
      <c r="S19" s="103"/>
      <c r="T19" s="108"/>
      <c r="U19" s="106"/>
      <c r="V19" s="106">
        <v>0</v>
      </c>
      <c r="W19" s="115"/>
      <c r="X19" s="103"/>
      <c r="Y19" s="103"/>
      <c r="Z19" s="103"/>
    </row>
    <row r="20" spans="1:26" s="216" customFormat="1" x14ac:dyDescent="0.3">
      <c r="A20" s="214">
        <v>16</v>
      </c>
      <c r="B20" s="129" t="s">
        <v>314</v>
      </c>
      <c r="C20" s="129" t="s">
        <v>113</v>
      </c>
      <c r="D20" s="129">
        <v>2</v>
      </c>
      <c r="E20" s="129" t="s">
        <v>737</v>
      </c>
      <c r="F20" s="130" t="s">
        <v>738</v>
      </c>
      <c r="G20" s="130" t="s">
        <v>750</v>
      </c>
      <c r="H20" s="214">
        <v>6</v>
      </c>
      <c r="I20" s="214">
        <v>23</v>
      </c>
      <c r="J20" s="214">
        <v>111</v>
      </c>
      <c r="K20" s="214">
        <v>2.3199999999999998</v>
      </c>
      <c r="L20" s="214">
        <v>10.49</v>
      </c>
      <c r="M20" s="214" t="s">
        <v>125</v>
      </c>
      <c r="N20" s="215">
        <v>46147</v>
      </c>
      <c r="O20" s="214" t="s">
        <v>720</v>
      </c>
      <c r="P20" s="214" t="s">
        <v>708</v>
      </c>
      <c r="Q20" s="214" t="s">
        <v>360</v>
      </c>
      <c r="R20" s="214">
        <v>511</v>
      </c>
      <c r="S20" s="214">
        <v>528</v>
      </c>
      <c r="T20" s="214">
        <f t="shared" ref="T20:T48" si="1">IF(R20="","",(S20-R20+1))</f>
        <v>18</v>
      </c>
      <c r="U20" s="214" t="s">
        <v>721</v>
      </c>
      <c r="V20" s="214">
        <v>0</v>
      </c>
      <c r="W20" s="217" t="s">
        <v>751</v>
      </c>
      <c r="X20" s="214">
        <v>0</v>
      </c>
      <c r="Y20" s="214">
        <v>1.84</v>
      </c>
      <c r="Z20" s="214">
        <v>0</v>
      </c>
    </row>
    <row r="21" spans="1:26" x14ac:dyDescent="0.3">
      <c r="A21" s="124">
        <v>17</v>
      </c>
      <c r="B21" s="124" t="s">
        <v>390</v>
      </c>
      <c r="C21" s="124" t="s">
        <v>113</v>
      </c>
      <c r="D21" s="124">
        <v>2</v>
      </c>
      <c r="E21" s="124" t="s">
        <v>711</v>
      </c>
      <c r="F21" s="125" t="s">
        <v>752</v>
      </c>
      <c r="G21" s="125" t="s">
        <v>753</v>
      </c>
      <c r="H21" s="126">
        <v>4</v>
      </c>
      <c r="I21" s="124" t="s">
        <v>257</v>
      </c>
      <c r="J21" s="124" t="s">
        <v>257</v>
      </c>
      <c r="K21" s="127">
        <v>15.68</v>
      </c>
      <c r="L21" s="127">
        <v>7.07</v>
      </c>
      <c r="M21" s="124" t="s">
        <v>125</v>
      </c>
      <c r="N21" s="124"/>
      <c r="O21" s="124"/>
      <c r="P21" s="124" t="s">
        <v>754</v>
      </c>
      <c r="Q21" s="124"/>
      <c r="R21" s="124"/>
      <c r="S21" s="124"/>
      <c r="T21" s="124" t="str">
        <f t="shared" si="1"/>
        <v/>
      </c>
      <c r="U21" s="124"/>
      <c r="V21" s="124">
        <v>0</v>
      </c>
      <c r="W21" s="125"/>
      <c r="X21" s="128"/>
      <c r="Y21" s="128"/>
      <c r="Z21" s="128"/>
    </row>
    <row r="22" spans="1:26" x14ac:dyDescent="0.3">
      <c r="A22" s="129">
        <v>18</v>
      </c>
      <c r="B22" s="129" t="s">
        <v>293</v>
      </c>
      <c r="C22" s="129" t="s">
        <v>107</v>
      </c>
      <c r="D22" s="129">
        <v>2</v>
      </c>
      <c r="E22" s="129" t="s">
        <v>711</v>
      </c>
      <c r="F22" s="130" t="s">
        <v>712</v>
      </c>
      <c r="G22" s="130" t="s">
        <v>755</v>
      </c>
      <c r="H22" s="131">
        <v>224</v>
      </c>
      <c r="I22" s="131">
        <v>128</v>
      </c>
      <c r="J22" s="131">
        <v>47</v>
      </c>
      <c r="K22" s="132">
        <v>46.5</v>
      </c>
      <c r="L22" s="132">
        <v>31.38</v>
      </c>
      <c r="M22" s="129" t="s">
        <v>125</v>
      </c>
      <c r="N22" s="129"/>
      <c r="O22" s="129"/>
      <c r="P22" s="129" t="s">
        <v>754</v>
      </c>
      <c r="Q22" s="129"/>
      <c r="R22" s="129"/>
      <c r="S22" s="129"/>
      <c r="T22" s="129" t="str">
        <f t="shared" si="1"/>
        <v/>
      </c>
      <c r="U22" s="129"/>
      <c r="V22" s="129">
        <v>0</v>
      </c>
      <c r="W22" s="130"/>
      <c r="X22" s="133"/>
      <c r="Y22" s="133"/>
      <c r="Z22" s="133"/>
    </row>
    <row r="23" spans="1:26" x14ac:dyDescent="0.3">
      <c r="A23" s="124">
        <v>19</v>
      </c>
      <c r="B23" s="124" t="s">
        <v>388</v>
      </c>
      <c r="C23" s="124" t="s">
        <v>107</v>
      </c>
      <c r="D23" s="124">
        <v>2</v>
      </c>
      <c r="E23" s="124" t="s">
        <v>711</v>
      </c>
      <c r="F23" s="125" t="s">
        <v>712</v>
      </c>
      <c r="G23" s="125" t="s">
        <v>756</v>
      </c>
      <c r="H23" s="126">
        <v>275</v>
      </c>
      <c r="I23" s="126">
        <v>17</v>
      </c>
      <c r="J23" s="126">
        <v>4</v>
      </c>
      <c r="K23" s="127">
        <v>66.150000000000006</v>
      </c>
      <c r="L23" s="127">
        <v>6.86</v>
      </c>
      <c r="M23" s="124" t="s">
        <v>125</v>
      </c>
      <c r="N23" s="124"/>
      <c r="O23" s="124"/>
      <c r="P23" s="124" t="s">
        <v>754</v>
      </c>
      <c r="Q23" s="124"/>
      <c r="R23" s="124"/>
      <c r="S23" s="124"/>
      <c r="T23" s="124" t="str">
        <f t="shared" si="1"/>
        <v/>
      </c>
      <c r="U23" s="124"/>
      <c r="V23" s="124">
        <v>0</v>
      </c>
      <c r="W23" s="125"/>
      <c r="X23" s="128"/>
      <c r="Y23" s="128"/>
      <c r="Z23" s="128"/>
    </row>
    <row r="24" spans="1:26" x14ac:dyDescent="0.3">
      <c r="A24" s="129">
        <v>20</v>
      </c>
      <c r="B24" s="129" t="s">
        <v>335</v>
      </c>
      <c r="C24" s="129" t="s">
        <v>113</v>
      </c>
      <c r="D24" s="129">
        <v>3</v>
      </c>
      <c r="E24" s="129" t="s">
        <v>728</v>
      </c>
      <c r="F24" s="130" t="s">
        <v>757</v>
      </c>
      <c r="G24" s="130" t="s">
        <v>758</v>
      </c>
      <c r="H24" s="129" t="s">
        <v>257</v>
      </c>
      <c r="I24" s="131">
        <v>285</v>
      </c>
      <c r="J24" s="131">
        <v>39</v>
      </c>
      <c r="K24" s="132">
        <v>34.270000000000003</v>
      </c>
      <c r="L24" s="132">
        <v>89.47</v>
      </c>
      <c r="M24" s="129" t="s">
        <v>108</v>
      </c>
      <c r="N24" s="134">
        <v>46147</v>
      </c>
      <c r="O24" s="129" t="s">
        <v>720</v>
      </c>
      <c r="P24" s="129" t="s">
        <v>708</v>
      </c>
      <c r="Q24" s="129" t="s">
        <v>360</v>
      </c>
      <c r="R24" s="129">
        <v>529</v>
      </c>
      <c r="S24" s="129">
        <v>547</v>
      </c>
      <c r="T24" s="129">
        <f t="shared" si="1"/>
        <v>19</v>
      </c>
      <c r="U24" s="129" t="s">
        <v>721</v>
      </c>
      <c r="V24" s="129">
        <v>0</v>
      </c>
      <c r="W24" s="130" t="s">
        <v>759</v>
      </c>
      <c r="X24" s="133">
        <v>2.93</v>
      </c>
      <c r="Y24" s="133">
        <v>0</v>
      </c>
      <c r="Z24" s="133">
        <v>0</v>
      </c>
    </row>
    <row r="25" spans="1:26" x14ac:dyDescent="0.3">
      <c r="A25" s="124">
        <v>21</v>
      </c>
      <c r="B25" s="124" t="s">
        <v>351</v>
      </c>
      <c r="C25" s="124" t="s">
        <v>113</v>
      </c>
      <c r="D25" s="124">
        <v>3</v>
      </c>
      <c r="E25" s="124" t="s">
        <v>760</v>
      </c>
      <c r="F25" s="125" t="s">
        <v>761</v>
      </c>
      <c r="G25" s="125" t="s">
        <v>762</v>
      </c>
      <c r="H25" s="126" t="s">
        <v>763</v>
      </c>
      <c r="I25" s="126" t="s">
        <v>763</v>
      </c>
      <c r="J25" s="126" t="s">
        <v>257</v>
      </c>
      <c r="K25" s="127">
        <v>0.3</v>
      </c>
      <c r="L25" s="127">
        <v>12.56</v>
      </c>
      <c r="M25" s="124" t="s">
        <v>125</v>
      </c>
      <c r="N25" s="124"/>
      <c r="O25" s="124"/>
      <c r="P25" s="124" t="s">
        <v>754</v>
      </c>
      <c r="Q25" s="124"/>
      <c r="R25" s="124"/>
      <c r="S25" s="124"/>
      <c r="T25" s="124" t="str">
        <f t="shared" si="1"/>
        <v/>
      </c>
      <c r="U25" s="124"/>
      <c r="V25" s="124">
        <v>0</v>
      </c>
      <c r="W25" s="125"/>
      <c r="X25" s="128"/>
      <c r="Y25" s="128"/>
      <c r="Z25" s="128"/>
    </row>
    <row r="26" spans="1:26" x14ac:dyDescent="0.3">
      <c r="A26" s="129" t="s">
        <v>764</v>
      </c>
      <c r="B26" s="129" t="s">
        <v>290</v>
      </c>
      <c r="C26" s="129" t="s">
        <v>113</v>
      </c>
      <c r="D26" s="129" t="s">
        <v>765</v>
      </c>
      <c r="E26" s="129" t="s">
        <v>714</v>
      </c>
      <c r="F26" s="130" t="s">
        <v>715</v>
      </c>
      <c r="G26" s="130" t="s">
        <v>766</v>
      </c>
      <c r="H26" s="131">
        <v>5</v>
      </c>
      <c r="I26" s="129">
        <v>63</v>
      </c>
      <c r="J26" s="129">
        <v>4</v>
      </c>
      <c r="K26" s="132">
        <v>0.73</v>
      </c>
      <c r="L26" s="132">
        <v>31.05</v>
      </c>
      <c r="M26" s="129" t="s">
        <v>125</v>
      </c>
      <c r="N26" s="129"/>
      <c r="O26" s="129"/>
      <c r="P26" s="129" t="s">
        <v>754</v>
      </c>
      <c r="Q26" s="129"/>
      <c r="R26" s="129"/>
      <c r="S26" s="129"/>
      <c r="T26" s="129" t="str">
        <f t="shared" si="1"/>
        <v/>
      </c>
      <c r="U26" s="129"/>
      <c r="V26" s="129">
        <v>0</v>
      </c>
      <c r="W26" s="130"/>
      <c r="X26" s="133"/>
      <c r="Y26" s="133"/>
      <c r="Z26" s="133"/>
    </row>
    <row r="27" spans="1:26" x14ac:dyDescent="0.3">
      <c r="A27" s="124" t="s">
        <v>767</v>
      </c>
      <c r="B27" s="124" t="s">
        <v>383</v>
      </c>
      <c r="C27" s="124" t="s">
        <v>113</v>
      </c>
      <c r="D27" s="124" t="s">
        <v>765</v>
      </c>
      <c r="E27" s="124" t="s">
        <v>768</v>
      </c>
      <c r="F27" s="125" t="s">
        <v>769</v>
      </c>
      <c r="G27" s="125" t="s">
        <v>770</v>
      </c>
      <c r="H27" s="124">
        <v>91</v>
      </c>
      <c r="I27" s="124" t="s">
        <v>257</v>
      </c>
      <c r="J27" s="124" t="s">
        <v>257</v>
      </c>
      <c r="K27" s="127">
        <v>22.08</v>
      </c>
      <c r="L27" s="127">
        <v>0</v>
      </c>
      <c r="M27" s="124" t="s">
        <v>125</v>
      </c>
      <c r="N27" s="124"/>
      <c r="O27" s="124"/>
      <c r="P27" s="124" t="s">
        <v>754</v>
      </c>
      <c r="Q27" s="124"/>
      <c r="R27" s="124"/>
      <c r="S27" s="124"/>
      <c r="T27" s="124" t="str">
        <f t="shared" si="1"/>
        <v/>
      </c>
      <c r="U27" s="124"/>
      <c r="V27" s="124">
        <v>0</v>
      </c>
      <c r="W27" s="125"/>
      <c r="X27" s="128"/>
      <c r="Y27" s="128"/>
      <c r="Z27" s="128"/>
    </row>
    <row r="28" spans="1:26" ht="26.4" x14ac:dyDescent="0.3">
      <c r="A28" s="135" t="s">
        <v>771</v>
      </c>
      <c r="B28" s="135" t="s">
        <v>772</v>
      </c>
      <c r="C28" s="135" t="s">
        <v>107</v>
      </c>
      <c r="D28" s="135" t="s">
        <v>771</v>
      </c>
      <c r="E28" s="135" t="s">
        <v>773</v>
      </c>
      <c r="F28" s="136" t="s">
        <v>774</v>
      </c>
      <c r="G28" s="136" t="s">
        <v>775</v>
      </c>
      <c r="H28" s="137"/>
      <c r="I28" s="137"/>
      <c r="J28" s="137"/>
      <c r="K28" s="138"/>
      <c r="L28" s="138"/>
      <c r="M28" s="135" t="s">
        <v>125</v>
      </c>
      <c r="N28" s="139">
        <v>46148</v>
      </c>
      <c r="O28" s="135" t="s">
        <v>707</v>
      </c>
      <c r="P28" s="135" t="s">
        <v>708</v>
      </c>
      <c r="Q28" s="135" t="s">
        <v>258</v>
      </c>
      <c r="R28" s="135">
        <v>1636</v>
      </c>
      <c r="S28" s="135">
        <v>1656</v>
      </c>
      <c r="T28" s="135">
        <f t="shared" si="1"/>
        <v>21</v>
      </c>
      <c r="U28" s="135" t="s">
        <v>776</v>
      </c>
      <c r="V28" s="135">
        <v>0</v>
      </c>
      <c r="W28" s="136" t="s">
        <v>777</v>
      </c>
      <c r="X28" s="140">
        <v>5.4</v>
      </c>
      <c r="Y28" s="140">
        <v>0</v>
      </c>
      <c r="Z28" s="140">
        <v>0</v>
      </c>
    </row>
    <row r="29" spans="1:26" ht="26.4" x14ac:dyDescent="0.3">
      <c r="A29" s="141" t="s">
        <v>771</v>
      </c>
      <c r="B29" s="141" t="s">
        <v>778</v>
      </c>
      <c r="C29" s="141" t="s">
        <v>107</v>
      </c>
      <c r="D29" s="141" t="s">
        <v>771</v>
      </c>
      <c r="E29" s="141" t="s">
        <v>773</v>
      </c>
      <c r="F29" s="142" t="s">
        <v>774</v>
      </c>
      <c r="G29" s="142" t="s">
        <v>775</v>
      </c>
      <c r="H29" s="143"/>
      <c r="I29" s="143"/>
      <c r="J29" s="143"/>
      <c r="K29" s="144"/>
      <c r="L29" s="144"/>
      <c r="M29" s="141" t="s">
        <v>125</v>
      </c>
      <c r="N29" s="145">
        <v>46148</v>
      </c>
      <c r="O29" s="141" t="s">
        <v>707</v>
      </c>
      <c r="P29" s="141" t="s">
        <v>708</v>
      </c>
      <c r="Q29" s="141" t="s">
        <v>258</v>
      </c>
      <c r="R29" s="141">
        <v>1657</v>
      </c>
      <c r="S29" s="141">
        <v>1680</v>
      </c>
      <c r="T29" s="141">
        <f t="shared" si="1"/>
        <v>24</v>
      </c>
      <c r="U29" s="141" t="s">
        <v>776</v>
      </c>
      <c r="V29" s="141">
        <v>0</v>
      </c>
      <c r="W29" s="142" t="s">
        <v>779</v>
      </c>
      <c r="X29" s="146">
        <v>6.99</v>
      </c>
      <c r="Y29" s="146">
        <v>0</v>
      </c>
      <c r="Z29" s="146">
        <v>0</v>
      </c>
    </row>
    <row r="30" spans="1:26" ht="26.4" x14ac:dyDescent="0.3">
      <c r="A30" s="135" t="s">
        <v>771</v>
      </c>
      <c r="B30" s="135" t="s">
        <v>780</v>
      </c>
      <c r="C30" s="135" t="s">
        <v>107</v>
      </c>
      <c r="D30" s="135" t="s">
        <v>771</v>
      </c>
      <c r="E30" s="135" t="s">
        <v>773</v>
      </c>
      <c r="F30" s="136" t="s">
        <v>774</v>
      </c>
      <c r="G30" s="136" t="s">
        <v>775</v>
      </c>
      <c r="H30" s="137"/>
      <c r="I30" s="137"/>
      <c r="J30" s="137"/>
      <c r="K30" s="138"/>
      <c r="L30" s="138"/>
      <c r="M30" s="135" t="s">
        <v>125</v>
      </c>
      <c r="N30" s="139">
        <v>46148</v>
      </c>
      <c r="O30" s="135" t="s">
        <v>707</v>
      </c>
      <c r="P30" s="135" t="s">
        <v>708</v>
      </c>
      <c r="Q30" s="135" t="s">
        <v>258</v>
      </c>
      <c r="R30" s="135">
        <v>1681</v>
      </c>
      <c r="S30" s="135">
        <v>1702</v>
      </c>
      <c r="T30" s="135">
        <f t="shared" si="1"/>
        <v>22</v>
      </c>
      <c r="U30" s="135" t="s">
        <v>776</v>
      </c>
      <c r="V30" s="135">
        <v>0</v>
      </c>
      <c r="W30" s="136" t="s">
        <v>777</v>
      </c>
      <c r="X30" s="140">
        <v>5.42</v>
      </c>
      <c r="Y30" s="140">
        <v>0</v>
      </c>
      <c r="Z30" s="140">
        <v>0</v>
      </c>
    </row>
    <row r="31" spans="1:26" ht="26.4" x14ac:dyDescent="0.3">
      <c r="A31" s="141" t="s">
        <v>771</v>
      </c>
      <c r="B31" s="141" t="s">
        <v>781</v>
      </c>
      <c r="C31" s="141" t="s">
        <v>113</v>
      </c>
      <c r="D31" s="141" t="s">
        <v>771</v>
      </c>
      <c r="E31" s="141" t="s">
        <v>773</v>
      </c>
      <c r="F31" s="142" t="s">
        <v>774</v>
      </c>
      <c r="G31" s="142" t="s">
        <v>775</v>
      </c>
      <c r="H31" s="143"/>
      <c r="I31" s="143"/>
      <c r="J31" s="143"/>
      <c r="K31" s="144"/>
      <c r="L31" s="144"/>
      <c r="M31" s="141" t="s">
        <v>125</v>
      </c>
      <c r="N31" s="145">
        <v>46148</v>
      </c>
      <c r="O31" s="141" t="s">
        <v>707</v>
      </c>
      <c r="P31" s="141" t="s">
        <v>708</v>
      </c>
      <c r="Q31" s="141" t="s">
        <v>258</v>
      </c>
      <c r="R31" s="141">
        <v>1703</v>
      </c>
      <c r="S31" s="141">
        <v>1722</v>
      </c>
      <c r="T31" s="141">
        <f t="shared" si="1"/>
        <v>20</v>
      </c>
      <c r="U31" s="141" t="s">
        <v>776</v>
      </c>
      <c r="V31" s="141">
        <v>0</v>
      </c>
      <c r="W31" s="142" t="s">
        <v>782</v>
      </c>
      <c r="X31" s="146">
        <v>5.78</v>
      </c>
      <c r="Y31" s="146">
        <v>12.15</v>
      </c>
      <c r="Z31" s="146">
        <v>0</v>
      </c>
    </row>
    <row r="32" spans="1:26" x14ac:dyDescent="0.3">
      <c r="A32" s="135" t="s">
        <v>771</v>
      </c>
      <c r="B32" s="135" t="s">
        <v>783</v>
      </c>
      <c r="C32" s="135" t="s">
        <v>107</v>
      </c>
      <c r="D32" s="135" t="s">
        <v>771</v>
      </c>
      <c r="E32" s="135" t="s">
        <v>773</v>
      </c>
      <c r="F32" s="136" t="s">
        <v>774</v>
      </c>
      <c r="G32" s="136" t="s">
        <v>775</v>
      </c>
      <c r="H32" s="137"/>
      <c r="I32" s="137"/>
      <c r="J32" s="137"/>
      <c r="K32" s="138"/>
      <c r="L32" s="138"/>
      <c r="M32" s="135" t="s">
        <v>125</v>
      </c>
      <c r="N32" s="139">
        <v>46148</v>
      </c>
      <c r="O32" s="135" t="s">
        <v>720</v>
      </c>
      <c r="P32" s="135" t="s">
        <v>708</v>
      </c>
      <c r="Q32" s="135" t="s">
        <v>360</v>
      </c>
      <c r="R32" s="135">
        <v>578</v>
      </c>
      <c r="S32" s="135">
        <v>596</v>
      </c>
      <c r="T32" s="135">
        <f t="shared" si="1"/>
        <v>19</v>
      </c>
      <c r="U32" s="135" t="s">
        <v>784</v>
      </c>
      <c r="V32" s="135">
        <v>0</v>
      </c>
      <c r="W32" s="136" t="s">
        <v>782</v>
      </c>
      <c r="X32" s="140">
        <v>3.41</v>
      </c>
      <c r="Y32" s="140">
        <v>0</v>
      </c>
      <c r="Z32" s="140">
        <v>0</v>
      </c>
    </row>
    <row r="33" spans="1:26" x14ac:dyDescent="0.3">
      <c r="A33" s="141" t="s">
        <v>771</v>
      </c>
      <c r="B33" s="141" t="s">
        <v>785</v>
      </c>
      <c r="C33" s="141" t="s">
        <v>107</v>
      </c>
      <c r="D33" s="141" t="s">
        <v>771</v>
      </c>
      <c r="E33" s="141" t="s">
        <v>773</v>
      </c>
      <c r="F33" s="142" t="s">
        <v>774</v>
      </c>
      <c r="G33" s="142" t="s">
        <v>775</v>
      </c>
      <c r="H33" s="143"/>
      <c r="I33" s="143"/>
      <c r="J33" s="143"/>
      <c r="K33" s="144"/>
      <c r="L33" s="144"/>
      <c r="M33" s="141" t="s">
        <v>125</v>
      </c>
      <c r="N33" s="145">
        <v>46148</v>
      </c>
      <c r="O33" s="141" t="s">
        <v>720</v>
      </c>
      <c r="P33" s="141" t="s">
        <v>708</v>
      </c>
      <c r="Q33" s="141" t="s">
        <v>360</v>
      </c>
      <c r="R33" s="141">
        <v>597</v>
      </c>
      <c r="S33" s="141">
        <v>614</v>
      </c>
      <c r="T33" s="141">
        <f t="shared" si="1"/>
        <v>18</v>
      </c>
      <c r="U33" s="141" t="s">
        <v>784</v>
      </c>
      <c r="V33" s="141">
        <v>0</v>
      </c>
      <c r="W33" s="142" t="s">
        <v>782</v>
      </c>
      <c r="X33" s="146">
        <v>0</v>
      </c>
      <c r="Y33" s="146">
        <v>0</v>
      </c>
      <c r="Z33" s="146">
        <v>0</v>
      </c>
    </row>
    <row r="34" spans="1:26" x14ac:dyDescent="0.3">
      <c r="A34" s="135" t="s">
        <v>771</v>
      </c>
      <c r="B34" s="135" t="s">
        <v>786</v>
      </c>
      <c r="C34" s="135" t="s">
        <v>107</v>
      </c>
      <c r="D34" s="135" t="s">
        <v>771</v>
      </c>
      <c r="E34" s="135" t="s">
        <v>773</v>
      </c>
      <c r="F34" s="136" t="s">
        <v>774</v>
      </c>
      <c r="G34" s="136" t="s">
        <v>775</v>
      </c>
      <c r="H34" s="137"/>
      <c r="I34" s="137"/>
      <c r="J34" s="137"/>
      <c r="K34" s="138"/>
      <c r="L34" s="138"/>
      <c r="M34" s="135" t="s">
        <v>125</v>
      </c>
      <c r="N34" s="139">
        <v>46148</v>
      </c>
      <c r="O34" s="135" t="s">
        <v>720</v>
      </c>
      <c r="P34" s="135" t="s">
        <v>708</v>
      </c>
      <c r="Q34" s="135" t="s">
        <v>360</v>
      </c>
      <c r="R34" s="135">
        <v>615</v>
      </c>
      <c r="S34" s="135">
        <v>634</v>
      </c>
      <c r="T34" s="135">
        <f t="shared" si="1"/>
        <v>20</v>
      </c>
      <c r="U34" s="135" t="s">
        <v>784</v>
      </c>
      <c r="V34" s="135">
        <v>0</v>
      </c>
      <c r="W34" s="136" t="s">
        <v>782</v>
      </c>
      <c r="X34" s="140">
        <v>4.3099999999999996</v>
      </c>
      <c r="Y34" s="140">
        <v>0</v>
      </c>
      <c r="Z34" s="140">
        <v>0</v>
      </c>
    </row>
    <row r="35" spans="1:26" x14ac:dyDescent="0.3">
      <c r="A35" s="141" t="s">
        <v>771</v>
      </c>
      <c r="B35" s="141" t="s">
        <v>787</v>
      </c>
      <c r="C35" s="141" t="s">
        <v>107</v>
      </c>
      <c r="D35" s="141" t="s">
        <v>771</v>
      </c>
      <c r="E35" s="141" t="s">
        <v>773</v>
      </c>
      <c r="F35" s="142" t="s">
        <v>774</v>
      </c>
      <c r="G35" s="142" t="s">
        <v>775</v>
      </c>
      <c r="H35" s="143"/>
      <c r="I35" s="143"/>
      <c r="J35" s="143"/>
      <c r="K35" s="144"/>
      <c r="L35" s="144"/>
      <c r="M35" s="141" t="s">
        <v>125</v>
      </c>
      <c r="N35" s="145">
        <v>46148</v>
      </c>
      <c r="O35" s="141" t="s">
        <v>720</v>
      </c>
      <c r="P35" s="141" t="s">
        <v>708</v>
      </c>
      <c r="Q35" s="141" t="s">
        <v>360</v>
      </c>
      <c r="R35" s="141">
        <v>641</v>
      </c>
      <c r="S35" s="141">
        <v>658</v>
      </c>
      <c r="T35" s="141">
        <f t="shared" si="1"/>
        <v>18</v>
      </c>
      <c r="U35" s="141" t="s">
        <v>784</v>
      </c>
      <c r="V35" s="141">
        <v>0</v>
      </c>
      <c r="W35" s="142" t="s">
        <v>782</v>
      </c>
      <c r="X35" s="146">
        <v>4.8099999999999996</v>
      </c>
      <c r="Y35" s="146">
        <v>3.29</v>
      </c>
      <c r="Z35" s="146">
        <v>0</v>
      </c>
    </row>
    <row r="36" spans="1:26" ht="26.4" x14ac:dyDescent="0.3">
      <c r="A36" s="135" t="s">
        <v>771</v>
      </c>
      <c r="B36" s="135" t="s">
        <v>788</v>
      </c>
      <c r="C36" s="135" t="s">
        <v>107</v>
      </c>
      <c r="D36" s="135" t="s">
        <v>771</v>
      </c>
      <c r="E36" s="135" t="s">
        <v>773</v>
      </c>
      <c r="F36" s="136" t="s">
        <v>774</v>
      </c>
      <c r="G36" s="136" t="s">
        <v>789</v>
      </c>
      <c r="H36" s="137"/>
      <c r="I36" s="137"/>
      <c r="J36" s="137"/>
      <c r="K36" s="138"/>
      <c r="L36" s="138"/>
      <c r="M36" s="135" t="s">
        <v>125</v>
      </c>
      <c r="N36" s="139">
        <v>46148</v>
      </c>
      <c r="O36" s="135" t="s">
        <v>720</v>
      </c>
      <c r="P36" s="135" t="s">
        <v>708</v>
      </c>
      <c r="Q36" s="135" t="s">
        <v>360</v>
      </c>
      <c r="R36" s="135">
        <v>664</v>
      </c>
      <c r="S36" s="135">
        <v>681</v>
      </c>
      <c r="T36" s="135">
        <f t="shared" si="1"/>
        <v>18</v>
      </c>
      <c r="U36" s="135" t="s">
        <v>790</v>
      </c>
      <c r="V36" s="135">
        <v>0</v>
      </c>
      <c r="W36" s="136" t="s">
        <v>791</v>
      </c>
      <c r="X36" s="140">
        <v>5.07</v>
      </c>
      <c r="Y36" s="140">
        <v>23.91</v>
      </c>
      <c r="Z36" s="140">
        <v>24.4</v>
      </c>
    </row>
    <row r="37" spans="1:26" ht="26.4" x14ac:dyDescent="0.3">
      <c r="A37" s="141" t="s">
        <v>771</v>
      </c>
      <c r="B37" s="141" t="s">
        <v>792</v>
      </c>
      <c r="C37" s="141" t="s">
        <v>107</v>
      </c>
      <c r="D37" s="141" t="s">
        <v>771</v>
      </c>
      <c r="E37" s="141" t="s">
        <v>773</v>
      </c>
      <c r="F37" s="142" t="s">
        <v>774</v>
      </c>
      <c r="G37" s="142" t="s">
        <v>789</v>
      </c>
      <c r="H37" s="143"/>
      <c r="I37" s="143"/>
      <c r="J37" s="143"/>
      <c r="K37" s="144"/>
      <c r="L37" s="144"/>
      <c r="M37" s="141" t="s">
        <v>125</v>
      </c>
      <c r="N37" s="145">
        <v>46148</v>
      </c>
      <c r="O37" s="141" t="s">
        <v>720</v>
      </c>
      <c r="P37" s="141" t="s">
        <v>708</v>
      </c>
      <c r="Q37" s="141" t="s">
        <v>360</v>
      </c>
      <c r="R37" s="141">
        <v>682</v>
      </c>
      <c r="S37" s="141">
        <v>699</v>
      </c>
      <c r="T37" s="141">
        <f t="shared" si="1"/>
        <v>18</v>
      </c>
      <c r="U37" s="141" t="s">
        <v>790</v>
      </c>
      <c r="V37" s="141">
        <v>0</v>
      </c>
      <c r="W37" s="142" t="s">
        <v>791</v>
      </c>
      <c r="X37" s="146">
        <v>0</v>
      </c>
      <c r="Y37" s="146">
        <v>0</v>
      </c>
      <c r="Z37" s="146">
        <v>0</v>
      </c>
    </row>
    <row r="38" spans="1:26" ht="26.4" x14ac:dyDescent="0.3">
      <c r="A38" s="135" t="s">
        <v>771</v>
      </c>
      <c r="B38" s="135" t="s">
        <v>793</v>
      </c>
      <c r="C38" s="135" t="s">
        <v>107</v>
      </c>
      <c r="D38" s="135" t="s">
        <v>771</v>
      </c>
      <c r="E38" s="135" t="s">
        <v>773</v>
      </c>
      <c r="F38" s="136" t="s">
        <v>774</v>
      </c>
      <c r="G38" s="136" t="s">
        <v>789</v>
      </c>
      <c r="H38" s="137"/>
      <c r="I38" s="137"/>
      <c r="J38" s="137"/>
      <c r="K38" s="138"/>
      <c r="L38" s="138"/>
      <c r="M38" s="135" t="s">
        <v>125</v>
      </c>
      <c r="N38" s="139">
        <v>46148</v>
      </c>
      <c r="O38" s="135" t="s">
        <v>720</v>
      </c>
      <c r="P38" s="135" t="s">
        <v>708</v>
      </c>
      <c r="Q38" s="135" t="s">
        <v>360</v>
      </c>
      <c r="R38" s="135">
        <v>700</v>
      </c>
      <c r="S38" s="135">
        <v>717</v>
      </c>
      <c r="T38" s="135">
        <f t="shared" si="1"/>
        <v>18</v>
      </c>
      <c r="U38" s="135" t="s">
        <v>790</v>
      </c>
      <c r="V38" s="135">
        <v>0</v>
      </c>
      <c r="W38" s="136" t="s">
        <v>791</v>
      </c>
      <c r="X38" s="140">
        <v>2.99</v>
      </c>
      <c r="Y38" s="140">
        <v>0</v>
      </c>
      <c r="Z38" s="140">
        <v>0</v>
      </c>
    </row>
    <row r="39" spans="1:26" ht="26.4" x14ac:dyDescent="0.3">
      <c r="A39" s="141" t="s">
        <v>771</v>
      </c>
      <c r="B39" s="141" t="s">
        <v>794</v>
      </c>
      <c r="C39" s="141" t="s">
        <v>107</v>
      </c>
      <c r="D39" s="141" t="s">
        <v>771</v>
      </c>
      <c r="E39" s="141" t="s">
        <v>773</v>
      </c>
      <c r="F39" s="142" t="s">
        <v>774</v>
      </c>
      <c r="G39" s="142" t="s">
        <v>789</v>
      </c>
      <c r="H39" s="143"/>
      <c r="I39" s="143"/>
      <c r="J39" s="143"/>
      <c r="K39" s="144"/>
      <c r="L39" s="144"/>
      <c r="M39" s="141" t="s">
        <v>125</v>
      </c>
      <c r="N39" s="145">
        <v>46148</v>
      </c>
      <c r="O39" s="141" t="s">
        <v>720</v>
      </c>
      <c r="P39" s="141" t="s">
        <v>708</v>
      </c>
      <c r="Q39" s="141" t="s">
        <v>360</v>
      </c>
      <c r="R39" s="141">
        <v>718</v>
      </c>
      <c r="S39" s="141">
        <v>737</v>
      </c>
      <c r="T39" s="141">
        <f t="shared" si="1"/>
        <v>20</v>
      </c>
      <c r="U39" s="141" t="s">
        <v>790</v>
      </c>
      <c r="V39" s="141">
        <v>0</v>
      </c>
      <c r="W39" s="142" t="s">
        <v>795</v>
      </c>
      <c r="X39" s="146">
        <v>11.42</v>
      </c>
      <c r="Y39" s="146">
        <v>3.67</v>
      </c>
      <c r="Z39" s="146">
        <v>0</v>
      </c>
    </row>
    <row r="40" spans="1:26" ht="26.4" x14ac:dyDescent="0.3">
      <c r="A40" s="135" t="s">
        <v>771</v>
      </c>
      <c r="B40" s="135" t="s">
        <v>796</v>
      </c>
      <c r="C40" s="135" t="s">
        <v>107</v>
      </c>
      <c r="D40" s="135" t="s">
        <v>771</v>
      </c>
      <c r="E40" s="135" t="s">
        <v>773</v>
      </c>
      <c r="F40" s="136" t="s">
        <v>774</v>
      </c>
      <c r="G40" s="136" t="s">
        <v>789</v>
      </c>
      <c r="H40" s="137"/>
      <c r="I40" s="137"/>
      <c r="J40" s="137"/>
      <c r="K40" s="138"/>
      <c r="L40" s="138"/>
      <c r="M40" s="135" t="s">
        <v>125</v>
      </c>
      <c r="N40" s="139">
        <v>46148</v>
      </c>
      <c r="O40" s="135" t="s">
        <v>720</v>
      </c>
      <c r="P40" s="135" t="s">
        <v>708</v>
      </c>
      <c r="Q40" s="135" t="s">
        <v>360</v>
      </c>
      <c r="R40" s="135">
        <v>738</v>
      </c>
      <c r="S40" s="135">
        <v>755</v>
      </c>
      <c r="T40" s="135">
        <f t="shared" si="1"/>
        <v>18</v>
      </c>
      <c r="U40" s="135" t="s">
        <v>790</v>
      </c>
      <c r="V40" s="135">
        <v>0</v>
      </c>
      <c r="W40" s="136" t="s">
        <v>791</v>
      </c>
      <c r="X40" s="140">
        <v>4.38</v>
      </c>
      <c r="Y40" s="140">
        <v>5.64</v>
      </c>
      <c r="Z40" s="140">
        <v>0</v>
      </c>
    </row>
    <row r="41" spans="1:26" ht="26.4" x14ac:dyDescent="0.3">
      <c r="A41" s="141" t="s">
        <v>771</v>
      </c>
      <c r="B41" s="141" t="s">
        <v>797</v>
      </c>
      <c r="C41" s="141" t="s">
        <v>107</v>
      </c>
      <c r="D41" s="141" t="s">
        <v>771</v>
      </c>
      <c r="E41" s="141" t="s">
        <v>773</v>
      </c>
      <c r="F41" s="142" t="s">
        <v>774</v>
      </c>
      <c r="G41" s="142" t="s">
        <v>789</v>
      </c>
      <c r="H41" s="143"/>
      <c r="I41" s="143"/>
      <c r="J41" s="143"/>
      <c r="K41" s="144"/>
      <c r="L41" s="144"/>
      <c r="M41" s="141" t="s">
        <v>125</v>
      </c>
      <c r="N41" s="145">
        <v>46148</v>
      </c>
      <c r="O41" s="141" t="s">
        <v>720</v>
      </c>
      <c r="P41" s="141" t="s">
        <v>708</v>
      </c>
      <c r="Q41" s="141" t="s">
        <v>360</v>
      </c>
      <c r="R41" s="141">
        <v>786</v>
      </c>
      <c r="S41" s="141">
        <v>804</v>
      </c>
      <c r="T41" s="141">
        <f t="shared" si="1"/>
        <v>19</v>
      </c>
      <c r="U41" s="141" t="s">
        <v>790</v>
      </c>
      <c r="V41" s="141">
        <v>0</v>
      </c>
      <c r="W41" s="142" t="s">
        <v>791</v>
      </c>
      <c r="X41" s="146">
        <v>0</v>
      </c>
      <c r="Y41" s="146">
        <v>0</v>
      </c>
      <c r="Z41" s="146">
        <v>0</v>
      </c>
    </row>
    <row r="42" spans="1:26" ht="26.4" x14ac:dyDescent="0.3">
      <c r="A42" s="135" t="s">
        <v>771</v>
      </c>
      <c r="B42" s="135" t="s">
        <v>798</v>
      </c>
      <c r="C42" s="135" t="s">
        <v>113</v>
      </c>
      <c r="D42" s="135" t="s">
        <v>771</v>
      </c>
      <c r="E42" s="135" t="s">
        <v>773</v>
      </c>
      <c r="F42" s="136" t="s">
        <v>774</v>
      </c>
      <c r="G42" s="136" t="s">
        <v>789</v>
      </c>
      <c r="H42" s="137"/>
      <c r="I42" s="137"/>
      <c r="J42" s="137"/>
      <c r="K42" s="138"/>
      <c r="L42" s="138"/>
      <c r="M42" s="135" t="s">
        <v>125</v>
      </c>
      <c r="N42" s="139">
        <v>46148</v>
      </c>
      <c r="O42" s="135" t="s">
        <v>707</v>
      </c>
      <c r="P42" s="135" t="s">
        <v>708</v>
      </c>
      <c r="Q42" s="135" t="s">
        <v>258</v>
      </c>
      <c r="R42" s="135">
        <v>1729</v>
      </c>
      <c r="S42" s="135">
        <v>1748</v>
      </c>
      <c r="T42" s="135">
        <f t="shared" si="1"/>
        <v>20</v>
      </c>
      <c r="U42" s="135" t="s">
        <v>799</v>
      </c>
      <c r="V42" s="135">
        <v>0</v>
      </c>
      <c r="W42" s="136" t="s">
        <v>795</v>
      </c>
      <c r="X42" s="140">
        <v>10.029999999999999</v>
      </c>
      <c r="Y42" s="140">
        <v>0</v>
      </c>
      <c r="Z42" s="140">
        <v>0</v>
      </c>
    </row>
    <row r="43" spans="1:26" ht="26.4" x14ac:dyDescent="0.3">
      <c r="A43" s="141" t="s">
        <v>771</v>
      </c>
      <c r="B43" s="141" t="s">
        <v>800</v>
      </c>
      <c r="C43" s="141" t="s">
        <v>113</v>
      </c>
      <c r="D43" s="141" t="s">
        <v>771</v>
      </c>
      <c r="E43" s="141" t="s">
        <v>773</v>
      </c>
      <c r="F43" s="142" t="s">
        <v>774</v>
      </c>
      <c r="G43" s="142" t="s">
        <v>789</v>
      </c>
      <c r="H43" s="143"/>
      <c r="I43" s="143"/>
      <c r="J43" s="143"/>
      <c r="K43" s="144"/>
      <c r="L43" s="144"/>
      <c r="M43" s="141" t="s">
        <v>125</v>
      </c>
      <c r="N43" s="145">
        <v>46148</v>
      </c>
      <c r="O43" s="141" t="s">
        <v>707</v>
      </c>
      <c r="P43" s="141" t="s">
        <v>708</v>
      </c>
      <c r="Q43" s="141" t="s">
        <v>258</v>
      </c>
      <c r="R43" s="141">
        <v>1749</v>
      </c>
      <c r="S43" s="141">
        <v>1768</v>
      </c>
      <c r="T43" s="141">
        <f t="shared" si="1"/>
        <v>20</v>
      </c>
      <c r="U43" s="141" t="s">
        <v>799</v>
      </c>
      <c r="V43" s="141">
        <v>0</v>
      </c>
      <c r="W43" s="142" t="s">
        <v>795</v>
      </c>
      <c r="X43" s="146">
        <v>4.3099999999999996</v>
      </c>
      <c r="Y43" s="146">
        <v>30.75</v>
      </c>
      <c r="Z43" s="146">
        <v>16.489999999999998</v>
      </c>
    </row>
    <row r="44" spans="1:26" ht="26.4" x14ac:dyDescent="0.3">
      <c r="A44" s="135" t="s">
        <v>771</v>
      </c>
      <c r="B44" s="135" t="s">
        <v>801</v>
      </c>
      <c r="C44" s="135" t="s">
        <v>107</v>
      </c>
      <c r="D44" s="135" t="s">
        <v>771</v>
      </c>
      <c r="E44" s="135" t="s">
        <v>773</v>
      </c>
      <c r="F44" s="136" t="s">
        <v>774</v>
      </c>
      <c r="G44" s="136" t="s">
        <v>789</v>
      </c>
      <c r="H44" s="137"/>
      <c r="I44" s="137"/>
      <c r="J44" s="137"/>
      <c r="K44" s="138"/>
      <c r="L44" s="138"/>
      <c r="M44" s="135" t="s">
        <v>125</v>
      </c>
      <c r="N44" s="139">
        <v>46148</v>
      </c>
      <c r="O44" s="135" t="s">
        <v>707</v>
      </c>
      <c r="P44" s="135" t="s">
        <v>708</v>
      </c>
      <c r="Q44" s="135" t="s">
        <v>258</v>
      </c>
      <c r="R44" s="135">
        <v>1769</v>
      </c>
      <c r="S44" s="135">
        <v>1787</v>
      </c>
      <c r="T44" s="135">
        <f t="shared" si="1"/>
        <v>19</v>
      </c>
      <c r="U44" s="135" t="s">
        <v>799</v>
      </c>
      <c r="V44" s="135">
        <v>0</v>
      </c>
      <c r="W44" s="136" t="s">
        <v>791</v>
      </c>
      <c r="X44" s="140">
        <v>0</v>
      </c>
      <c r="Y44" s="140">
        <v>0</v>
      </c>
      <c r="Z44" s="140">
        <v>0</v>
      </c>
    </row>
    <row r="45" spans="1:26" ht="26.4" x14ac:dyDescent="0.3">
      <c r="A45" s="141" t="s">
        <v>771</v>
      </c>
      <c r="B45" s="141" t="s">
        <v>802</v>
      </c>
      <c r="C45" s="141" t="s">
        <v>113</v>
      </c>
      <c r="D45" s="141" t="s">
        <v>771</v>
      </c>
      <c r="E45" s="141" t="s">
        <v>773</v>
      </c>
      <c r="F45" s="142" t="s">
        <v>774</v>
      </c>
      <c r="G45" s="142" t="s">
        <v>789</v>
      </c>
      <c r="H45" s="143"/>
      <c r="I45" s="143"/>
      <c r="J45" s="143"/>
      <c r="K45" s="144"/>
      <c r="L45" s="144"/>
      <c r="M45" s="141" t="s">
        <v>125</v>
      </c>
      <c r="N45" s="145">
        <v>46148</v>
      </c>
      <c r="O45" s="141" t="s">
        <v>707</v>
      </c>
      <c r="P45" s="141" t="s">
        <v>708</v>
      </c>
      <c r="Q45" s="141" t="s">
        <v>258</v>
      </c>
      <c r="R45" s="141">
        <v>1788</v>
      </c>
      <c r="S45" s="141">
        <v>1808</v>
      </c>
      <c r="T45" s="141">
        <f t="shared" si="1"/>
        <v>21</v>
      </c>
      <c r="U45" s="141" t="s">
        <v>799</v>
      </c>
      <c r="V45" s="141">
        <v>0</v>
      </c>
      <c r="W45" s="142" t="s">
        <v>795</v>
      </c>
      <c r="X45" s="146">
        <v>32.799999999999997</v>
      </c>
      <c r="Y45" s="146">
        <v>6.45</v>
      </c>
      <c r="Z45" s="146">
        <v>0</v>
      </c>
    </row>
    <row r="46" spans="1:26" ht="26.4" x14ac:dyDescent="0.3">
      <c r="A46" s="135" t="s">
        <v>771</v>
      </c>
      <c r="B46" s="135" t="s">
        <v>803</v>
      </c>
      <c r="C46" s="135" t="s">
        <v>107</v>
      </c>
      <c r="D46" s="135" t="s">
        <v>771</v>
      </c>
      <c r="E46" s="135" t="s">
        <v>773</v>
      </c>
      <c r="F46" s="136" t="s">
        <v>774</v>
      </c>
      <c r="G46" s="136" t="s">
        <v>789</v>
      </c>
      <c r="H46" s="137"/>
      <c r="I46" s="137"/>
      <c r="J46" s="137"/>
      <c r="K46" s="138"/>
      <c r="L46" s="138"/>
      <c r="M46" s="135" t="s">
        <v>125</v>
      </c>
      <c r="N46" s="139">
        <v>46148</v>
      </c>
      <c r="O46" s="135" t="s">
        <v>707</v>
      </c>
      <c r="P46" s="135" t="s">
        <v>708</v>
      </c>
      <c r="Q46" s="135" t="s">
        <v>258</v>
      </c>
      <c r="R46" s="135">
        <v>1810</v>
      </c>
      <c r="S46" s="135">
        <v>1829</v>
      </c>
      <c r="T46" s="135">
        <f t="shared" si="1"/>
        <v>20</v>
      </c>
      <c r="U46" s="135" t="s">
        <v>799</v>
      </c>
      <c r="V46" s="135">
        <v>0</v>
      </c>
      <c r="W46" s="136" t="s">
        <v>791</v>
      </c>
      <c r="X46" s="140">
        <v>0</v>
      </c>
      <c r="Y46" s="140">
        <v>0</v>
      </c>
      <c r="Z46" s="140">
        <v>0</v>
      </c>
    </row>
    <row r="47" spans="1:26" ht="26.4" x14ac:dyDescent="0.3">
      <c r="A47" s="141" t="s">
        <v>771</v>
      </c>
      <c r="B47" s="141" t="s">
        <v>804</v>
      </c>
      <c r="C47" s="141" t="s">
        <v>107</v>
      </c>
      <c r="D47" s="141" t="s">
        <v>771</v>
      </c>
      <c r="E47" s="141" t="s">
        <v>773</v>
      </c>
      <c r="F47" s="142" t="s">
        <v>774</v>
      </c>
      <c r="G47" s="142" t="s">
        <v>789</v>
      </c>
      <c r="H47" s="143"/>
      <c r="I47" s="143"/>
      <c r="J47" s="143"/>
      <c r="K47" s="144"/>
      <c r="L47" s="144"/>
      <c r="M47" s="141" t="s">
        <v>125</v>
      </c>
      <c r="N47" s="145">
        <v>46148</v>
      </c>
      <c r="O47" s="141" t="s">
        <v>707</v>
      </c>
      <c r="P47" s="141" t="s">
        <v>708</v>
      </c>
      <c r="Q47" s="141" t="s">
        <v>258</v>
      </c>
      <c r="R47" s="141">
        <v>1830</v>
      </c>
      <c r="S47" s="141">
        <v>1848</v>
      </c>
      <c r="T47" s="141">
        <f t="shared" si="1"/>
        <v>19</v>
      </c>
      <c r="U47" s="141" t="s">
        <v>799</v>
      </c>
      <c r="V47" s="141">
        <v>0</v>
      </c>
      <c r="W47" s="142" t="s">
        <v>791</v>
      </c>
      <c r="X47" s="146">
        <v>4</v>
      </c>
      <c r="Y47" s="146">
        <v>0</v>
      </c>
      <c r="Z47" s="146">
        <v>0</v>
      </c>
    </row>
    <row r="48" spans="1:26" ht="26.4" x14ac:dyDescent="0.3">
      <c r="A48" s="135" t="s">
        <v>771</v>
      </c>
      <c r="B48" s="135" t="s">
        <v>805</v>
      </c>
      <c r="C48" s="135" t="s">
        <v>107</v>
      </c>
      <c r="D48" s="135" t="s">
        <v>771</v>
      </c>
      <c r="E48" s="135" t="s">
        <v>773</v>
      </c>
      <c r="F48" s="136" t="s">
        <v>774</v>
      </c>
      <c r="G48" s="136" t="s">
        <v>789</v>
      </c>
      <c r="H48" s="137"/>
      <c r="I48" s="137"/>
      <c r="J48" s="137"/>
      <c r="K48" s="138"/>
      <c r="L48" s="138"/>
      <c r="M48" s="135" t="s">
        <v>125</v>
      </c>
      <c r="N48" s="139">
        <v>46148</v>
      </c>
      <c r="O48" s="135" t="s">
        <v>707</v>
      </c>
      <c r="P48" s="135" t="s">
        <v>708</v>
      </c>
      <c r="Q48" s="135" t="s">
        <v>258</v>
      </c>
      <c r="R48" s="135">
        <v>1849</v>
      </c>
      <c r="S48" s="135">
        <v>1867</v>
      </c>
      <c r="T48" s="135">
        <f t="shared" si="1"/>
        <v>19</v>
      </c>
      <c r="U48" s="135" t="s">
        <v>799</v>
      </c>
      <c r="V48" s="135">
        <v>0</v>
      </c>
      <c r="W48" s="136" t="s">
        <v>791</v>
      </c>
      <c r="X48" s="140">
        <v>4.79</v>
      </c>
      <c r="Y48" s="140">
        <v>23.68</v>
      </c>
      <c r="Z48" s="140">
        <v>0</v>
      </c>
    </row>
  </sheetData>
  <autoFilter ref="A4:Z48" xr:uid="{00000000-0009-0000-0000-000007000000}"/>
  <mergeCells count="10">
    <mergeCell ref="A1:Z1"/>
    <mergeCell ref="A2:Z2"/>
    <mergeCell ref="A3:C3"/>
    <mergeCell ref="D3:G3"/>
    <mergeCell ref="H3:J3"/>
    <mergeCell ref="K3:M3"/>
    <mergeCell ref="N3:P3"/>
    <mergeCell ref="Q3:S3"/>
    <mergeCell ref="T3:W3"/>
    <mergeCell ref="X3:Z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Q482"/>
  <sheetViews>
    <sheetView zoomScaleNormal="100" workbookViewId="0">
      <pane ySplit="4" topLeftCell="A5" activePane="bottomLeft" state="frozen"/>
      <selection pane="bottomLeft" activeCell="B40" sqref="B40"/>
    </sheetView>
  </sheetViews>
  <sheetFormatPr defaultColWidth="8.6640625" defaultRowHeight="14.4" customHeight="1" x14ac:dyDescent="0.3"/>
  <cols>
    <col min="1" max="1" width="20.21875" bestFit="1" customWidth="1"/>
    <col min="2" max="2" width="9.44140625" bestFit="1" customWidth="1"/>
    <col min="3" max="3" width="12.21875" bestFit="1" customWidth="1"/>
    <col min="4" max="4" width="10.6640625" bestFit="1" customWidth="1"/>
    <col min="5" max="5" width="13.44140625" bestFit="1" customWidth="1"/>
    <col min="6" max="14" width="10.6640625" bestFit="1" customWidth="1"/>
    <col min="15" max="15" width="12.88671875" bestFit="1" customWidth="1"/>
    <col min="16" max="16" width="55.77734375" bestFit="1" customWidth="1"/>
    <col min="17" max="17" width="8.6640625" bestFit="1" customWidth="1"/>
  </cols>
  <sheetData>
    <row r="1" spans="1:17" ht="14.4" customHeight="1" x14ac:dyDescent="0.3">
      <c r="A1" s="199" t="s">
        <v>806</v>
      </c>
      <c r="B1" s="199"/>
      <c r="C1" s="199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</row>
    <row r="2" spans="1:17" ht="14.4" customHeight="1" x14ac:dyDescent="0.3">
      <c r="A2" s="200" t="s">
        <v>807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</row>
    <row r="3" spans="1:17" ht="14.4" customHeight="1" x14ac:dyDescent="0.3">
      <c r="A3" s="12" t="s">
        <v>237</v>
      </c>
      <c r="B3" s="12"/>
      <c r="C3" s="12"/>
      <c r="D3" s="12"/>
      <c r="E3" s="12"/>
      <c r="F3" s="12" t="s">
        <v>808</v>
      </c>
      <c r="G3" s="12"/>
      <c r="H3" s="12"/>
      <c r="I3" s="12"/>
      <c r="J3" s="12"/>
      <c r="K3" s="12"/>
      <c r="L3" s="12"/>
      <c r="M3" s="12"/>
      <c r="N3" s="12"/>
      <c r="O3" s="12" t="s">
        <v>239</v>
      </c>
      <c r="P3" s="12"/>
      <c r="Q3" s="12"/>
    </row>
    <row r="4" spans="1:17" ht="14.4" customHeight="1" x14ac:dyDescent="0.3">
      <c r="A4" s="17" t="s">
        <v>86</v>
      </c>
      <c r="B4" s="17" t="s">
        <v>82</v>
      </c>
      <c r="C4" s="17" t="s">
        <v>809</v>
      </c>
      <c r="D4" s="17" t="s">
        <v>810</v>
      </c>
      <c r="E4" s="17" t="s">
        <v>811</v>
      </c>
      <c r="F4" s="17" t="s">
        <v>244</v>
      </c>
      <c r="G4" s="17" t="s">
        <v>245</v>
      </c>
      <c r="H4" s="17" t="s">
        <v>246</v>
      </c>
      <c r="I4" s="17" t="s">
        <v>812</v>
      </c>
      <c r="J4" s="17" t="s">
        <v>247</v>
      </c>
      <c r="K4" s="17" t="s">
        <v>248</v>
      </c>
      <c r="L4" s="17" t="s">
        <v>249</v>
      </c>
      <c r="M4" s="17" t="s">
        <v>250</v>
      </c>
      <c r="N4" s="17" t="s">
        <v>251</v>
      </c>
      <c r="O4" s="17" t="s">
        <v>252</v>
      </c>
      <c r="P4" s="17" t="s">
        <v>47</v>
      </c>
      <c r="Q4" s="17" t="s">
        <v>254</v>
      </c>
    </row>
    <row r="5" spans="1:17" ht="14.4" customHeight="1" x14ac:dyDescent="0.3">
      <c r="A5" s="46" t="s">
        <v>411</v>
      </c>
      <c r="B5" s="53">
        <v>46146</v>
      </c>
      <c r="C5" s="46">
        <v>470</v>
      </c>
      <c r="D5" s="52">
        <v>0</v>
      </c>
      <c r="E5" s="46">
        <v>1</v>
      </c>
      <c r="F5" s="147">
        <v>3.8420999999999998</v>
      </c>
      <c r="G5" s="147" t="s">
        <v>257</v>
      </c>
      <c r="H5" s="147">
        <v>8.3902000000000001</v>
      </c>
      <c r="I5" s="147" t="s">
        <v>257</v>
      </c>
      <c r="J5" s="147">
        <v>39740.128900000003</v>
      </c>
      <c r="K5" s="147">
        <v>533.94600000000003</v>
      </c>
      <c r="L5" s="147">
        <v>13153.5254</v>
      </c>
      <c r="M5" s="147">
        <v>38.076999999999998</v>
      </c>
      <c r="N5" s="147">
        <v>12.744</v>
      </c>
      <c r="O5" s="52">
        <v>120.42</v>
      </c>
      <c r="P5" s="46"/>
      <c r="Q5" s="46" t="s">
        <v>360</v>
      </c>
    </row>
    <row r="6" spans="1:17" ht="14.4" customHeight="1" x14ac:dyDescent="0.3">
      <c r="A6" s="46" t="s">
        <v>411</v>
      </c>
      <c r="B6" s="53">
        <v>46146</v>
      </c>
      <c r="C6" s="46">
        <v>471</v>
      </c>
      <c r="D6" s="52">
        <v>0</v>
      </c>
      <c r="E6" s="46">
        <v>2</v>
      </c>
      <c r="F6" s="147" t="s">
        <v>257</v>
      </c>
      <c r="G6" s="147" t="s">
        <v>257</v>
      </c>
      <c r="H6" s="147">
        <v>9.5204000000000004</v>
      </c>
      <c r="I6" s="147" t="s">
        <v>257</v>
      </c>
      <c r="J6" s="147">
        <v>39224.121099999997</v>
      </c>
      <c r="K6" s="147">
        <v>575.15830000000005</v>
      </c>
      <c r="L6" s="147">
        <v>11461.96</v>
      </c>
      <c r="M6" s="147">
        <v>36.476500000000001</v>
      </c>
      <c r="N6" s="147">
        <v>8.7088000000000001</v>
      </c>
      <c r="O6" s="52">
        <v>120.55</v>
      </c>
      <c r="P6" s="46"/>
      <c r="Q6" s="46" t="s">
        <v>360</v>
      </c>
    </row>
    <row r="7" spans="1:17" ht="14.4" customHeight="1" x14ac:dyDescent="0.3">
      <c r="A7" s="46" t="s">
        <v>411</v>
      </c>
      <c r="B7" s="53">
        <v>46146</v>
      </c>
      <c r="C7" s="46">
        <v>472</v>
      </c>
      <c r="D7" s="52">
        <v>0.5</v>
      </c>
      <c r="E7" s="46">
        <v>1</v>
      </c>
      <c r="F7" s="147" t="s">
        <v>257</v>
      </c>
      <c r="G7" s="147" t="s">
        <v>257</v>
      </c>
      <c r="H7" s="147">
        <v>8.8339999999999996</v>
      </c>
      <c r="I7" s="147" t="s">
        <v>257</v>
      </c>
      <c r="J7" s="147">
        <v>66346.460900000005</v>
      </c>
      <c r="K7" s="147">
        <v>1197.7804000000001</v>
      </c>
      <c r="L7" s="147">
        <v>19632.732400000001</v>
      </c>
      <c r="M7" s="147">
        <v>118.4539</v>
      </c>
      <c r="N7" s="147">
        <v>12.262499999999999</v>
      </c>
      <c r="O7" s="52">
        <v>120.86</v>
      </c>
      <c r="P7" s="46"/>
      <c r="Q7" s="46" t="s">
        <v>360</v>
      </c>
    </row>
    <row r="8" spans="1:17" ht="14.4" customHeight="1" x14ac:dyDescent="0.3">
      <c r="A8" s="46" t="s">
        <v>411</v>
      </c>
      <c r="B8" s="53">
        <v>46146</v>
      </c>
      <c r="C8" s="46">
        <v>473</v>
      </c>
      <c r="D8" s="52">
        <v>0.5</v>
      </c>
      <c r="E8" s="46">
        <v>2</v>
      </c>
      <c r="F8" s="147">
        <v>3.4388999999999998</v>
      </c>
      <c r="G8" s="147" t="s">
        <v>257</v>
      </c>
      <c r="H8" s="147">
        <v>6.3212999999999999</v>
      </c>
      <c r="I8" s="147" t="s">
        <v>257</v>
      </c>
      <c r="J8" s="147">
        <v>65592.015599999999</v>
      </c>
      <c r="K8" s="147">
        <v>1098.7555</v>
      </c>
      <c r="L8" s="147">
        <v>20289.466799999998</v>
      </c>
      <c r="M8" s="147">
        <v>109.81100000000001</v>
      </c>
      <c r="N8" s="147">
        <v>12.9938</v>
      </c>
      <c r="O8" s="52">
        <v>120.47</v>
      </c>
      <c r="P8" s="46"/>
      <c r="Q8" s="46" t="s">
        <v>360</v>
      </c>
    </row>
    <row r="9" spans="1:17" ht="14.4" customHeight="1" x14ac:dyDescent="0.3">
      <c r="A9" s="46" t="s">
        <v>411</v>
      </c>
      <c r="B9" s="53">
        <v>46146</v>
      </c>
      <c r="C9" s="46">
        <v>474</v>
      </c>
      <c r="D9" s="52">
        <v>1</v>
      </c>
      <c r="E9" s="46">
        <v>1</v>
      </c>
      <c r="F9" s="147" t="s">
        <v>257</v>
      </c>
      <c r="G9" s="147" t="s">
        <v>257</v>
      </c>
      <c r="H9" s="147">
        <v>7.4455</v>
      </c>
      <c r="I9" s="147" t="s">
        <v>257</v>
      </c>
      <c r="J9" s="147">
        <v>35311.988299999997</v>
      </c>
      <c r="K9" s="147">
        <v>550.91729999999995</v>
      </c>
      <c r="L9" s="147">
        <v>13779.7852</v>
      </c>
      <c r="M9" s="147">
        <v>33.8108</v>
      </c>
      <c r="N9" s="147">
        <v>7.5547000000000004</v>
      </c>
      <c r="O9" s="52">
        <v>120.43</v>
      </c>
      <c r="P9" s="46"/>
      <c r="Q9" s="46" t="s">
        <v>360</v>
      </c>
    </row>
    <row r="10" spans="1:17" ht="14.4" customHeight="1" x14ac:dyDescent="0.3">
      <c r="A10" s="46" t="s">
        <v>411</v>
      </c>
      <c r="B10" s="53">
        <v>46146</v>
      </c>
      <c r="C10" s="46">
        <v>475</v>
      </c>
      <c r="D10" s="52">
        <v>1</v>
      </c>
      <c r="E10" s="46">
        <v>2</v>
      </c>
      <c r="F10" s="147" t="s">
        <v>257</v>
      </c>
      <c r="G10" s="147" t="s">
        <v>257</v>
      </c>
      <c r="H10" s="147">
        <v>6.5019</v>
      </c>
      <c r="I10" s="147" t="s">
        <v>257</v>
      </c>
      <c r="J10" s="147">
        <v>35494.519500000002</v>
      </c>
      <c r="K10" s="147">
        <v>597.59879999999998</v>
      </c>
      <c r="L10" s="147">
        <v>13859.8408</v>
      </c>
      <c r="M10" s="147">
        <v>30.057400000000001</v>
      </c>
      <c r="N10" s="147">
        <v>6.5187999999999997</v>
      </c>
      <c r="O10" s="52">
        <v>120.63</v>
      </c>
      <c r="P10" s="46"/>
      <c r="Q10" s="46" t="s">
        <v>360</v>
      </c>
    </row>
    <row r="11" spans="1:17" ht="14.4" customHeight="1" x14ac:dyDescent="0.3">
      <c r="A11" s="46" t="s">
        <v>411</v>
      </c>
      <c r="B11" s="53">
        <v>46146</v>
      </c>
      <c r="C11" s="46">
        <v>476</v>
      </c>
      <c r="D11" s="52">
        <v>1.5</v>
      </c>
      <c r="E11" s="46">
        <v>1</v>
      </c>
      <c r="F11" s="147" t="s">
        <v>257</v>
      </c>
      <c r="G11" s="147" t="s">
        <v>257</v>
      </c>
      <c r="H11" s="147">
        <v>6.1542000000000003</v>
      </c>
      <c r="I11" s="147" t="s">
        <v>257</v>
      </c>
      <c r="J11" s="147">
        <v>37974.964800000002</v>
      </c>
      <c r="K11" s="147">
        <v>660.75930000000005</v>
      </c>
      <c r="L11" s="147">
        <v>17396.855500000001</v>
      </c>
      <c r="M11" s="147">
        <v>215.77860000000001</v>
      </c>
      <c r="N11" s="147">
        <v>9.6341000000000001</v>
      </c>
      <c r="O11" s="52">
        <v>120.6</v>
      </c>
      <c r="P11" s="46"/>
      <c r="Q11" s="46" t="s">
        <v>360</v>
      </c>
    </row>
    <row r="12" spans="1:17" ht="14.4" customHeight="1" x14ac:dyDescent="0.3">
      <c r="A12" s="46" t="s">
        <v>411</v>
      </c>
      <c r="B12" s="53">
        <v>46146</v>
      </c>
      <c r="C12" s="46">
        <v>477</v>
      </c>
      <c r="D12" s="52">
        <v>1.5</v>
      </c>
      <c r="E12" s="46">
        <v>2</v>
      </c>
      <c r="F12" s="147" t="s">
        <v>257</v>
      </c>
      <c r="G12" s="147" t="s">
        <v>257</v>
      </c>
      <c r="H12" s="147">
        <v>5.5655999999999999</v>
      </c>
      <c r="I12" s="147" t="s">
        <v>257</v>
      </c>
      <c r="J12" s="147">
        <v>38401.421900000001</v>
      </c>
      <c r="K12" s="147">
        <v>721.52409999999998</v>
      </c>
      <c r="L12" s="147">
        <v>18680.9355</v>
      </c>
      <c r="M12" s="147">
        <v>189.43700000000001</v>
      </c>
      <c r="N12" s="147">
        <v>13.962199999999999</v>
      </c>
      <c r="O12" s="52">
        <v>120.52</v>
      </c>
      <c r="P12" s="46"/>
      <c r="Q12" s="46" t="s">
        <v>360</v>
      </c>
    </row>
    <row r="13" spans="1:17" ht="14.4" customHeight="1" x14ac:dyDescent="0.3">
      <c r="A13" s="46" t="s">
        <v>411</v>
      </c>
      <c r="B13" s="53">
        <v>46146</v>
      </c>
      <c r="C13" s="46">
        <v>478</v>
      </c>
      <c r="D13" s="52">
        <v>2</v>
      </c>
      <c r="E13" s="46">
        <v>1</v>
      </c>
      <c r="F13" s="147" t="s">
        <v>257</v>
      </c>
      <c r="G13" s="147" t="s">
        <v>257</v>
      </c>
      <c r="H13" s="147">
        <v>8.4327000000000005</v>
      </c>
      <c r="I13" s="147" t="s">
        <v>257</v>
      </c>
      <c r="J13" s="147">
        <v>46304.3125</v>
      </c>
      <c r="K13" s="147">
        <v>984.65390000000002</v>
      </c>
      <c r="L13" s="147">
        <v>11625.977500000001</v>
      </c>
      <c r="M13" s="147">
        <v>115.526</v>
      </c>
      <c r="N13" s="147">
        <v>18.3123</v>
      </c>
      <c r="O13" s="52">
        <v>120.57</v>
      </c>
      <c r="P13" s="46"/>
      <c r="Q13" s="46" t="s">
        <v>360</v>
      </c>
    </row>
    <row r="14" spans="1:17" ht="14.4" customHeight="1" x14ac:dyDescent="0.3">
      <c r="A14" s="46" t="s">
        <v>411</v>
      </c>
      <c r="B14" s="53">
        <v>46146</v>
      </c>
      <c r="C14" s="46">
        <v>479</v>
      </c>
      <c r="D14" s="52">
        <v>2</v>
      </c>
      <c r="E14" s="46">
        <v>2</v>
      </c>
      <c r="F14" s="147" t="s">
        <v>257</v>
      </c>
      <c r="G14" s="147" t="s">
        <v>257</v>
      </c>
      <c r="H14" s="147">
        <v>8.3019999999999996</v>
      </c>
      <c r="I14" s="147" t="s">
        <v>257</v>
      </c>
      <c r="J14" s="147">
        <v>48203.355499999998</v>
      </c>
      <c r="K14" s="147">
        <v>919.33910000000003</v>
      </c>
      <c r="L14" s="147">
        <v>8606.6553000000004</v>
      </c>
      <c r="M14" s="147">
        <v>128.75960000000001</v>
      </c>
      <c r="N14" s="147">
        <v>10.926500000000001</v>
      </c>
      <c r="O14" s="52">
        <v>125.7</v>
      </c>
      <c r="P14" s="46"/>
      <c r="Q14" s="46" t="s">
        <v>360</v>
      </c>
    </row>
    <row r="15" spans="1:17" ht="14.4" customHeight="1" x14ac:dyDescent="0.3">
      <c r="A15" s="46" t="s">
        <v>411</v>
      </c>
      <c r="B15" s="53">
        <v>46146</v>
      </c>
      <c r="C15" s="46">
        <v>480</v>
      </c>
      <c r="D15" s="52">
        <v>2.5</v>
      </c>
      <c r="E15" s="46">
        <v>1</v>
      </c>
      <c r="F15" s="147" t="s">
        <v>257</v>
      </c>
      <c r="G15" s="147" t="s">
        <v>257</v>
      </c>
      <c r="H15" s="147">
        <v>5.7416</v>
      </c>
      <c r="I15" s="147" t="s">
        <v>257</v>
      </c>
      <c r="J15" s="147">
        <v>47094.605499999998</v>
      </c>
      <c r="K15" s="147">
        <v>977.87570000000005</v>
      </c>
      <c r="L15" s="147">
        <v>9458.5956999999999</v>
      </c>
      <c r="M15" s="147">
        <v>51.941200000000002</v>
      </c>
      <c r="N15" s="147">
        <v>11.792</v>
      </c>
      <c r="O15" s="52">
        <v>120.09</v>
      </c>
      <c r="P15" s="46"/>
      <c r="Q15" s="46" t="s">
        <v>360</v>
      </c>
    </row>
    <row r="16" spans="1:17" ht="14.4" customHeight="1" x14ac:dyDescent="0.3">
      <c r="A16" s="46" t="s">
        <v>411</v>
      </c>
      <c r="B16" s="53">
        <v>46146</v>
      </c>
      <c r="C16" s="46">
        <v>481</v>
      </c>
      <c r="D16" s="52">
        <v>2.5</v>
      </c>
      <c r="E16" s="46">
        <v>2</v>
      </c>
      <c r="F16" s="147" t="s">
        <v>257</v>
      </c>
      <c r="G16" s="147" t="s">
        <v>257</v>
      </c>
      <c r="H16" s="147">
        <v>7.8428000000000004</v>
      </c>
      <c r="I16" s="147" t="s">
        <v>257</v>
      </c>
      <c r="J16" s="147">
        <v>46772.570299999999</v>
      </c>
      <c r="K16" s="147">
        <v>948.87900000000002</v>
      </c>
      <c r="L16" s="147">
        <v>9237.1113000000005</v>
      </c>
      <c r="M16" s="147">
        <v>52.617699999999999</v>
      </c>
      <c r="N16" s="147">
        <v>12.151199999999999</v>
      </c>
      <c r="O16" s="52">
        <v>126.62</v>
      </c>
      <c r="P16" s="46"/>
      <c r="Q16" s="46" t="s">
        <v>360</v>
      </c>
    </row>
    <row r="17" spans="1:17" ht="14.4" customHeight="1" x14ac:dyDescent="0.3">
      <c r="A17" s="46" t="s">
        <v>411</v>
      </c>
      <c r="B17" s="53">
        <v>46146</v>
      </c>
      <c r="C17" s="46">
        <v>482</v>
      </c>
      <c r="D17" s="52">
        <v>3</v>
      </c>
      <c r="E17" s="46">
        <v>1</v>
      </c>
      <c r="F17" s="147" t="s">
        <v>257</v>
      </c>
      <c r="G17" s="147" t="s">
        <v>257</v>
      </c>
      <c r="H17" s="147">
        <v>7.5822000000000003</v>
      </c>
      <c r="I17" s="147" t="s">
        <v>257</v>
      </c>
      <c r="J17" s="147">
        <v>41407.984400000001</v>
      </c>
      <c r="K17" s="147">
        <v>913.86630000000002</v>
      </c>
      <c r="L17" s="147">
        <v>8777.2880999999998</v>
      </c>
      <c r="M17" s="147">
        <v>42.549599999999998</v>
      </c>
      <c r="N17" s="147">
        <v>11.394600000000001</v>
      </c>
      <c r="O17" s="52">
        <v>120.48</v>
      </c>
      <c r="P17" s="46"/>
      <c r="Q17" s="46" t="s">
        <v>360</v>
      </c>
    </row>
    <row r="18" spans="1:17" ht="14.4" customHeight="1" x14ac:dyDescent="0.3">
      <c r="A18" s="46" t="s">
        <v>411</v>
      </c>
      <c r="B18" s="53">
        <v>46146</v>
      </c>
      <c r="C18" s="46">
        <v>483</v>
      </c>
      <c r="D18" s="52">
        <v>3</v>
      </c>
      <c r="E18" s="46">
        <v>2</v>
      </c>
      <c r="F18" s="147" t="s">
        <v>257</v>
      </c>
      <c r="G18" s="147" t="s">
        <v>257</v>
      </c>
      <c r="H18" s="147">
        <v>6.5805999999999996</v>
      </c>
      <c r="I18" s="147" t="s">
        <v>257</v>
      </c>
      <c r="J18" s="147">
        <v>39929.320299999999</v>
      </c>
      <c r="K18" s="147">
        <v>849.35019999999997</v>
      </c>
      <c r="L18" s="147">
        <v>11132.276400000001</v>
      </c>
      <c r="M18" s="147">
        <v>45.474499999999999</v>
      </c>
      <c r="N18" s="147">
        <v>12.394399999999999</v>
      </c>
      <c r="O18" s="52">
        <v>120.84</v>
      </c>
      <c r="P18" s="46"/>
      <c r="Q18" s="46" t="s">
        <v>360</v>
      </c>
    </row>
    <row r="19" spans="1:17" ht="14.4" customHeight="1" x14ac:dyDescent="0.3">
      <c r="A19" s="46" t="s">
        <v>411</v>
      </c>
      <c r="B19" s="53">
        <v>46146</v>
      </c>
      <c r="C19" s="46">
        <v>484</v>
      </c>
      <c r="D19" s="52">
        <v>3.5</v>
      </c>
      <c r="E19" s="46">
        <v>1</v>
      </c>
      <c r="F19" s="147" t="s">
        <v>257</v>
      </c>
      <c r="G19" s="147" t="s">
        <v>257</v>
      </c>
      <c r="H19" s="147">
        <v>5.9039000000000001</v>
      </c>
      <c r="I19" s="147" t="s">
        <v>257</v>
      </c>
      <c r="J19" s="147">
        <v>39113.343800000002</v>
      </c>
      <c r="K19" s="147">
        <v>735.01369999999997</v>
      </c>
      <c r="L19" s="147">
        <v>5916.1270000000004</v>
      </c>
      <c r="M19" s="147">
        <v>49.308500000000002</v>
      </c>
      <c r="N19" s="147">
        <v>6.2847</v>
      </c>
      <c r="O19" s="52">
        <v>125.91</v>
      </c>
      <c r="P19" s="46"/>
      <c r="Q19" s="46" t="s">
        <v>360</v>
      </c>
    </row>
    <row r="20" spans="1:17" ht="14.4" customHeight="1" x14ac:dyDescent="0.3">
      <c r="A20" s="46" t="s">
        <v>411</v>
      </c>
      <c r="B20" s="53">
        <v>46146</v>
      </c>
      <c r="C20" s="46">
        <v>485</v>
      </c>
      <c r="D20" s="52">
        <v>3.5</v>
      </c>
      <c r="E20" s="46">
        <v>2</v>
      </c>
      <c r="F20" s="147" t="s">
        <v>257</v>
      </c>
      <c r="G20" s="147" t="s">
        <v>257</v>
      </c>
      <c r="H20" s="147">
        <v>4.0155000000000003</v>
      </c>
      <c r="I20" s="147" t="s">
        <v>257</v>
      </c>
      <c r="J20" s="147">
        <v>35111.664100000002</v>
      </c>
      <c r="K20" s="147">
        <v>658.97069999999997</v>
      </c>
      <c r="L20" s="147">
        <v>6064.7573000000002</v>
      </c>
      <c r="M20" s="147">
        <v>42.3523</v>
      </c>
      <c r="N20" s="147" t="s">
        <v>257</v>
      </c>
      <c r="O20" s="52">
        <v>120.58</v>
      </c>
      <c r="P20" s="46"/>
      <c r="Q20" s="46" t="s">
        <v>360</v>
      </c>
    </row>
    <row r="21" spans="1:17" ht="14.4" customHeight="1" x14ac:dyDescent="0.3">
      <c r="A21" s="46" t="s">
        <v>411</v>
      </c>
      <c r="B21" s="53">
        <v>46146</v>
      </c>
      <c r="C21" s="46">
        <v>486</v>
      </c>
      <c r="D21" s="52">
        <v>4</v>
      </c>
      <c r="E21" s="46">
        <v>1</v>
      </c>
      <c r="F21" s="147" t="s">
        <v>257</v>
      </c>
      <c r="G21" s="147" t="s">
        <v>257</v>
      </c>
      <c r="H21" s="147">
        <v>6.8418000000000001</v>
      </c>
      <c r="I21" s="147" t="s">
        <v>257</v>
      </c>
      <c r="J21" s="147">
        <v>35307.117200000001</v>
      </c>
      <c r="K21" s="147">
        <v>686.24590000000001</v>
      </c>
      <c r="L21" s="147">
        <v>8269.3467000000001</v>
      </c>
      <c r="M21" s="147">
        <v>69.777699999999996</v>
      </c>
      <c r="N21" s="147">
        <v>13.202999999999999</v>
      </c>
      <c r="O21" s="52">
        <v>120.15</v>
      </c>
      <c r="P21" s="46"/>
      <c r="Q21" s="46" t="s">
        <v>360</v>
      </c>
    </row>
    <row r="22" spans="1:17" ht="14.4" customHeight="1" x14ac:dyDescent="0.3">
      <c r="A22" s="46" t="s">
        <v>411</v>
      </c>
      <c r="B22" s="53">
        <v>46146</v>
      </c>
      <c r="C22" s="46">
        <v>487</v>
      </c>
      <c r="D22" s="52">
        <v>4</v>
      </c>
      <c r="E22" s="46">
        <v>2</v>
      </c>
      <c r="F22" s="147" t="s">
        <v>257</v>
      </c>
      <c r="G22" s="147" t="s">
        <v>257</v>
      </c>
      <c r="H22" s="147">
        <v>6.2826000000000004</v>
      </c>
      <c r="I22" s="147" t="s">
        <v>257</v>
      </c>
      <c r="J22" s="147">
        <v>34003.289100000002</v>
      </c>
      <c r="K22" s="147">
        <v>655.93179999999995</v>
      </c>
      <c r="L22" s="147">
        <v>8772.5468999999994</v>
      </c>
      <c r="M22" s="147">
        <v>73.083200000000005</v>
      </c>
      <c r="N22" s="147">
        <v>8.0722000000000005</v>
      </c>
      <c r="O22" s="52">
        <v>120.79</v>
      </c>
      <c r="P22" s="46"/>
      <c r="Q22" s="46" t="s">
        <v>360</v>
      </c>
    </row>
    <row r="23" spans="1:17" ht="14.4" customHeight="1" x14ac:dyDescent="0.3">
      <c r="A23" s="49" t="s">
        <v>304</v>
      </c>
      <c r="B23" s="54">
        <v>46147</v>
      </c>
      <c r="C23" s="49">
        <v>492</v>
      </c>
      <c r="D23" s="51">
        <v>0</v>
      </c>
      <c r="E23" s="49">
        <v>1</v>
      </c>
      <c r="F23" s="148">
        <v>8.2889999999999997</v>
      </c>
      <c r="G23" s="148">
        <v>13.331200000000001</v>
      </c>
      <c r="H23" s="148">
        <v>5.6566999999999998</v>
      </c>
      <c r="I23" s="148" t="s">
        <v>257</v>
      </c>
      <c r="J23" s="148">
        <v>42347.968800000002</v>
      </c>
      <c r="K23" s="148">
        <v>346.83409999999998</v>
      </c>
      <c r="L23" s="148">
        <v>6423.5443999999998</v>
      </c>
      <c r="M23" s="148">
        <v>55.8339</v>
      </c>
      <c r="N23" s="148">
        <v>17.93</v>
      </c>
      <c r="O23" s="51">
        <v>120.55</v>
      </c>
      <c r="P23" s="49" t="s">
        <v>813</v>
      </c>
      <c r="Q23" s="49" t="s">
        <v>360</v>
      </c>
    </row>
    <row r="24" spans="1:17" ht="14.4" customHeight="1" x14ac:dyDescent="0.3">
      <c r="A24" s="49" t="s">
        <v>304</v>
      </c>
      <c r="B24" s="54">
        <v>46147</v>
      </c>
      <c r="C24" s="49">
        <v>493</v>
      </c>
      <c r="D24" s="51">
        <v>0</v>
      </c>
      <c r="E24" s="49">
        <v>2</v>
      </c>
      <c r="F24" s="148">
        <v>9.1431000000000004</v>
      </c>
      <c r="G24" s="148">
        <v>14.6853</v>
      </c>
      <c r="H24" s="148">
        <v>8.0732999999999997</v>
      </c>
      <c r="I24" s="148" t="s">
        <v>257</v>
      </c>
      <c r="J24" s="148">
        <v>44429.011700000003</v>
      </c>
      <c r="K24" s="148">
        <v>309.37939999999998</v>
      </c>
      <c r="L24" s="148">
        <v>7393.8315000000002</v>
      </c>
      <c r="M24" s="148">
        <v>61.746000000000002</v>
      </c>
      <c r="N24" s="148">
        <v>16.1493</v>
      </c>
      <c r="O24" s="51">
        <v>126.18</v>
      </c>
      <c r="P24" s="49" t="s">
        <v>813</v>
      </c>
      <c r="Q24" s="49" t="s">
        <v>360</v>
      </c>
    </row>
    <row r="25" spans="1:17" ht="14.4" customHeight="1" x14ac:dyDescent="0.3">
      <c r="A25" s="49" t="s">
        <v>304</v>
      </c>
      <c r="B25" s="54">
        <v>46147</v>
      </c>
      <c r="C25" s="49">
        <v>494</v>
      </c>
      <c r="D25" s="51">
        <v>0.5</v>
      </c>
      <c r="E25" s="49">
        <v>1</v>
      </c>
      <c r="F25" s="148">
        <v>6.4101999999999997</v>
      </c>
      <c r="G25" s="148">
        <v>13.4489</v>
      </c>
      <c r="H25" s="148">
        <v>11.539400000000001</v>
      </c>
      <c r="I25" s="148" t="s">
        <v>257</v>
      </c>
      <c r="J25" s="148">
        <v>136561.57810000001</v>
      </c>
      <c r="K25" s="148">
        <v>647.95050000000003</v>
      </c>
      <c r="L25" s="148">
        <v>8470.2772999999997</v>
      </c>
      <c r="M25" s="148">
        <v>119.8438</v>
      </c>
      <c r="N25" s="148">
        <v>8.7004000000000001</v>
      </c>
      <c r="O25" s="51">
        <v>126.29</v>
      </c>
      <c r="P25" s="49" t="s">
        <v>813</v>
      </c>
      <c r="Q25" s="49" t="s">
        <v>360</v>
      </c>
    </row>
    <row r="26" spans="1:17" ht="14.4" customHeight="1" x14ac:dyDescent="0.3">
      <c r="A26" s="49" t="s">
        <v>304</v>
      </c>
      <c r="B26" s="54">
        <v>46147</v>
      </c>
      <c r="C26" s="49">
        <v>495</v>
      </c>
      <c r="D26" s="51">
        <v>0.5</v>
      </c>
      <c r="E26" s="49">
        <v>2</v>
      </c>
      <c r="F26" s="148">
        <v>4.7659000000000002</v>
      </c>
      <c r="G26" s="148">
        <v>17.2195</v>
      </c>
      <c r="H26" s="148">
        <v>8.7170000000000005</v>
      </c>
      <c r="I26" s="148" t="s">
        <v>257</v>
      </c>
      <c r="J26" s="148">
        <v>147544.3125</v>
      </c>
      <c r="K26" s="148">
        <v>772.53229999999996</v>
      </c>
      <c r="L26" s="148">
        <v>9847.7080000000005</v>
      </c>
      <c r="M26" s="148">
        <v>131.52099999999999</v>
      </c>
      <c r="N26" s="148">
        <v>14.7477</v>
      </c>
      <c r="O26" s="51">
        <v>120.59</v>
      </c>
      <c r="P26" s="49" t="s">
        <v>813</v>
      </c>
      <c r="Q26" s="49" t="s">
        <v>360</v>
      </c>
    </row>
    <row r="27" spans="1:17" ht="14.4" customHeight="1" x14ac:dyDescent="0.3">
      <c r="A27" s="49" t="s">
        <v>304</v>
      </c>
      <c r="B27" s="54">
        <v>46147</v>
      </c>
      <c r="C27" s="49">
        <v>496</v>
      </c>
      <c r="D27" s="51">
        <v>1</v>
      </c>
      <c r="E27" s="49">
        <v>1</v>
      </c>
      <c r="F27" s="148">
        <v>3.6709000000000001</v>
      </c>
      <c r="G27" s="148">
        <v>8.2064000000000004</v>
      </c>
      <c r="H27" s="148">
        <v>3.5773999999999999</v>
      </c>
      <c r="I27" s="148" t="s">
        <v>257</v>
      </c>
      <c r="J27" s="148">
        <v>122062.19530000001</v>
      </c>
      <c r="K27" s="148">
        <v>522.34259999999995</v>
      </c>
      <c r="L27" s="148">
        <v>6001.3877000000002</v>
      </c>
      <c r="M27" s="148">
        <v>128.67859999999999</v>
      </c>
      <c r="N27" s="148" t="s">
        <v>257</v>
      </c>
      <c r="O27" s="51">
        <v>126.12</v>
      </c>
      <c r="P27" s="49" t="s">
        <v>813</v>
      </c>
      <c r="Q27" s="49" t="s">
        <v>360</v>
      </c>
    </row>
    <row r="28" spans="1:17" ht="14.4" customHeight="1" x14ac:dyDescent="0.3">
      <c r="A28" s="49" t="s">
        <v>304</v>
      </c>
      <c r="B28" s="54">
        <v>46147</v>
      </c>
      <c r="C28" s="49">
        <v>497</v>
      </c>
      <c r="D28" s="51">
        <v>1</v>
      </c>
      <c r="E28" s="49">
        <v>2</v>
      </c>
      <c r="F28" s="148">
        <v>4.4725000000000001</v>
      </c>
      <c r="G28" s="148">
        <v>9.3356999999999992</v>
      </c>
      <c r="H28" s="148">
        <v>4.0423999999999998</v>
      </c>
      <c r="I28" s="148" t="s">
        <v>257</v>
      </c>
      <c r="J28" s="148">
        <v>117256.7656</v>
      </c>
      <c r="K28" s="148">
        <v>533.03309999999999</v>
      </c>
      <c r="L28" s="148">
        <v>6093.1859999999997</v>
      </c>
      <c r="M28" s="148">
        <v>135.3475</v>
      </c>
      <c r="N28" s="148" t="s">
        <v>257</v>
      </c>
      <c r="O28" s="51">
        <v>126.51</v>
      </c>
      <c r="P28" s="49" t="s">
        <v>813</v>
      </c>
      <c r="Q28" s="49" t="s">
        <v>360</v>
      </c>
    </row>
    <row r="29" spans="1:17" ht="14.4" customHeight="1" x14ac:dyDescent="0.3">
      <c r="A29" s="49" t="s">
        <v>304</v>
      </c>
      <c r="B29" s="54">
        <v>46147</v>
      </c>
      <c r="C29" s="49">
        <v>499</v>
      </c>
      <c r="D29" s="51">
        <v>1.5</v>
      </c>
      <c r="E29" s="49">
        <v>1</v>
      </c>
      <c r="F29" s="148">
        <v>5.4602000000000004</v>
      </c>
      <c r="G29" s="148">
        <v>56.350999999999999</v>
      </c>
      <c r="H29" s="148">
        <v>4.9645000000000001</v>
      </c>
      <c r="I29" s="148" t="s">
        <v>257</v>
      </c>
      <c r="J29" s="148">
        <v>159981.26560000001</v>
      </c>
      <c r="K29" s="148">
        <v>594.91819999999996</v>
      </c>
      <c r="L29" s="148">
        <v>5255.9174999999996</v>
      </c>
      <c r="M29" s="148">
        <v>70.715999999999994</v>
      </c>
      <c r="N29" s="148" t="s">
        <v>257</v>
      </c>
      <c r="O29" s="51">
        <v>120.85</v>
      </c>
      <c r="P29" s="49" t="s">
        <v>813</v>
      </c>
      <c r="Q29" s="49" t="s">
        <v>360</v>
      </c>
    </row>
    <row r="30" spans="1:17" ht="14.4" customHeight="1" x14ac:dyDescent="0.3">
      <c r="A30" s="49" t="s">
        <v>304</v>
      </c>
      <c r="B30" s="54">
        <v>46147</v>
      </c>
      <c r="C30" s="49">
        <v>500</v>
      </c>
      <c r="D30" s="51">
        <v>1.5</v>
      </c>
      <c r="E30" s="49">
        <v>2</v>
      </c>
      <c r="F30" s="148" t="s">
        <v>257</v>
      </c>
      <c r="G30" s="148">
        <v>53.040700000000001</v>
      </c>
      <c r="H30" s="148" t="s">
        <v>257</v>
      </c>
      <c r="I30" s="148" t="s">
        <v>257</v>
      </c>
      <c r="J30" s="148">
        <v>159633.9375</v>
      </c>
      <c r="K30" s="148">
        <v>618.70749999999998</v>
      </c>
      <c r="L30" s="148">
        <v>4458.2772999999997</v>
      </c>
      <c r="M30" s="148">
        <v>70.807699999999997</v>
      </c>
      <c r="N30" s="148" t="s">
        <v>257</v>
      </c>
      <c r="O30" s="51">
        <v>126.35</v>
      </c>
      <c r="P30" s="49" t="s">
        <v>813</v>
      </c>
      <c r="Q30" s="49" t="s">
        <v>360</v>
      </c>
    </row>
    <row r="31" spans="1:17" ht="14.4" customHeight="1" x14ac:dyDescent="0.3">
      <c r="A31" s="49" t="s">
        <v>304</v>
      </c>
      <c r="B31" s="54">
        <v>46147</v>
      </c>
      <c r="C31" s="49">
        <v>501</v>
      </c>
      <c r="D31" s="51">
        <v>2</v>
      </c>
      <c r="E31" s="49">
        <v>1</v>
      </c>
      <c r="F31" s="148" t="s">
        <v>257</v>
      </c>
      <c r="G31" s="148">
        <v>21.744700000000002</v>
      </c>
      <c r="H31" s="148">
        <v>5.4204999999999997</v>
      </c>
      <c r="I31" s="148" t="s">
        <v>257</v>
      </c>
      <c r="J31" s="148">
        <v>96170.625</v>
      </c>
      <c r="K31" s="148">
        <v>569.31110000000001</v>
      </c>
      <c r="L31" s="148">
        <v>4625.8081000000002</v>
      </c>
      <c r="M31" s="148">
        <v>30.809899999999999</v>
      </c>
      <c r="N31" s="148" t="s">
        <v>257</v>
      </c>
      <c r="O31" s="51">
        <v>120.87</v>
      </c>
      <c r="P31" s="49" t="s">
        <v>813</v>
      </c>
      <c r="Q31" s="49" t="s">
        <v>360</v>
      </c>
    </row>
    <row r="32" spans="1:17" ht="14.4" customHeight="1" x14ac:dyDescent="0.3">
      <c r="A32" s="49" t="s">
        <v>304</v>
      </c>
      <c r="B32" s="54">
        <v>46147</v>
      </c>
      <c r="C32" s="49">
        <v>502</v>
      </c>
      <c r="D32" s="51">
        <v>2</v>
      </c>
      <c r="E32" s="49">
        <v>2</v>
      </c>
      <c r="F32" s="148">
        <v>4.5833000000000004</v>
      </c>
      <c r="G32" s="148">
        <v>30.353400000000001</v>
      </c>
      <c r="H32" s="148">
        <v>6.6489000000000003</v>
      </c>
      <c r="I32" s="148" t="s">
        <v>257</v>
      </c>
      <c r="J32" s="148">
        <v>100529.8125</v>
      </c>
      <c r="K32" s="148">
        <v>465.23239999999998</v>
      </c>
      <c r="L32" s="148">
        <v>8014.9071999999996</v>
      </c>
      <c r="M32" s="148">
        <v>41.125599999999999</v>
      </c>
      <c r="N32" s="148" t="s">
        <v>257</v>
      </c>
      <c r="O32" s="51">
        <v>120.68</v>
      </c>
      <c r="P32" s="49" t="s">
        <v>813</v>
      </c>
      <c r="Q32" s="49" t="s">
        <v>360</v>
      </c>
    </row>
    <row r="33" spans="1:17" ht="14.4" customHeight="1" x14ac:dyDescent="0.3">
      <c r="A33" s="49" t="s">
        <v>304</v>
      </c>
      <c r="B33" s="54">
        <v>46147</v>
      </c>
      <c r="C33" s="49">
        <v>503</v>
      </c>
      <c r="D33" s="51">
        <v>2.5</v>
      </c>
      <c r="E33" s="49">
        <v>1</v>
      </c>
      <c r="F33" s="148" t="s">
        <v>257</v>
      </c>
      <c r="G33" s="148">
        <v>30.631399999999999</v>
      </c>
      <c r="H33" s="148" t="s">
        <v>257</v>
      </c>
      <c r="I33" s="148" t="s">
        <v>257</v>
      </c>
      <c r="J33" s="148">
        <v>100697.7656</v>
      </c>
      <c r="K33" s="148">
        <v>908.15660000000003</v>
      </c>
      <c r="L33" s="148">
        <v>4617.6138000000001</v>
      </c>
      <c r="M33" s="148">
        <v>34.639699999999998</v>
      </c>
      <c r="N33" s="148" t="s">
        <v>257</v>
      </c>
      <c r="O33" s="51">
        <v>125.93</v>
      </c>
      <c r="P33" s="49" t="s">
        <v>813</v>
      </c>
      <c r="Q33" s="49" t="s">
        <v>360</v>
      </c>
    </row>
    <row r="34" spans="1:17" ht="14.4" customHeight="1" x14ac:dyDescent="0.3">
      <c r="A34" s="49" t="s">
        <v>304</v>
      </c>
      <c r="B34" s="54">
        <v>46147</v>
      </c>
      <c r="C34" s="49">
        <v>504</v>
      </c>
      <c r="D34" s="51">
        <v>2.5</v>
      </c>
      <c r="E34" s="49">
        <v>2</v>
      </c>
      <c r="F34" s="148" t="s">
        <v>257</v>
      </c>
      <c r="G34" s="148">
        <v>25.418700000000001</v>
      </c>
      <c r="H34" s="148">
        <v>3.1187999999999998</v>
      </c>
      <c r="I34" s="148" t="s">
        <v>257</v>
      </c>
      <c r="J34" s="148">
        <v>85248.9375</v>
      </c>
      <c r="K34" s="148">
        <v>468.88499999999999</v>
      </c>
      <c r="L34" s="148">
        <v>5494.4691999999995</v>
      </c>
      <c r="M34" s="148">
        <v>33.707900000000002</v>
      </c>
      <c r="N34" s="148" t="s">
        <v>257</v>
      </c>
      <c r="O34" s="51">
        <v>120.03</v>
      </c>
      <c r="P34" s="49" t="s">
        <v>813</v>
      </c>
      <c r="Q34" s="49" t="s">
        <v>360</v>
      </c>
    </row>
    <row r="35" spans="1:17" ht="14.4" customHeight="1" x14ac:dyDescent="0.3">
      <c r="A35" s="49" t="s">
        <v>304</v>
      </c>
      <c r="B35" s="54">
        <v>46147</v>
      </c>
      <c r="C35" s="49">
        <v>505</v>
      </c>
      <c r="D35" s="51">
        <v>3</v>
      </c>
      <c r="E35" s="49">
        <v>1</v>
      </c>
      <c r="F35" s="148" t="s">
        <v>257</v>
      </c>
      <c r="G35" s="148">
        <v>31.931000000000001</v>
      </c>
      <c r="H35" s="148">
        <v>3.3315000000000001</v>
      </c>
      <c r="I35" s="148" t="s">
        <v>257</v>
      </c>
      <c r="J35" s="148">
        <v>103909.10159999999</v>
      </c>
      <c r="K35" s="148">
        <v>720.14689999999996</v>
      </c>
      <c r="L35" s="148">
        <v>4608.0020000000004</v>
      </c>
      <c r="M35" s="148">
        <v>20.832899999999999</v>
      </c>
      <c r="N35" s="148" t="s">
        <v>257</v>
      </c>
      <c r="O35" s="51">
        <v>126.27</v>
      </c>
      <c r="P35" s="49" t="s">
        <v>813</v>
      </c>
      <c r="Q35" s="49" t="s">
        <v>360</v>
      </c>
    </row>
    <row r="36" spans="1:17" ht="14.4" customHeight="1" x14ac:dyDescent="0.3">
      <c r="A36" s="49" t="s">
        <v>304</v>
      </c>
      <c r="B36" s="54">
        <v>46147</v>
      </c>
      <c r="C36" s="49">
        <v>506</v>
      </c>
      <c r="D36" s="51">
        <v>3</v>
      </c>
      <c r="E36" s="49">
        <v>2</v>
      </c>
      <c r="F36" s="148" t="s">
        <v>257</v>
      </c>
      <c r="G36" s="148">
        <v>26.626300000000001</v>
      </c>
      <c r="H36" s="148">
        <v>7.8802000000000003</v>
      </c>
      <c r="I36" s="148" t="s">
        <v>257</v>
      </c>
      <c r="J36" s="148">
        <v>100343.08590000001</v>
      </c>
      <c r="K36" s="148">
        <v>960.93849999999998</v>
      </c>
      <c r="L36" s="148">
        <v>4262.9472999999998</v>
      </c>
      <c r="M36" s="148">
        <v>31.961400000000001</v>
      </c>
      <c r="N36" s="148">
        <v>16.598800000000001</v>
      </c>
      <c r="O36" s="51">
        <v>125.82</v>
      </c>
      <c r="P36" s="49" t="s">
        <v>813</v>
      </c>
      <c r="Q36" s="49" t="s">
        <v>360</v>
      </c>
    </row>
    <row r="37" spans="1:17" ht="14.4" customHeight="1" x14ac:dyDescent="0.3">
      <c r="A37" s="49" t="s">
        <v>304</v>
      </c>
      <c r="B37" s="54">
        <v>46147</v>
      </c>
      <c r="C37" s="49">
        <v>507</v>
      </c>
      <c r="D37" s="51">
        <v>3.5</v>
      </c>
      <c r="E37" s="49">
        <v>1</v>
      </c>
      <c r="F37" s="148" t="s">
        <v>257</v>
      </c>
      <c r="G37" s="148">
        <v>26.679300000000001</v>
      </c>
      <c r="H37" s="148">
        <v>4.2068000000000003</v>
      </c>
      <c r="I37" s="148" t="s">
        <v>257</v>
      </c>
      <c r="J37" s="148">
        <v>141799.20310000001</v>
      </c>
      <c r="K37" s="148">
        <v>3317.6282000000001</v>
      </c>
      <c r="L37" s="148">
        <v>3514.6111000000001</v>
      </c>
      <c r="M37" s="148">
        <v>31.488399999999999</v>
      </c>
      <c r="N37" s="148">
        <v>16.084199999999999</v>
      </c>
      <c r="O37" s="51">
        <v>120.45</v>
      </c>
      <c r="P37" s="49" t="s">
        <v>813</v>
      </c>
      <c r="Q37" s="49" t="s">
        <v>360</v>
      </c>
    </row>
    <row r="38" spans="1:17" ht="14.4" customHeight="1" x14ac:dyDescent="0.3">
      <c r="A38" s="49" t="s">
        <v>304</v>
      </c>
      <c r="B38" s="54">
        <v>46147</v>
      </c>
      <c r="C38" s="49">
        <v>508</v>
      </c>
      <c r="D38" s="51">
        <v>3.5</v>
      </c>
      <c r="E38" s="49">
        <v>2</v>
      </c>
      <c r="F38" s="148" t="s">
        <v>257</v>
      </c>
      <c r="G38" s="148">
        <v>36.443399999999997</v>
      </c>
      <c r="H38" s="148">
        <v>3.2747000000000002</v>
      </c>
      <c r="I38" s="148" t="s">
        <v>257</v>
      </c>
      <c r="J38" s="148">
        <v>128793.2969</v>
      </c>
      <c r="K38" s="148">
        <v>1448.3391999999999</v>
      </c>
      <c r="L38" s="148">
        <v>4289.4287000000004</v>
      </c>
      <c r="M38" s="148">
        <v>31.1081</v>
      </c>
      <c r="N38" s="148">
        <v>15.663500000000001</v>
      </c>
      <c r="O38" s="51">
        <v>126.22</v>
      </c>
      <c r="P38" s="49" t="s">
        <v>813</v>
      </c>
      <c r="Q38" s="49" t="s">
        <v>360</v>
      </c>
    </row>
    <row r="39" spans="1:17" ht="14.4" customHeight="1" x14ac:dyDescent="0.3">
      <c r="A39" s="49" t="s">
        <v>304</v>
      </c>
      <c r="B39" s="54">
        <v>46147</v>
      </c>
      <c r="C39" s="49">
        <v>509</v>
      </c>
      <c r="D39" s="51">
        <v>4</v>
      </c>
      <c r="E39" s="49">
        <v>1</v>
      </c>
      <c r="F39" s="148" t="s">
        <v>257</v>
      </c>
      <c r="G39" s="148">
        <v>20.608000000000001</v>
      </c>
      <c r="H39" s="148">
        <v>4.1811999999999996</v>
      </c>
      <c r="I39" s="148" t="s">
        <v>257</v>
      </c>
      <c r="J39" s="148">
        <v>115231.96090000001</v>
      </c>
      <c r="K39" s="148">
        <v>748.6499</v>
      </c>
      <c r="L39" s="148">
        <v>5544.1592000000001</v>
      </c>
      <c r="M39" s="148">
        <v>31.982399999999998</v>
      </c>
      <c r="N39" s="148">
        <v>12.5524</v>
      </c>
      <c r="O39" s="51">
        <v>126.02</v>
      </c>
      <c r="P39" s="49" t="s">
        <v>813</v>
      </c>
      <c r="Q39" s="49" t="s">
        <v>360</v>
      </c>
    </row>
    <row r="40" spans="1:17" ht="14.4" customHeight="1" x14ac:dyDescent="0.3">
      <c r="A40" s="49" t="s">
        <v>304</v>
      </c>
      <c r="B40" s="54">
        <v>46147</v>
      </c>
      <c r="C40" s="49">
        <v>510</v>
      </c>
      <c r="D40" s="51">
        <v>4</v>
      </c>
      <c r="E40" s="49">
        <v>2</v>
      </c>
      <c r="F40" s="148" t="s">
        <v>257</v>
      </c>
      <c r="G40" s="148">
        <v>21.779199999999999</v>
      </c>
      <c r="H40" s="148" t="s">
        <v>257</v>
      </c>
      <c r="I40" s="148" t="s">
        <v>257</v>
      </c>
      <c r="J40" s="148">
        <v>119223.1719</v>
      </c>
      <c r="K40" s="148">
        <v>811.84040000000005</v>
      </c>
      <c r="L40" s="148">
        <v>4473.7505000000001</v>
      </c>
      <c r="M40" s="148">
        <v>34.332500000000003</v>
      </c>
      <c r="N40" s="148">
        <v>5.8305999999999996</v>
      </c>
      <c r="O40" s="51">
        <v>125.93</v>
      </c>
      <c r="P40" s="49" t="s">
        <v>813</v>
      </c>
      <c r="Q40" s="49" t="s">
        <v>360</v>
      </c>
    </row>
    <row r="41" spans="1:17" ht="14.4" customHeight="1" x14ac:dyDescent="0.3">
      <c r="A41" s="46" t="s">
        <v>314</v>
      </c>
      <c r="B41" s="53">
        <v>46147</v>
      </c>
      <c r="C41" s="46">
        <v>511</v>
      </c>
      <c r="D41" s="52">
        <v>0</v>
      </c>
      <c r="E41" s="46">
        <v>1</v>
      </c>
      <c r="F41" s="147" t="s">
        <v>257</v>
      </c>
      <c r="G41" s="147">
        <v>3.3411</v>
      </c>
      <c r="H41" s="147">
        <v>5.4802999999999997</v>
      </c>
      <c r="I41" s="147" t="s">
        <v>257</v>
      </c>
      <c r="J41" s="147">
        <v>36659.320299999999</v>
      </c>
      <c r="K41" s="147">
        <v>460.1678</v>
      </c>
      <c r="L41" s="147">
        <v>987.93939999999998</v>
      </c>
      <c r="M41" s="147">
        <v>38.257399999999997</v>
      </c>
      <c r="N41" s="147" t="s">
        <v>257</v>
      </c>
      <c r="O41" s="52">
        <v>125.95</v>
      </c>
      <c r="P41" s="46" t="s">
        <v>814</v>
      </c>
      <c r="Q41" s="46" t="s">
        <v>360</v>
      </c>
    </row>
    <row r="42" spans="1:17" ht="14.4" customHeight="1" x14ac:dyDescent="0.3">
      <c r="A42" s="46" t="s">
        <v>314</v>
      </c>
      <c r="B42" s="53">
        <v>46147</v>
      </c>
      <c r="C42" s="46">
        <v>512</v>
      </c>
      <c r="D42" s="52">
        <v>0</v>
      </c>
      <c r="E42" s="46">
        <v>2</v>
      </c>
      <c r="F42" s="147" t="s">
        <v>257</v>
      </c>
      <c r="G42" s="147">
        <v>2.9363000000000001</v>
      </c>
      <c r="H42" s="147">
        <v>6.0503999999999998</v>
      </c>
      <c r="I42" s="147" t="s">
        <v>257</v>
      </c>
      <c r="J42" s="147">
        <v>35698.281199999998</v>
      </c>
      <c r="K42" s="147">
        <v>455.00349999999997</v>
      </c>
      <c r="L42" s="147">
        <v>1141.0020999999999</v>
      </c>
      <c r="M42" s="147">
        <v>32.954099999999997</v>
      </c>
      <c r="N42" s="147">
        <v>6.3418000000000001</v>
      </c>
      <c r="O42" s="52">
        <v>125.84</v>
      </c>
      <c r="P42" s="46" t="s">
        <v>814</v>
      </c>
      <c r="Q42" s="46" t="s">
        <v>360</v>
      </c>
    </row>
    <row r="43" spans="1:17" ht="14.4" customHeight="1" x14ac:dyDescent="0.3">
      <c r="A43" s="46" t="s">
        <v>314</v>
      </c>
      <c r="B43" s="53">
        <v>46147</v>
      </c>
      <c r="C43" s="46">
        <v>513</v>
      </c>
      <c r="D43" s="52">
        <v>0.5</v>
      </c>
      <c r="E43" s="46">
        <v>1</v>
      </c>
      <c r="F43" s="147" t="s">
        <v>257</v>
      </c>
      <c r="G43" s="147">
        <v>1.8796999999999999</v>
      </c>
      <c r="H43" s="147">
        <v>5.0980999999999996</v>
      </c>
      <c r="I43" s="147" t="s">
        <v>257</v>
      </c>
      <c r="J43" s="147">
        <v>34271.9375</v>
      </c>
      <c r="K43" s="147">
        <v>607.90949999999998</v>
      </c>
      <c r="L43" s="147">
        <v>719.77059999999994</v>
      </c>
      <c r="M43" s="147">
        <v>47.555399999999999</v>
      </c>
      <c r="N43" s="147">
        <v>7.9309000000000003</v>
      </c>
      <c r="O43" s="52">
        <v>120.09</v>
      </c>
      <c r="P43" s="46" t="s">
        <v>814</v>
      </c>
      <c r="Q43" s="46" t="s">
        <v>360</v>
      </c>
    </row>
    <row r="44" spans="1:17" ht="14.4" customHeight="1" x14ac:dyDescent="0.3">
      <c r="A44" s="46" t="s">
        <v>314</v>
      </c>
      <c r="B44" s="53">
        <v>46147</v>
      </c>
      <c r="C44" s="46">
        <v>514</v>
      </c>
      <c r="D44" s="52">
        <v>0.5</v>
      </c>
      <c r="E44" s="46">
        <v>2</v>
      </c>
      <c r="F44" s="147" t="s">
        <v>257</v>
      </c>
      <c r="G44" s="147">
        <v>2.3344</v>
      </c>
      <c r="H44" s="147">
        <v>8.3933</v>
      </c>
      <c r="I44" s="147" t="s">
        <v>257</v>
      </c>
      <c r="J44" s="147">
        <v>34846.136700000003</v>
      </c>
      <c r="K44" s="147">
        <v>631.15989999999999</v>
      </c>
      <c r="L44" s="147">
        <v>983.26490000000001</v>
      </c>
      <c r="M44" s="147">
        <v>51.290700000000001</v>
      </c>
      <c r="N44" s="147">
        <v>9.9742999999999995</v>
      </c>
      <c r="O44" s="52">
        <v>126.04</v>
      </c>
      <c r="P44" s="46" t="s">
        <v>814</v>
      </c>
      <c r="Q44" s="46" t="s">
        <v>360</v>
      </c>
    </row>
    <row r="45" spans="1:17" ht="14.4" customHeight="1" x14ac:dyDescent="0.3">
      <c r="A45" s="46" t="s">
        <v>314</v>
      </c>
      <c r="B45" s="53">
        <v>46147</v>
      </c>
      <c r="C45" s="46">
        <v>515</v>
      </c>
      <c r="D45" s="52">
        <v>1</v>
      </c>
      <c r="E45" s="46">
        <v>1</v>
      </c>
      <c r="F45" s="147" t="s">
        <v>257</v>
      </c>
      <c r="G45" s="147">
        <v>1.3515999999999999</v>
      </c>
      <c r="H45" s="147">
        <v>6.7797000000000001</v>
      </c>
      <c r="I45" s="147" t="s">
        <v>257</v>
      </c>
      <c r="J45" s="147">
        <v>44449.664100000002</v>
      </c>
      <c r="K45" s="147">
        <v>806.90880000000004</v>
      </c>
      <c r="L45" s="147">
        <v>594.60410000000002</v>
      </c>
      <c r="M45" s="147">
        <v>40.440100000000001</v>
      </c>
      <c r="N45" s="147" t="s">
        <v>257</v>
      </c>
      <c r="O45" s="52">
        <v>120.1</v>
      </c>
      <c r="P45" s="46" t="s">
        <v>814</v>
      </c>
      <c r="Q45" s="46" t="s">
        <v>360</v>
      </c>
    </row>
    <row r="46" spans="1:17" ht="14.4" customHeight="1" x14ac:dyDescent="0.3">
      <c r="A46" s="46" t="s">
        <v>314</v>
      </c>
      <c r="B46" s="53">
        <v>46147</v>
      </c>
      <c r="C46" s="46">
        <v>516</v>
      </c>
      <c r="D46" s="52">
        <v>1</v>
      </c>
      <c r="E46" s="46">
        <v>2</v>
      </c>
      <c r="F46" s="147" t="s">
        <v>257</v>
      </c>
      <c r="G46" s="147" t="s">
        <v>257</v>
      </c>
      <c r="H46" s="147">
        <v>7.7343999999999999</v>
      </c>
      <c r="I46" s="147" t="s">
        <v>257</v>
      </c>
      <c r="J46" s="147">
        <v>41502.078099999999</v>
      </c>
      <c r="K46" s="147">
        <v>737.09580000000005</v>
      </c>
      <c r="L46" s="147">
        <v>569.59780000000001</v>
      </c>
      <c r="M46" s="147">
        <v>38.9056</v>
      </c>
      <c r="N46" s="147" t="s">
        <v>257</v>
      </c>
      <c r="O46" s="52">
        <v>120.72</v>
      </c>
      <c r="P46" s="46" t="s">
        <v>814</v>
      </c>
      <c r="Q46" s="46" t="s">
        <v>360</v>
      </c>
    </row>
    <row r="47" spans="1:17" ht="14.4" customHeight="1" x14ac:dyDescent="0.3">
      <c r="A47" s="46" t="s">
        <v>314</v>
      </c>
      <c r="B47" s="53">
        <v>46147</v>
      </c>
      <c r="C47" s="46">
        <v>517</v>
      </c>
      <c r="D47" s="52">
        <v>1.5</v>
      </c>
      <c r="E47" s="46">
        <v>1</v>
      </c>
      <c r="F47" s="147" t="s">
        <v>257</v>
      </c>
      <c r="G47" s="147">
        <v>2.4994999999999998</v>
      </c>
      <c r="H47" s="147">
        <v>7.4499000000000004</v>
      </c>
      <c r="I47" s="147" t="s">
        <v>257</v>
      </c>
      <c r="J47" s="147">
        <v>34825.894500000002</v>
      </c>
      <c r="K47" s="147">
        <v>598.851</v>
      </c>
      <c r="L47" s="147">
        <v>929.82460000000003</v>
      </c>
      <c r="M47" s="147">
        <v>50.197400000000002</v>
      </c>
      <c r="N47" s="147">
        <v>25.2453</v>
      </c>
      <c r="O47" s="52">
        <v>125.85</v>
      </c>
      <c r="P47" s="46" t="s">
        <v>814</v>
      </c>
      <c r="Q47" s="46" t="s">
        <v>360</v>
      </c>
    </row>
    <row r="48" spans="1:17" ht="14.4" customHeight="1" x14ac:dyDescent="0.3">
      <c r="A48" s="46" t="s">
        <v>314</v>
      </c>
      <c r="B48" s="53">
        <v>46147</v>
      </c>
      <c r="C48" s="46">
        <v>518</v>
      </c>
      <c r="D48" s="52">
        <v>1.5</v>
      </c>
      <c r="E48" s="46">
        <v>2</v>
      </c>
      <c r="F48" s="147" t="s">
        <v>257</v>
      </c>
      <c r="G48" s="147" t="s">
        <v>257</v>
      </c>
      <c r="H48" s="147">
        <v>8.6328999999999994</v>
      </c>
      <c r="I48" s="147" t="s">
        <v>257</v>
      </c>
      <c r="J48" s="147">
        <v>35031.492200000001</v>
      </c>
      <c r="K48" s="147">
        <v>578.18430000000001</v>
      </c>
      <c r="L48" s="147">
        <v>1002.5132</v>
      </c>
      <c r="M48" s="147">
        <v>47.63</v>
      </c>
      <c r="N48" s="147">
        <v>16.215900000000001</v>
      </c>
      <c r="O48" s="52">
        <v>120.89</v>
      </c>
      <c r="P48" s="46" t="s">
        <v>814</v>
      </c>
      <c r="Q48" s="46" t="s">
        <v>360</v>
      </c>
    </row>
    <row r="49" spans="1:17" ht="14.4" customHeight="1" x14ac:dyDescent="0.3">
      <c r="A49" s="46" t="s">
        <v>314</v>
      </c>
      <c r="B49" s="53">
        <v>46147</v>
      </c>
      <c r="C49" s="46">
        <v>519</v>
      </c>
      <c r="D49" s="52">
        <v>2</v>
      </c>
      <c r="E49" s="46">
        <v>1</v>
      </c>
      <c r="F49" s="147" t="s">
        <v>257</v>
      </c>
      <c r="G49" s="147">
        <v>1.3927</v>
      </c>
      <c r="H49" s="147">
        <v>8.5914000000000001</v>
      </c>
      <c r="I49" s="147" t="s">
        <v>257</v>
      </c>
      <c r="J49" s="147">
        <v>40249.296900000001</v>
      </c>
      <c r="K49" s="147">
        <v>692.0299</v>
      </c>
      <c r="L49" s="147">
        <v>818.6816</v>
      </c>
      <c r="M49" s="147">
        <v>43.3902</v>
      </c>
      <c r="N49" s="147">
        <v>11.6069</v>
      </c>
      <c r="O49" s="52">
        <v>126.3</v>
      </c>
      <c r="P49" s="46" t="s">
        <v>814</v>
      </c>
      <c r="Q49" s="46" t="s">
        <v>360</v>
      </c>
    </row>
    <row r="50" spans="1:17" ht="14.4" customHeight="1" x14ac:dyDescent="0.3">
      <c r="A50" s="46" t="s">
        <v>314</v>
      </c>
      <c r="B50" s="53">
        <v>46147</v>
      </c>
      <c r="C50" s="46">
        <v>520</v>
      </c>
      <c r="D50" s="52">
        <v>2</v>
      </c>
      <c r="E50" s="46">
        <v>2</v>
      </c>
      <c r="F50" s="147" t="s">
        <v>257</v>
      </c>
      <c r="G50" s="147">
        <v>1.2869999999999999</v>
      </c>
      <c r="H50" s="147">
        <v>7.2051999999999996</v>
      </c>
      <c r="I50" s="147" t="s">
        <v>257</v>
      </c>
      <c r="J50" s="147">
        <v>40319.367200000001</v>
      </c>
      <c r="K50" s="147">
        <v>656.03520000000003</v>
      </c>
      <c r="L50" s="147">
        <v>950.03660000000002</v>
      </c>
      <c r="M50" s="147">
        <v>51.380800000000001</v>
      </c>
      <c r="N50" s="147">
        <v>8.8972999999999995</v>
      </c>
      <c r="O50" s="52">
        <v>120.21</v>
      </c>
      <c r="P50" s="46" t="s">
        <v>814</v>
      </c>
      <c r="Q50" s="46" t="s">
        <v>360</v>
      </c>
    </row>
    <row r="51" spans="1:17" ht="14.4" customHeight="1" x14ac:dyDescent="0.3">
      <c r="A51" s="46" t="s">
        <v>314</v>
      </c>
      <c r="B51" s="53">
        <v>46147</v>
      </c>
      <c r="C51" s="46">
        <v>521</v>
      </c>
      <c r="D51" s="52">
        <v>2.5</v>
      </c>
      <c r="E51" s="46">
        <v>1</v>
      </c>
      <c r="F51" s="147" t="s">
        <v>257</v>
      </c>
      <c r="G51" s="147" t="s">
        <v>257</v>
      </c>
      <c r="H51" s="147">
        <v>8.5061</v>
      </c>
      <c r="I51" s="147" t="s">
        <v>257</v>
      </c>
      <c r="J51" s="147">
        <v>35535.890599999999</v>
      </c>
      <c r="K51" s="147">
        <v>550.17359999999996</v>
      </c>
      <c r="L51" s="147">
        <v>1066.8297</v>
      </c>
      <c r="M51" s="147">
        <v>44.639899999999997</v>
      </c>
      <c r="N51" s="147">
        <v>10.5863</v>
      </c>
      <c r="O51" s="52">
        <v>126.08</v>
      </c>
      <c r="P51" s="46" t="s">
        <v>814</v>
      </c>
      <c r="Q51" s="46" t="s">
        <v>360</v>
      </c>
    </row>
    <row r="52" spans="1:17" ht="14.4" customHeight="1" x14ac:dyDescent="0.3">
      <c r="A52" s="46" t="s">
        <v>314</v>
      </c>
      <c r="B52" s="53">
        <v>46147</v>
      </c>
      <c r="C52" s="46">
        <v>522</v>
      </c>
      <c r="D52" s="52">
        <v>2.5</v>
      </c>
      <c r="E52" s="46">
        <v>2</v>
      </c>
      <c r="F52" s="147" t="s">
        <v>257</v>
      </c>
      <c r="G52" s="147" t="s">
        <v>257</v>
      </c>
      <c r="H52" s="147">
        <v>7.8479999999999999</v>
      </c>
      <c r="I52" s="147" t="s">
        <v>257</v>
      </c>
      <c r="J52" s="147">
        <v>32327.269499999999</v>
      </c>
      <c r="K52" s="147">
        <v>485.70949999999999</v>
      </c>
      <c r="L52" s="147">
        <v>879.04269999999997</v>
      </c>
      <c r="M52" s="147">
        <v>43.0518</v>
      </c>
      <c r="N52" s="147">
        <v>6.7304000000000004</v>
      </c>
      <c r="O52" s="52">
        <v>120.11</v>
      </c>
      <c r="P52" s="46" t="s">
        <v>814</v>
      </c>
      <c r="Q52" s="46" t="s">
        <v>360</v>
      </c>
    </row>
    <row r="53" spans="1:17" ht="14.4" customHeight="1" x14ac:dyDescent="0.3">
      <c r="A53" s="46" t="s">
        <v>314</v>
      </c>
      <c r="B53" s="53">
        <v>46147</v>
      </c>
      <c r="C53" s="46">
        <v>523</v>
      </c>
      <c r="D53" s="52">
        <v>3</v>
      </c>
      <c r="E53" s="46">
        <v>1</v>
      </c>
      <c r="F53" s="147" t="s">
        <v>257</v>
      </c>
      <c r="G53" s="147">
        <v>3.8595999999999999</v>
      </c>
      <c r="H53" s="147">
        <v>5.3525</v>
      </c>
      <c r="I53" s="147" t="s">
        <v>257</v>
      </c>
      <c r="J53" s="147">
        <v>35399.875</v>
      </c>
      <c r="K53" s="147">
        <v>568.84580000000005</v>
      </c>
      <c r="L53" s="147">
        <v>1473.7203</v>
      </c>
      <c r="M53" s="147">
        <v>42.168900000000001</v>
      </c>
      <c r="N53" s="147">
        <v>8.5160999999999998</v>
      </c>
      <c r="O53" s="52">
        <v>126.22</v>
      </c>
      <c r="P53" s="46" t="s">
        <v>814</v>
      </c>
      <c r="Q53" s="46" t="s">
        <v>360</v>
      </c>
    </row>
    <row r="54" spans="1:17" ht="14.4" customHeight="1" x14ac:dyDescent="0.3">
      <c r="A54" s="46" t="s">
        <v>314</v>
      </c>
      <c r="B54" s="53">
        <v>46147</v>
      </c>
      <c r="C54" s="46">
        <v>524</v>
      </c>
      <c r="D54" s="52">
        <v>3</v>
      </c>
      <c r="E54" s="46">
        <v>2</v>
      </c>
      <c r="F54" s="147" t="s">
        <v>257</v>
      </c>
      <c r="G54" s="147">
        <v>3.3593000000000002</v>
      </c>
      <c r="H54" s="147">
        <v>5.7359999999999998</v>
      </c>
      <c r="I54" s="147" t="s">
        <v>257</v>
      </c>
      <c r="J54" s="147">
        <v>36573.601600000002</v>
      </c>
      <c r="K54" s="147">
        <v>569.46839999999997</v>
      </c>
      <c r="L54" s="147">
        <v>1447.5721000000001</v>
      </c>
      <c r="M54" s="147">
        <v>39.082000000000001</v>
      </c>
      <c r="N54" s="147">
        <v>8.8385999999999996</v>
      </c>
      <c r="O54" s="52">
        <v>126.01</v>
      </c>
      <c r="P54" s="46" t="s">
        <v>814</v>
      </c>
      <c r="Q54" s="46" t="s">
        <v>360</v>
      </c>
    </row>
    <row r="55" spans="1:17" ht="14.4" customHeight="1" x14ac:dyDescent="0.3">
      <c r="A55" s="46" t="s">
        <v>314</v>
      </c>
      <c r="B55" s="53">
        <v>46147</v>
      </c>
      <c r="C55" s="46">
        <v>525</v>
      </c>
      <c r="D55" s="52">
        <v>3.5</v>
      </c>
      <c r="E55" s="46">
        <v>1</v>
      </c>
      <c r="F55" s="147" t="s">
        <v>257</v>
      </c>
      <c r="G55" s="147">
        <v>4.4855999999999998</v>
      </c>
      <c r="H55" s="147">
        <v>6.7655000000000003</v>
      </c>
      <c r="I55" s="147" t="s">
        <v>257</v>
      </c>
      <c r="J55" s="147">
        <v>37091.261700000003</v>
      </c>
      <c r="K55" s="147">
        <v>626.60889999999995</v>
      </c>
      <c r="L55" s="147">
        <v>1950.0808</v>
      </c>
      <c r="M55" s="147">
        <v>45.167400000000001</v>
      </c>
      <c r="N55" s="147">
        <v>14.976699999999999</v>
      </c>
      <c r="O55" s="52">
        <v>120.54</v>
      </c>
      <c r="P55" s="46" t="s">
        <v>814</v>
      </c>
      <c r="Q55" s="46" t="s">
        <v>360</v>
      </c>
    </row>
    <row r="56" spans="1:17" ht="14.4" customHeight="1" x14ac:dyDescent="0.3">
      <c r="A56" s="46" t="s">
        <v>314</v>
      </c>
      <c r="B56" s="53">
        <v>46147</v>
      </c>
      <c r="C56" s="46">
        <v>526</v>
      </c>
      <c r="D56" s="52">
        <v>3.5</v>
      </c>
      <c r="E56" s="46">
        <v>2</v>
      </c>
      <c r="F56" s="147" t="s">
        <v>257</v>
      </c>
      <c r="G56" s="147">
        <v>4.4443999999999999</v>
      </c>
      <c r="H56" s="147">
        <v>8.6753</v>
      </c>
      <c r="I56" s="147" t="s">
        <v>257</v>
      </c>
      <c r="J56" s="147">
        <v>37146.992200000001</v>
      </c>
      <c r="K56" s="147">
        <v>641.11760000000004</v>
      </c>
      <c r="L56" s="147">
        <v>1871.9899</v>
      </c>
      <c r="M56" s="147">
        <v>47.674100000000003</v>
      </c>
      <c r="N56" s="147">
        <v>15.0947</v>
      </c>
      <c r="O56" s="52">
        <v>120.59</v>
      </c>
      <c r="P56" s="46" t="s">
        <v>814</v>
      </c>
      <c r="Q56" s="46" t="s">
        <v>360</v>
      </c>
    </row>
    <row r="57" spans="1:17" ht="14.4" customHeight="1" x14ac:dyDescent="0.3">
      <c r="A57" s="46" t="s">
        <v>314</v>
      </c>
      <c r="B57" s="53">
        <v>46147</v>
      </c>
      <c r="C57" s="46">
        <v>527</v>
      </c>
      <c r="D57" s="52">
        <v>4</v>
      </c>
      <c r="E57" s="46">
        <v>1</v>
      </c>
      <c r="F57" s="147" t="s">
        <v>257</v>
      </c>
      <c r="G57" s="147" t="s">
        <v>257</v>
      </c>
      <c r="H57" s="147">
        <v>6.5342000000000002</v>
      </c>
      <c r="I57" s="147" t="s">
        <v>257</v>
      </c>
      <c r="J57" s="147">
        <v>31411.351600000002</v>
      </c>
      <c r="K57" s="147">
        <v>537.74580000000003</v>
      </c>
      <c r="L57" s="147">
        <v>384.31709999999998</v>
      </c>
      <c r="M57" s="147">
        <v>40.340899999999998</v>
      </c>
      <c r="N57" s="147">
        <v>5.8289</v>
      </c>
      <c r="O57" s="52">
        <v>126.32</v>
      </c>
      <c r="P57" s="46" t="s">
        <v>814</v>
      </c>
      <c r="Q57" s="46" t="s">
        <v>360</v>
      </c>
    </row>
    <row r="58" spans="1:17" ht="14.4" customHeight="1" x14ac:dyDescent="0.3">
      <c r="A58" s="46" t="s">
        <v>314</v>
      </c>
      <c r="B58" s="53">
        <v>46147</v>
      </c>
      <c r="C58" s="46">
        <v>528</v>
      </c>
      <c r="D58" s="52">
        <v>4</v>
      </c>
      <c r="E58" s="46">
        <v>2</v>
      </c>
      <c r="F58" s="147" t="s">
        <v>257</v>
      </c>
      <c r="G58" s="147" t="s">
        <v>257</v>
      </c>
      <c r="H58" s="147">
        <v>6.3112000000000004</v>
      </c>
      <c r="I58" s="147" t="s">
        <v>257</v>
      </c>
      <c r="J58" s="147">
        <v>30458.156200000001</v>
      </c>
      <c r="K58" s="147">
        <v>565.56050000000005</v>
      </c>
      <c r="L58" s="147">
        <v>275.88959999999997</v>
      </c>
      <c r="M58" s="147">
        <v>34.118400000000001</v>
      </c>
      <c r="N58" s="147" t="s">
        <v>257</v>
      </c>
      <c r="O58" s="52">
        <v>126.33</v>
      </c>
      <c r="P58" s="46" t="s">
        <v>814</v>
      </c>
      <c r="Q58" s="46" t="s">
        <v>360</v>
      </c>
    </row>
    <row r="59" spans="1:17" ht="14.4" customHeight="1" x14ac:dyDescent="0.3">
      <c r="A59" s="49" t="s">
        <v>335</v>
      </c>
      <c r="B59" s="54">
        <v>46147</v>
      </c>
      <c r="C59" s="49">
        <v>529</v>
      </c>
      <c r="D59" s="51">
        <v>0</v>
      </c>
      <c r="E59" s="49">
        <v>1</v>
      </c>
      <c r="F59" s="148">
        <v>3.5209000000000001</v>
      </c>
      <c r="G59" s="148" t="s">
        <v>257</v>
      </c>
      <c r="H59" s="148">
        <v>7.1601999999999997</v>
      </c>
      <c r="I59" s="148" t="s">
        <v>257</v>
      </c>
      <c r="J59" s="148">
        <v>35636.164100000002</v>
      </c>
      <c r="K59" s="148">
        <v>534.31399999999996</v>
      </c>
      <c r="L59" s="148">
        <v>4914.0825000000004</v>
      </c>
      <c r="M59" s="148">
        <v>47.708799999999997</v>
      </c>
      <c r="N59" s="148">
        <v>53.651000000000003</v>
      </c>
      <c r="O59" s="51">
        <v>120.66</v>
      </c>
      <c r="P59" s="49" t="s">
        <v>814</v>
      </c>
      <c r="Q59" s="49" t="s">
        <v>360</v>
      </c>
    </row>
    <row r="60" spans="1:17" ht="14.4" customHeight="1" x14ac:dyDescent="0.3">
      <c r="A60" s="49" t="s">
        <v>335</v>
      </c>
      <c r="B60" s="54">
        <v>46147</v>
      </c>
      <c r="C60" s="49">
        <v>530</v>
      </c>
      <c r="D60" s="51">
        <v>0</v>
      </c>
      <c r="E60" s="49">
        <v>2</v>
      </c>
      <c r="F60" s="148" t="s">
        <v>257</v>
      </c>
      <c r="G60" s="148" t="s">
        <v>257</v>
      </c>
      <c r="H60" s="148">
        <v>4.9381000000000004</v>
      </c>
      <c r="I60" s="148" t="s">
        <v>257</v>
      </c>
      <c r="J60" s="148">
        <v>34883.554700000001</v>
      </c>
      <c r="K60" s="148">
        <v>491.02300000000002</v>
      </c>
      <c r="L60" s="148">
        <v>4399.8999000000003</v>
      </c>
      <c r="M60" s="148">
        <v>46.601500000000001</v>
      </c>
      <c r="N60" s="148">
        <v>35.423099999999998</v>
      </c>
      <c r="O60" s="51">
        <v>120.06</v>
      </c>
      <c r="P60" s="49" t="s">
        <v>814</v>
      </c>
      <c r="Q60" s="49" t="s">
        <v>360</v>
      </c>
    </row>
    <row r="61" spans="1:17" ht="14.4" customHeight="1" x14ac:dyDescent="0.3">
      <c r="A61" s="49" t="s">
        <v>335</v>
      </c>
      <c r="B61" s="54">
        <v>46147</v>
      </c>
      <c r="C61" s="49">
        <v>531</v>
      </c>
      <c r="D61" s="51">
        <v>0.5</v>
      </c>
      <c r="E61" s="49">
        <v>1</v>
      </c>
      <c r="F61" s="148" t="s">
        <v>257</v>
      </c>
      <c r="G61" s="148" t="s">
        <v>257</v>
      </c>
      <c r="H61" s="148">
        <v>7.9710000000000001</v>
      </c>
      <c r="I61" s="148" t="s">
        <v>257</v>
      </c>
      <c r="J61" s="148">
        <v>47807.527300000002</v>
      </c>
      <c r="K61" s="148">
        <v>790.98919999999998</v>
      </c>
      <c r="L61" s="148">
        <v>4828.1670000000004</v>
      </c>
      <c r="M61" s="148">
        <v>38.8187</v>
      </c>
      <c r="N61" s="148">
        <v>10.989699999999999</v>
      </c>
      <c r="O61" s="51">
        <v>120.12</v>
      </c>
      <c r="P61" s="49" t="s">
        <v>814</v>
      </c>
      <c r="Q61" s="49" t="s">
        <v>360</v>
      </c>
    </row>
    <row r="62" spans="1:17" ht="14.4" customHeight="1" x14ac:dyDescent="0.3">
      <c r="A62" s="49" t="s">
        <v>335</v>
      </c>
      <c r="B62" s="54">
        <v>46147</v>
      </c>
      <c r="C62" s="49">
        <v>532</v>
      </c>
      <c r="D62" s="51">
        <v>0.5</v>
      </c>
      <c r="E62" s="49">
        <v>2</v>
      </c>
      <c r="F62" s="148">
        <v>4.4755000000000003</v>
      </c>
      <c r="G62" s="148" t="s">
        <v>257</v>
      </c>
      <c r="H62" s="148">
        <v>7.7668999999999997</v>
      </c>
      <c r="I62" s="148" t="s">
        <v>257</v>
      </c>
      <c r="J62" s="148">
        <v>43371.769500000002</v>
      </c>
      <c r="K62" s="148">
        <v>694.77710000000002</v>
      </c>
      <c r="L62" s="148">
        <v>5539.0853999999999</v>
      </c>
      <c r="M62" s="148">
        <v>40.885199999999998</v>
      </c>
      <c r="N62" s="148">
        <v>11.7073</v>
      </c>
      <c r="O62" s="51">
        <v>120.38</v>
      </c>
      <c r="P62" s="49" t="s">
        <v>814</v>
      </c>
      <c r="Q62" s="49" t="s">
        <v>360</v>
      </c>
    </row>
    <row r="63" spans="1:17" ht="14.4" customHeight="1" x14ac:dyDescent="0.3">
      <c r="A63" s="49" t="s">
        <v>335</v>
      </c>
      <c r="B63" s="54">
        <v>46147</v>
      </c>
      <c r="C63" s="49">
        <v>533</v>
      </c>
      <c r="D63" s="51">
        <v>1</v>
      </c>
      <c r="E63" s="49">
        <v>1</v>
      </c>
      <c r="F63" s="148">
        <v>5.9095000000000004</v>
      </c>
      <c r="G63" s="148" t="s">
        <v>257</v>
      </c>
      <c r="H63" s="148">
        <v>7.1540999999999997</v>
      </c>
      <c r="I63" s="148" t="s">
        <v>257</v>
      </c>
      <c r="J63" s="148">
        <v>50117.203099999999</v>
      </c>
      <c r="K63" s="148">
        <v>912.56569999999999</v>
      </c>
      <c r="L63" s="148">
        <v>5784.0020000000004</v>
      </c>
      <c r="M63" s="148">
        <v>40.154800000000002</v>
      </c>
      <c r="N63" s="148">
        <v>8.9688999999999997</v>
      </c>
      <c r="O63" s="51">
        <v>120.53</v>
      </c>
      <c r="P63" s="49" t="s">
        <v>814</v>
      </c>
      <c r="Q63" s="49" t="s">
        <v>360</v>
      </c>
    </row>
    <row r="64" spans="1:17" ht="14.4" customHeight="1" x14ac:dyDescent="0.3">
      <c r="A64" s="49" t="s">
        <v>335</v>
      </c>
      <c r="B64" s="54">
        <v>46147</v>
      </c>
      <c r="C64" s="49">
        <v>534</v>
      </c>
      <c r="D64" s="51">
        <v>1</v>
      </c>
      <c r="E64" s="49">
        <v>2</v>
      </c>
      <c r="F64" s="148">
        <v>6.6586999999999996</v>
      </c>
      <c r="G64" s="148" t="s">
        <v>257</v>
      </c>
      <c r="H64" s="148">
        <v>9.4316999999999993</v>
      </c>
      <c r="I64" s="148" t="s">
        <v>257</v>
      </c>
      <c r="J64" s="148">
        <v>46114.472699999998</v>
      </c>
      <c r="K64" s="148">
        <v>894.86320000000001</v>
      </c>
      <c r="L64" s="148">
        <v>5639.4940999999999</v>
      </c>
      <c r="M64" s="148">
        <v>45.926499999999997</v>
      </c>
      <c r="N64" s="148">
        <v>12.641299999999999</v>
      </c>
      <c r="O64" s="51">
        <v>126.19</v>
      </c>
      <c r="P64" s="49" t="s">
        <v>814</v>
      </c>
      <c r="Q64" s="49" t="s">
        <v>360</v>
      </c>
    </row>
    <row r="65" spans="1:17" ht="14.4" customHeight="1" x14ac:dyDescent="0.3">
      <c r="A65" s="49" t="s">
        <v>335</v>
      </c>
      <c r="B65" s="54">
        <v>46147</v>
      </c>
      <c r="C65" s="49">
        <v>535</v>
      </c>
      <c r="D65" s="51">
        <v>1.5</v>
      </c>
      <c r="E65" s="49">
        <v>1</v>
      </c>
      <c r="F65" s="148">
        <v>7.2497999999999996</v>
      </c>
      <c r="G65" s="148" t="s">
        <v>257</v>
      </c>
      <c r="H65" s="148">
        <v>9.7977000000000007</v>
      </c>
      <c r="I65" s="148" t="s">
        <v>257</v>
      </c>
      <c r="J65" s="148">
        <v>41562.851600000002</v>
      </c>
      <c r="K65" s="148">
        <v>606.39739999999995</v>
      </c>
      <c r="L65" s="148">
        <v>4795.0928000000004</v>
      </c>
      <c r="M65" s="148">
        <v>43.061799999999998</v>
      </c>
      <c r="N65" s="148">
        <v>11.148</v>
      </c>
      <c r="O65" s="51">
        <v>120.22</v>
      </c>
      <c r="P65" s="49" t="s">
        <v>814</v>
      </c>
      <c r="Q65" s="49" t="s">
        <v>360</v>
      </c>
    </row>
    <row r="66" spans="1:17" ht="14.4" customHeight="1" x14ac:dyDescent="0.3">
      <c r="A66" s="49" t="s">
        <v>335</v>
      </c>
      <c r="B66" s="54">
        <v>46147</v>
      </c>
      <c r="C66" s="49">
        <v>536</v>
      </c>
      <c r="D66" s="51">
        <v>1.5</v>
      </c>
      <c r="E66" s="49">
        <v>2</v>
      </c>
      <c r="F66" s="148">
        <v>4.2256</v>
      </c>
      <c r="G66" s="148" t="s">
        <v>257</v>
      </c>
      <c r="H66" s="148">
        <v>7.5317999999999996</v>
      </c>
      <c r="I66" s="148" t="s">
        <v>257</v>
      </c>
      <c r="J66" s="148">
        <v>39037.929700000001</v>
      </c>
      <c r="K66" s="148">
        <v>584.13639999999998</v>
      </c>
      <c r="L66" s="148">
        <v>4851.6436000000003</v>
      </c>
      <c r="M66" s="148">
        <v>48.978299999999997</v>
      </c>
      <c r="N66" s="148">
        <v>15.870699999999999</v>
      </c>
      <c r="O66" s="51">
        <v>120.71</v>
      </c>
      <c r="P66" s="49" t="s">
        <v>814</v>
      </c>
      <c r="Q66" s="49" t="s">
        <v>360</v>
      </c>
    </row>
    <row r="67" spans="1:17" ht="14.4" customHeight="1" x14ac:dyDescent="0.3">
      <c r="A67" s="49" t="s">
        <v>335</v>
      </c>
      <c r="B67" s="54">
        <v>46147</v>
      </c>
      <c r="C67" s="49">
        <v>537</v>
      </c>
      <c r="D67" s="51">
        <v>2</v>
      </c>
      <c r="E67" s="49">
        <v>1</v>
      </c>
      <c r="F67" s="148" t="s">
        <v>257</v>
      </c>
      <c r="G67" s="148" t="s">
        <v>257</v>
      </c>
      <c r="H67" s="148">
        <v>8.0078999999999994</v>
      </c>
      <c r="I67" s="148" t="s">
        <v>257</v>
      </c>
      <c r="J67" s="148">
        <v>39472.664100000002</v>
      </c>
      <c r="K67" s="148">
        <v>657.45330000000001</v>
      </c>
      <c r="L67" s="148">
        <v>3099.6770000000001</v>
      </c>
      <c r="M67" s="148">
        <v>45.561500000000002</v>
      </c>
      <c r="N67" s="148">
        <v>12.2921</v>
      </c>
      <c r="O67" s="51">
        <v>120.62</v>
      </c>
      <c r="P67" s="49" t="s">
        <v>814</v>
      </c>
      <c r="Q67" s="49" t="s">
        <v>360</v>
      </c>
    </row>
    <row r="68" spans="1:17" ht="14.4" customHeight="1" x14ac:dyDescent="0.3">
      <c r="A68" s="49" t="s">
        <v>335</v>
      </c>
      <c r="B68" s="54">
        <v>46147</v>
      </c>
      <c r="C68" s="49">
        <v>538</v>
      </c>
      <c r="D68" s="51">
        <v>2</v>
      </c>
      <c r="E68" s="49">
        <v>2</v>
      </c>
      <c r="F68" s="148">
        <v>3.0350000000000001</v>
      </c>
      <c r="G68" s="148" t="s">
        <v>257</v>
      </c>
      <c r="H68" s="148">
        <v>7.3174000000000001</v>
      </c>
      <c r="I68" s="148" t="s">
        <v>257</v>
      </c>
      <c r="J68" s="148">
        <v>40772.785199999998</v>
      </c>
      <c r="K68" s="148">
        <v>698.05079999999998</v>
      </c>
      <c r="L68" s="148">
        <v>3083.261</v>
      </c>
      <c r="M68" s="148">
        <v>44.706400000000002</v>
      </c>
      <c r="N68" s="148">
        <v>16.034199999999998</v>
      </c>
      <c r="O68" s="51">
        <v>126.13</v>
      </c>
      <c r="P68" s="49" t="s">
        <v>814</v>
      </c>
      <c r="Q68" s="49" t="s">
        <v>360</v>
      </c>
    </row>
    <row r="69" spans="1:17" ht="14.4" customHeight="1" x14ac:dyDescent="0.3">
      <c r="A69" s="49" t="s">
        <v>335</v>
      </c>
      <c r="B69" s="54">
        <v>46147</v>
      </c>
      <c r="C69" s="49">
        <v>539</v>
      </c>
      <c r="D69" s="51">
        <v>2.5</v>
      </c>
      <c r="E69" s="49">
        <v>1</v>
      </c>
      <c r="F69" s="148" t="s">
        <v>257</v>
      </c>
      <c r="G69" s="148" t="s">
        <v>257</v>
      </c>
      <c r="H69" s="148">
        <v>5.8676000000000004</v>
      </c>
      <c r="I69" s="148" t="s">
        <v>257</v>
      </c>
      <c r="J69" s="148">
        <v>38507.453099999999</v>
      </c>
      <c r="K69" s="148">
        <v>598.41189999999995</v>
      </c>
      <c r="L69" s="148">
        <v>2949.3665000000001</v>
      </c>
      <c r="M69" s="148">
        <v>41.675600000000003</v>
      </c>
      <c r="N69" s="148">
        <v>4.2602000000000002</v>
      </c>
      <c r="O69" s="51">
        <v>120.46</v>
      </c>
      <c r="P69" s="49" t="s">
        <v>814</v>
      </c>
      <c r="Q69" s="49" t="s">
        <v>360</v>
      </c>
    </row>
    <row r="70" spans="1:17" ht="14.4" customHeight="1" x14ac:dyDescent="0.3">
      <c r="A70" s="49" t="s">
        <v>335</v>
      </c>
      <c r="B70" s="54">
        <v>46147</v>
      </c>
      <c r="C70" s="49">
        <v>540</v>
      </c>
      <c r="D70" s="51">
        <v>2.5</v>
      </c>
      <c r="E70" s="49">
        <v>2</v>
      </c>
      <c r="F70" s="148" t="s">
        <v>257</v>
      </c>
      <c r="G70" s="148" t="s">
        <v>257</v>
      </c>
      <c r="H70" s="148">
        <v>5.3441000000000001</v>
      </c>
      <c r="I70" s="148" t="s">
        <v>257</v>
      </c>
      <c r="J70" s="148">
        <v>38049.886700000003</v>
      </c>
      <c r="K70" s="148">
        <v>589.68610000000001</v>
      </c>
      <c r="L70" s="148">
        <v>2350.5441999999998</v>
      </c>
      <c r="M70" s="148">
        <v>40.7727</v>
      </c>
      <c r="N70" s="148" t="s">
        <v>257</v>
      </c>
      <c r="O70" s="51">
        <v>120.08</v>
      </c>
      <c r="P70" s="49" t="s">
        <v>814</v>
      </c>
      <c r="Q70" s="49" t="s">
        <v>360</v>
      </c>
    </row>
    <row r="71" spans="1:17" ht="14.4" customHeight="1" x14ac:dyDescent="0.3">
      <c r="A71" s="49" t="s">
        <v>335</v>
      </c>
      <c r="B71" s="54">
        <v>46147</v>
      </c>
      <c r="C71" s="49">
        <v>541</v>
      </c>
      <c r="D71" s="51">
        <v>3</v>
      </c>
      <c r="E71" s="49">
        <v>1</v>
      </c>
      <c r="F71" s="148" t="s">
        <v>257</v>
      </c>
      <c r="G71" s="148" t="s">
        <v>257</v>
      </c>
      <c r="H71" s="148">
        <v>6.1269999999999998</v>
      </c>
      <c r="I71" s="148" t="s">
        <v>257</v>
      </c>
      <c r="J71" s="148">
        <v>43884.578099999999</v>
      </c>
      <c r="K71" s="148">
        <v>881.34130000000005</v>
      </c>
      <c r="L71" s="148">
        <v>2943.7017000000001</v>
      </c>
      <c r="M71" s="148">
        <v>37.411799999999999</v>
      </c>
      <c r="N71" s="148">
        <v>4.9950000000000001</v>
      </c>
      <c r="O71" s="51">
        <v>126.06</v>
      </c>
      <c r="P71" s="49" t="s">
        <v>814</v>
      </c>
      <c r="Q71" s="49" t="s">
        <v>360</v>
      </c>
    </row>
    <row r="72" spans="1:17" ht="14.4" customHeight="1" x14ac:dyDescent="0.3">
      <c r="A72" s="49" t="s">
        <v>335</v>
      </c>
      <c r="B72" s="54">
        <v>46147</v>
      </c>
      <c r="C72" s="49">
        <v>542</v>
      </c>
      <c r="D72" s="51">
        <v>3</v>
      </c>
      <c r="E72" s="49">
        <v>2</v>
      </c>
      <c r="F72" s="148">
        <v>2.5691999999999999</v>
      </c>
      <c r="G72" s="148" t="s">
        <v>257</v>
      </c>
      <c r="H72" s="148">
        <v>6.0026000000000002</v>
      </c>
      <c r="I72" s="148" t="s">
        <v>257</v>
      </c>
      <c r="J72" s="148">
        <v>41466.160199999998</v>
      </c>
      <c r="K72" s="148">
        <v>726.45240000000001</v>
      </c>
      <c r="L72" s="148">
        <v>2963.1527999999998</v>
      </c>
      <c r="M72" s="148">
        <v>41.793599999999998</v>
      </c>
      <c r="N72" s="148">
        <v>6.1692999999999998</v>
      </c>
      <c r="O72" s="51">
        <v>120.65</v>
      </c>
      <c r="P72" s="49" t="s">
        <v>814</v>
      </c>
      <c r="Q72" s="49" t="s">
        <v>360</v>
      </c>
    </row>
    <row r="73" spans="1:17" ht="14.4" customHeight="1" x14ac:dyDescent="0.3">
      <c r="A73" s="49" t="s">
        <v>335</v>
      </c>
      <c r="B73" s="54">
        <v>46147</v>
      </c>
      <c r="C73" s="49">
        <v>543</v>
      </c>
      <c r="D73" s="51">
        <v>3.5</v>
      </c>
      <c r="E73" s="49">
        <v>1</v>
      </c>
      <c r="F73" s="148">
        <v>2.9455</v>
      </c>
      <c r="G73" s="148" t="s">
        <v>257</v>
      </c>
      <c r="H73" s="148">
        <v>6.1348000000000003</v>
      </c>
      <c r="I73" s="148" t="s">
        <v>257</v>
      </c>
      <c r="J73" s="148">
        <v>35939.683599999997</v>
      </c>
      <c r="K73" s="148">
        <v>576.19650000000001</v>
      </c>
      <c r="L73" s="148">
        <v>3429.7102</v>
      </c>
      <c r="M73" s="148">
        <v>34.352699999999999</v>
      </c>
      <c r="N73" s="148">
        <v>4.6104000000000003</v>
      </c>
      <c r="O73" s="51">
        <v>125.83</v>
      </c>
      <c r="P73" s="49" t="s">
        <v>814</v>
      </c>
      <c r="Q73" s="49" t="s">
        <v>360</v>
      </c>
    </row>
    <row r="74" spans="1:17" ht="14.4" customHeight="1" x14ac:dyDescent="0.3">
      <c r="A74" s="49" t="s">
        <v>335</v>
      </c>
      <c r="B74" s="54">
        <v>46147</v>
      </c>
      <c r="C74" s="49">
        <v>544</v>
      </c>
      <c r="D74" s="51">
        <v>3.5</v>
      </c>
      <c r="E74" s="49">
        <v>2</v>
      </c>
      <c r="F74" s="148" t="s">
        <v>257</v>
      </c>
      <c r="G74" s="148" t="s">
        <v>257</v>
      </c>
      <c r="H74" s="148">
        <v>5.5641999999999996</v>
      </c>
      <c r="I74" s="148" t="s">
        <v>257</v>
      </c>
      <c r="J74" s="148">
        <v>35707.589800000002</v>
      </c>
      <c r="K74" s="148">
        <v>557.03229999999996</v>
      </c>
      <c r="L74" s="148">
        <v>3354.0396000000001</v>
      </c>
      <c r="M74" s="148">
        <v>34.230899999999998</v>
      </c>
      <c r="N74" s="148">
        <v>8.4605999999999995</v>
      </c>
      <c r="O74" s="51">
        <v>120.07</v>
      </c>
      <c r="P74" s="49" t="s">
        <v>814</v>
      </c>
      <c r="Q74" s="49" t="s">
        <v>360</v>
      </c>
    </row>
    <row r="75" spans="1:17" ht="14.4" customHeight="1" x14ac:dyDescent="0.3">
      <c r="A75" s="49" t="s">
        <v>335</v>
      </c>
      <c r="B75" s="54">
        <v>46147</v>
      </c>
      <c r="C75" s="49">
        <v>545</v>
      </c>
      <c r="D75" s="51">
        <v>4</v>
      </c>
      <c r="E75" s="49">
        <v>1</v>
      </c>
      <c r="F75" s="148">
        <v>3.4578000000000002</v>
      </c>
      <c r="G75" s="148" t="s">
        <v>257</v>
      </c>
      <c r="H75" s="148">
        <v>6.4336000000000002</v>
      </c>
      <c r="I75" s="148" t="s">
        <v>257</v>
      </c>
      <c r="J75" s="148">
        <v>38688</v>
      </c>
      <c r="K75" s="148">
        <v>602.39440000000002</v>
      </c>
      <c r="L75" s="148">
        <v>4666.5038999999997</v>
      </c>
      <c r="M75" s="148">
        <v>32.802700000000002</v>
      </c>
      <c r="N75" s="148" t="s">
        <v>257</v>
      </c>
      <c r="O75" s="51">
        <v>125.96</v>
      </c>
      <c r="P75" s="49" t="s">
        <v>814</v>
      </c>
      <c r="Q75" s="49" t="s">
        <v>360</v>
      </c>
    </row>
    <row r="76" spans="1:17" ht="14.4" customHeight="1" x14ac:dyDescent="0.3">
      <c r="A76" s="49" t="s">
        <v>335</v>
      </c>
      <c r="B76" s="54">
        <v>46147</v>
      </c>
      <c r="C76" s="49">
        <v>546</v>
      </c>
      <c r="D76" s="51">
        <v>4</v>
      </c>
      <c r="E76" s="49">
        <v>2</v>
      </c>
      <c r="F76" s="148">
        <v>7.9630999999999998</v>
      </c>
      <c r="G76" s="148" t="s">
        <v>257</v>
      </c>
      <c r="H76" s="148">
        <v>5.2885999999999997</v>
      </c>
      <c r="I76" s="148" t="s">
        <v>257</v>
      </c>
      <c r="J76" s="148">
        <v>44600.6875</v>
      </c>
      <c r="K76" s="148">
        <v>657.01610000000005</v>
      </c>
      <c r="L76" s="148" t="s">
        <v>257</v>
      </c>
      <c r="M76" s="148">
        <v>35.776899999999998</v>
      </c>
      <c r="N76" s="148" t="s">
        <v>257</v>
      </c>
      <c r="O76" s="51">
        <v>90.51</v>
      </c>
      <c r="P76" s="49" t="s">
        <v>814</v>
      </c>
      <c r="Q76" s="49" t="s">
        <v>360</v>
      </c>
    </row>
    <row r="77" spans="1:17" ht="14.4" customHeight="1" x14ac:dyDescent="0.3">
      <c r="A77" s="49" t="s">
        <v>335</v>
      </c>
      <c r="B77" s="54">
        <v>46147</v>
      </c>
      <c r="C77" s="49">
        <v>547</v>
      </c>
      <c r="D77" s="51">
        <v>4</v>
      </c>
      <c r="E77" s="49">
        <v>3</v>
      </c>
      <c r="F77" s="148">
        <v>3.5760000000000001</v>
      </c>
      <c r="G77" s="148" t="s">
        <v>257</v>
      </c>
      <c r="H77" s="148">
        <v>3.9165000000000001</v>
      </c>
      <c r="I77" s="148" t="s">
        <v>257</v>
      </c>
      <c r="J77" s="148">
        <v>37125.378900000003</v>
      </c>
      <c r="K77" s="148">
        <v>582.93010000000004</v>
      </c>
      <c r="L77" s="148">
        <v>3531.4904999999999</v>
      </c>
      <c r="M77" s="148">
        <v>39.090400000000002</v>
      </c>
      <c r="N77" s="148">
        <v>7.9260000000000002</v>
      </c>
      <c r="O77" s="51">
        <v>125.83</v>
      </c>
      <c r="P77" s="49" t="s">
        <v>814</v>
      </c>
      <c r="Q77" s="49" t="s">
        <v>360</v>
      </c>
    </row>
    <row r="78" spans="1:17" ht="14.4" customHeight="1" x14ac:dyDescent="0.3">
      <c r="A78" s="46" t="s">
        <v>326</v>
      </c>
      <c r="B78" s="53">
        <v>46147</v>
      </c>
      <c r="C78" s="46">
        <v>1549</v>
      </c>
      <c r="D78" s="52">
        <v>0</v>
      </c>
      <c r="E78" s="46">
        <v>1</v>
      </c>
      <c r="F78" s="147" t="s">
        <v>257</v>
      </c>
      <c r="G78" s="147">
        <v>11.767099999999999</v>
      </c>
      <c r="H78" s="147">
        <v>5.1334</v>
      </c>
      <c r="I78" s="147" t="s">
        <v>257</v>
      </c>
      <c r="J78" s="147">
        <v>29903.7441</v>
      </c>
      <c r="K78" s="147">
        <v>422.06330000000003</v>
      </c>
      <c r="L78" s="147">
        <v>1212.0844999999999</v>
      </c>
      <c r="M78" s="147">
        <v>55.002699999999997</v>
      </c>
      <c r="N78" s="147">
        <v>12.031700000000001</v>
      </c>
      <c r="O78" s="52">
        <v>120.57</v>
      </c>
      <c r="P78" s="46" t="s">
        <v>815</v>
      </c>
      <c r="Q78" s="46" t="s">
        <v>258</v>
      </c>
    </row>
    <row r="79" spans="1:17" ht="14.4" customHeight="1" x14ac:dyDescent="0.3">
      <c r="A79" s="46" t="s">
        <v>326</v>
      </c>
      <c r="B79" s="53">
        <v>46147</v>
      </c>
      <c r="C79" s="46">
        <v>1550</v>
      </c>
      <c r="D79" s="52">
        <v>0</v>
      </c>
      <c r="E79" s="46">
        <v>2</v>
      </c>
      <c r="F79" s="147" t="s">
        <v>257</v>
      </c>
      <c r="G79" s="147">
        <v>14.030099999999999</v>
      </c>
      <c r="H79" s="147">
        <v>5.2243000000000004</v>
      </c>
      <c r="I79" s="147" t="s">
        <v>257</v>
      </c>
      <c r="J79" s="147">
        <v>28904.017599999999</v>
      </c>
      <c r="K79" s="147">
        <v>420.38850000000002</v>
      </c>
      <c r="L79" s="147">
        <v>1053.1841999999999</v>
      </c>
      <c r="M79" s="147">
        <v>51.259700000000002</v>
      </c>
      <c r="N79" s="147">
        <v>13.1289</v>
      </c>
      <c r="O79" s="52">
        <v>122.91</v>
      </c>
      <c r="P79" s="46" t="s">
        <v>815</v>
      </c>
      <c r="Q79" s="46" t="s">
        <v>258</v>
      </c>
    </row>
    <row r="80" spans="1:17" ht="14.4" customHeight="1" x14ac:dyDescent="0.3">
      <c r="A80" s="46" t="s">
        <v>326</v>
      </c>
      <c r="B80" s="53">
        <v>46147</v>
      </c>
      <c r="C80" s="46">
        <v>1551</v>
      </c>
      <c r="D80" s="52">
        <v>0.5</v>
      </c>
      <c r="E80" s="46">
        <v>1</v>
      </c>
      <c r="F80" s="147" t="s">
        <v>257</v>
      </c>
      <c r="G80" s="147">
        <v>1.9315</v>
      </c>
      <c r="H80" s="147">
        <v>9.3820999999999994</v>
      </c>
      <c r="I80" s="147" t="s">
        <v>257</v>
      </c>
      <c r="J80" s="147">
        <v>38122.421900000001</v>
      </c>
      <c r="K80" s="147">
        <v>609.13289999999995</v>
      </c>
      <c r="L80" s="147">
        <v>652.02</v>
      </c>
      <c r="M80" s="147">
        <v>57.840499999999999</v>
      </c>
      <c r="N80" s="147">
        <v>8.2062000000000008</v>
      </c>
      <c r="O80" s="52">
        <v>122.77</v>
      </c>
      <c r="P80" s="46" t="s">
        <v>815</v>
      </c>
      <c r="Q80" s="46" t="s">
        <v>258</v>
      </c>
    </row>
    <row r="81" spans="1:17" ht="14.4" customHeight="1" x14ac:dyDescent="0.3">
      <c r="A81" s="46" t="s">
        <v>326</v>
      </c>
      <c r="B81" s="53">
        <v>46147</v>
      </c>
      <c r="C81" s="46">
        <v>1552</v>
      </c>
      <c r="D81" s="52">
        <v>0.5</v>
      </c>
      <c r="E81" s="46">
        <v>2</v>
      </c>
      <c r="F81" s="147" t="s">
        <v>257</v>
      </c>
      <c r="G81" s="147" t="s">
        <v>257</v>
      </c>
      <c r="H81" s="147">
        <v>6.8428000000000004</v>
      </c>
      <c r="I81" s="147" t="s">
        <v>257</v>
      </c>
      <c r="J81" s="147">
        <v>46467.882799999999</v>
      </c>
      <c r="K81" s="147">
        <v>1306.4704999999999</v>
      </c>
      <c r="L81" s="147">
        <v>717.66060000000004</v>
      </c>
      <c r="M81" s="147">
        <v>46.880099999999999</v>
      </c>
      <c r="N81" s="147">
        <v>7.3216999999999999</v>
      </c>
      <c r="O81" s="52">
        <v>123.11</v>
      </c>
      <c r="P81" s="46" t="s">
        <v>815</v>
      </c>
      <c r="Q81" s="46" t="s">
        <v>258</v>
      </c>
    </row>
    <row r="82" spans="1:17" ht="14.4" customHeight="1" x14ac:dyDescent="0.3">
      <c r="A82" s="46" t="s">
        <v>326</v>
      </c>
      <c r="B82" s="53">
        <v>46147</v>
      </c>
      <c r="C82" s="46">
        <v>1553</v>
      </c>
      <c r="D82" s="52">
        <v>1</v>
      </c>
      <c r="E82" s="46">
        <v>1</v>
      </c>
      <c r="F82" s="147" t="s">
        <v>257</v>
      </c>
      <c r="G82" s="147" t="s">
        <v>257</v>
      </c>
      <c r="H82" s="147">
        <v>6.2625999999999999</v>
      </c>
      <c r="I82" s="147" t="s">
        <v>257</v>
      </c>
      <c r="J82" s="147">
        <v>35157.218800000002</v>
      </c>
      <c r="K82" s="147">
        <v>558.56979999999999</v>
      </c>
      <c r="L82" s="147">
        <v>487.25650000000002</v>
      </c>
      <c r="M82" s="147">
        <v>42.215200000000003</v>
      </c>
      <c r="N82" s="147" t="s">
        <v>257</v>
      </c>
      <c r="O82" s="52">
        <v>122.98</v>
      </c>
      <c r="P82" s="46" t="s">
        <v>815</v>
      </c>
      <c r="Q82" s="46" t="s">
        <v>258</v>
      </c>
    </row>
    <row r="83" spans="1:17" ht="14.4" customHeight="1" x14ac:dyDescent="0.3">
      <c r="A83" s="46" t="s">
        <v>326</v>
      </c>
      <c r="B83" s="53">
        <v>46147</v>
      </c>
      <c r="C83" s="46">
        <v>1554</v>
      </c>
      <c r="D83" s="52">
        <v>1</v>
      </c>
      <c r="E83" s="46">
        <v>2</v>
      </c>
      <c r="F83" s="147" t="s">
        <v>257</v>
      </c>
      <c r="G83" s="147" t="s">
        <v>257</v>
      </c>
      <c r="H83" s="147">
        <v>6.3253000000000004</v>
      </c>
      <c r="I83" s="147" t="s">
        <v>257</v>
      </c>
      <c r="J83" s="147">
        <v>36376.785199999998</v>
      </c>
      <c r="K83" s="147">
        <v>554.55690000000004</v>
      </c>
      <c r="L83" s="147">
        <v>600.93110000000001</v>
      </c>
      <c r="M83" s="147">
        <v>45.74</v>
      </c>
      <c r="N83" s="147">
        <v>10.236499999999999</v>
      </c>
      <c r="O83" s="52">
        <v>123.17</v>
      </c>
      <c r="P83" s="46" t="s">
        <v>815</v>
      </c>
      <c r="Q83" s="46" t="s">
        <v>258</v>
      </c>
    </row>
    <row r="84" spans="1:17" ht="14.4" customHeight="1" x14ac:dyDescent="0.3">
      <c r="A84" s="46" t="s">
        <v>326</v>
      </c>
      <c r="B84" s="53">
        <v>46147</v>
      </c>
      <c r="C84" s="46">
        <v>1555</v>
      </c>
      <c r="D84" s="52">
        <v>1.5</v>
      </c>
      <c r="E84" s="46">
        <v>1</v>
      </c>
      <c r="F84" s="147" t="s">
        <v>257</v>
      </c>
      <c r="G84" s="147" t="s">
        <v>257</v>
      </c>
      <c r="H84" s="147">
        <v>6.8384999999999998</v>
      </c>
      <c r="I84" s="147" t="s">
        <v>257</v>
      </c>
      <c r="J84" s="147">
        <v>36537.300799999997</v>
      </c>
      <c r="K84" s="147">
        <v>662.36739999999998</v>
      </c>
      <c r="L84" s="147">
        <v>384.10750000000002</v>
      </c>
      <c r="M84" s="147">
        <v>38.894399999999997</v>
      </c>
      <c r="N84" s="147">
        <v>8.5068999999999999</v>
      </c>
      <c r="O84" s="52">
        <v>120.37</v>
      </c>
      <c r="P84" s="46" t="s">
        <v>815</v>
      </c>
      <c r="Q84" s="46" t="s">
        <v>258</v>
      </c>
    </row>
    <row r="85" spans="1:17" ht="14.4" customHeight="1" x14ac:dyDescent="0.3">
      <c r="A85" s="46" t="s">
        <v>326</v>
      </c>
      <c r="B85" s="53">
        <v>46147</v>
      </c>
      <c r="C85" s="46">
        <v>1556</v>
      </c>
      <c r="D85" s="52">
        <v>1.5</v>
      </c>
      <c r="E85" s="46">
        <v>2</v>
      </c>
      <c r="F85" s="147">
        <v>4.7990000000000004</v>
      </c>
      <c r="G85" s="147" t="s">
        <v>257</v>
      </c>
      <c r="H85" s="147">
        <v>9.2445000000000004</v>
      </c>
      <c r="I85" s="147" t="s">
        <v>257</v>
      </c>
      <c r="J85" s="147">
        <v>39084.785199999998</v>
      </c>
      <c r="K85" s="147">
        <v>627.62779999999998</v>
      </c>
      <c r="L85" s="147">
        <v>493.76510000000002</v>
      </c>
      <c r="M85" s="147">
        <v>50.832799999999999</v>
      </c>
      <c r="N85" s="147">
        <v>11.6624</v>
      </c>
      <c r="O85" s="52">
        <v>120.45</v>
      </c>
      <c r="P85" s="46" t="s">
        <v>815</v>
      </c>
      <c r="Q85" s="46" t="s">
        <v>258</v>
      </c>
    </row>
    <row r="86" spans="1:17" ht="14.4" customHeight="1" x14ac:dyDescent="0.3">
      <c r="A86" s="46" t="s">
        <v>326</v>
      </c>
      <c r="B86" s="53">
        <v>46147</v>
      </c>
      <c r="C86" s="46">
        <v>1557</v>
      </c>
      <c r="D86" s="52">
        <v>2</v>
      </c>
      <c r="E86" s="46">
        <v>1</v>
      </c>
      <c r="F86" s="147" t="s">
        <v>257</v>
      </c>
      <c r="G86" s="147" t="s">
        <v>257</v>
      </c>
      <c r="H86" s="147">
        <v>4.68</v>
      </c>
      <c r="I86" s="147" t="s">
        <v>257</v>
      </c>
      <c r="J86" s="147">
        <v>35231.261700000003</v>
      </c>
      <c r="K86" s="147">
        <v>494.14190000000002</v>
      </c>
      <c r="L86" s="147">
        <v>411.59530000000001</v>
      </c>
      <c r="M86" s="147">
        <v>37.645600000000002</v>
      </c>
      <c r="N86" s="147" t="s">
        <v>257</v>
      </c>
      <c r="O86" s="52">
        <v>120.17</v>
      </c>
      <c r="P86" s="46" t="s">
        <v>815</v>
      </c>
      <c r="Q86" s="46" t="s">
        <v>258</v>
      </c>
    </row>
    <row r="87" spans="1:17" ht="14.4" customHeight="1" x14ac:dyDescent="0.3">
      <c r="A87" s="46" t="s">
        <v>326</v>
      </c>
      <c r="B87" s="53">
        <v>46147</v>
      </c>
      <c r="C87" s="46">
        <v>1558</v>
      </c>
      <c r="D87" s="52">
        <v>2</v>
      </c>
      <c r="E87" s="46">
        <v>2</v>
      </c>
      <c r="F87" s="147" t="s">
        <v>257</v>
      </c>
      <c r="G87" s="147" t="s">
        <v>257</v>
      </c>
      <c r="H87" s="147">
        <v>5.7129000000000003</v>
      </c>
      <c r="I87" s="147" t="s">
        <v>257</v>
      </c>
      <c r="J87" s="147">
        <v>46400.484400000001</v>
      </c>
      <c r="K87" s="147">
        <v>1448.5924</v>
      </c>
      <c r="L87" s="147">
        <v>415.05380000000002</v>
      </c>
      <c r="M87" s="147">
        <v>40.139200000000002</v>
      </c>
      <c r="N87" s="147">
        <v>5.0593000000000004</v>
      </c>
      <c r="O87" s="52">
        <v>120.32</v>
      </c>
      <c r="P87" s="46" t="s">
        <v>815</v>
      </c>
      <c r="Q87" s="46" t="s">
        <v>258</v>
      </c>
    </row>
    <row r="88" spans="1:17" ht="14.4" customHeight="1" x14ac:dyDescent="0.3">
      <c r="A88" s="46" t="s">
        <v>326</v>
      </c>
      <c r="B88" s="53">
        <v>46147</v>
      </c>
      <c r="C88" s="46">
        <v>1559</v>
      </c>
      <c r="D88" s="52">
        <v>2.5</v>
      </c>
      <c r="E88" s="46">
        <v>1</v>
      </c>
      <c r="F88" s="147" t="s">
        <v>257</v>
      </c>
      <c r="G88" s="147" t="s">
        <v>257</v>
      </c>
      <c r="H88" s="147">
        <v>4.3277000000000001</v>
      </c>
      <c r="I88" s="147" t="s">
        <v>257</v>
      </c>
      <c r="J88" s="147">
        <v>41722.679700000001</v>
      </c>
      <c r="K88" s="147">
        <v>823.73030000000006</v>
      </c>
      <c r="L88" s="147">
        <v>583.18949999999995</v>
      </c>
      <c r="M88" s="147">
        <v>33.759900000000002</v>
      </c>
      <c r="N88" s="147">
        <v>6.7233999999999998</v>
      </c>
      <c r="O88" s="52">
        <v>122.98</v>
      </c>
      <c r="P88" s="46" t="s">
        <v>815</v>
      </c>
      <c r="Q88" s="46" t="s">
        <v>258</v>
      </c>
    </row>
    <row r="89" spans="1:17" ht="14.4" customHeight="1" x14ac:dyDescent="0.3">
      <c r="A89" s="46" t="s">
        <v>326</v>
      </c>
      <c r="B89" s="53">
        <v>46147</v>
      </c>
      <c r="C89" s="46">
        <v>1560</v>
      </c>
      <c r="D89" s="52">
        <v>2.5</v>
      </c>
      <c r="E89" s="46">
        <v>2</v>
      </c>
      <c r="F89" s="147" t="s">
        <v>257</v>
      </c>
      <c r="G89" s="147" t="s">
        <v>257</v>
      </c>
      <c r="H89" s="147">
        <v>3.4163999999999999</v>
      </c>
      <c r="I89" s="147" t="s">
        <v>257</v>
      </c>
      <c r="J89" s="147">
        <v>37417.195299999999</v>
      </c>
      <c r="K89" s="147">
        <v>464.53640000000001</v>
      </c>
      <c r="L89" s="147">
        <v>455.94940000000003</v>
      </c>
      <c r="M89" s="147">
        <v>39.830199999999998</v>
      </c>
      <c r="N89" s="147">
        <v>4.4352</v>
      </c>
      <c r="O89" s="52">
        <v>122.71</v>
      </c>
      <c r="P89" s="46" t="s">
        <v>815</v>
      </c>
      <c r="Q89" s="46" t="s">
        <v>258</v>
      </c>
    </row>
    <row r="90" spans="1:17" ht="14.4" customHeight="1" x14ac:dyDescent="0.3">
      <c r="A90" s="46" t="s">
        <v>326</v>
      </c>
      <c r="B90" s="53">
        <v>46147</v>
      </c>
      <c r="C90" s="46">
        <v>1561</v>
      </c>
      <c r="D90" s="52">
        <v>3</v>
      </c>
      <c r="E90" s="46">
        <v>1</v>
      </c>
      <c r="F90" s="147" t="s">
        <v>257</v>
      </c>
      <c r="G90" s="147" t="s">
        <v>257</v>
      </c>
      <c r="H90" s="147">
        <v>5.3083</v>
      </c>
      <c r="I90" s="147" t="s">
        <v>257</v>
      </c>
      <c r="J90" s="147">
        <v>35626.863299999997</v>
      </c>
      <c r="K90" s="147">
        <v>427.16660000000002</v>
      </c>
      <c r="L90" s="147">
        <v>482.98599999999999</v>
      </c>
      <c r="M90" s="147">
        <v>43.9084</v>
      </c>
      <c r="N90" s="147">
        <v>9.9765999999999995</v>
      </c>
      <c r="O90" s="52">
        <v>120.5</v>
      </c>
      <c r="P90" s="46" t="s">
        <v>815</v>
      </c>
      <c r="Q90" s="46" t="s">
        <v>258</v>
      </c>
    </row>
    <row r="91" spans="1:17" ht="14.4" customHeight="1" x14ac:dyDescent="0.3">
      <c r="A91" s="46" t="s">
        <v>326</v>
      </c>
      <c r="B91" s="53">
        <v>46147</v>
      </c>
      <c r="C91" s="46">
        <v>1562</v>
      </c>
      <c r="D91" s="52">
        <v>3</v>
      </c>
      <c r="E91" s="46">
        <v>2</v>
      </c>
      <c r="F91" s="147" t="s">
        <v>257</v>
      </c>
      <c r="G91" s="147" t="s">
        <v>257</v>
      </c>
      <c r="H91" s="147">
        <v>4.7893999999999997</v>
      </c>
      <c r="I91" s="147" t="s">
        <v>257</v>
      </c>
      <c r="J91" s="147">
        <v>38050.265599999999</v>
      </c>
      <c r="K91" s="147">
        <v>536.62429999999995</v>
      </c>
      <c r="L91" s="147">
        <v>399.34679999999997</v>
      </c>
      <c r="M91" s="147">
        <v>43.278100000000002</v>
      </c>
      <c r="N91" s="147">
        <v>10.273300000000001</v>
      </c>
      <c r="O91" s="52">
        <v>120.32</v>
      </c>
      <c r="P91" s="46" t="s">
        <v>815</v>
      </c>
      <c r="Q91" s="46" t="s">
        <v>258</v>
      </c>
    </row>
    <row r="92" spans="1:17" ht="14.4" customHeight="1" x14ac:dyDescent="0.3">
      <c r="A92" s="46" t="s">
        <v>326</v>
      </c>
      <c r="B92" s="53">
        <v>46147</v>
      </c>
      <c r="C92" s="46">
        <v>1563</v>
      </c>
      <c r="D92" s="52">
        <v>3.5</v>
      </c>
      <c r="E92" s="46">
        <v>1</v>
      </c>
      <c r="F92" s="147" t="s">
        <v>257</v>
      </c>
      <c r="G92" s="147" t="s">
        <v>257</v>
      </c>
      <c r="H92" s="147">
        <v>7.0044000000000004</v>
      </c>
      <c r="I92" s="147" t="s">
        <v>257</v>
      </c>
      <c r="J92" s="147">
        <v>35185.308599999997</v>
      </c>
      <c r="K92" s="147">
        <v>461.48829999999998</v>
      </c>
      <c r="L92" s="147">
        <v>639.01779999999997</v>
      </c>
      <c r="M92" s="147">
        <v>42.833500000000001</v>
      </c>
      <c r="N92" s="147">
        <v>12.9802</v>
      </c>
      <c r="O92" s="52">
        <v>120.41</v>
      </c>
      <c r="P92" s="46" t="s">
        <v>815</v>
      </c>
      <c r="Q92" s="46" t="s">
        <v>258</v>
      </c>
    </row>
    <row r="93" spans="1:17" ht="14.4" customHeight="1" x14ac:dyDescent="0.3">
      <c r="A93" s="46" t="s">
        <v>326</v>
      </c>
      <c r="B93" s="53">
        <v>46147</v>
      </c>
      <c r="C93" s="46">
        <v>1564</v>
      </c>
      <c r="D93" s="52">
        <v>3.5</v>
      </c>
      <c r="E93" s="46">
        <v>2</v>
      </c>
      <c r="F93" s="147" t="s">
        <v>257</v>
      </c>
      <c r="G93" s="147" t="s">
        <v>257</v>
      </c>
      <c r="H93" s="147">
        <v>6.2988999999999997</v>
      </c>
      <c r="I93" s="147" t="s">
        <v>257</v>
      </c>
      <c r="J93" s="147">
        <v>35064.625</v>
      </c>
      <c r="K93" s="147">
        <v>446.85789999999997</v>
      </c>
      <c r="L93" s="147">
        <v>525.44489999999996</v>
      </c>
      <c r="M93" s="147">
        <v>36.7911</v>
      </c>
      <c r="N93" s="147">
        <v>6.1098999999999997</v>
      </c>
      <c r="O93" s="52">
        <v>123.1</v>
      </c>
      <c r="P93" s="46" t="s">
        <v>815</v>
      </c>
      <c r="Q93" s="46" t="s">
        <v>258</v>
      </c>
    </row>
    <row r="94" spans="1:17" ht="14.4" customHeight="1" x14ac:dyDescent="0.3">
      <c r="A94" s="46" t="s">
        <v>326</v>
      </c>
      <c r="B94" s="53">
        <v>46147</v>
      </c>
      <c r="C94" s="46">
        <v>1565</v>
      </c>
      <c r="D94" s="52">
        <v>4</v>
      </c>
      <c r="E94" s="46">
        <v>1</v>
      </c>
      <c r="F94" s="147" t="s">
        <v>257</v>
      </c>
      <c r="G94" s="147" t="s">
        <v>257</v>
      </c>
      <c r="H94" s="147">
        <v>4.8724999999999996</v>
      </c>
      <c r="I94" s="147" t="s">
        <v>257</v>
      </c>
      <c r="J94" s="147">
        <v>36061.933599999997</v>
      </c>
      <c r="K94" s="147">
        <v>467.32960000000003</v>
      </c>
      <c r="L94" s="147">
        <v>390.44889999999998</v>
      </c>
      <c r="M94" s="147">
        <v>39.031599999999997</v>
      </c>
      <c r="N94" s="147">
        <v>6.4775999999999998</v>
      </c>
      <c r="O94" s="52">
        <v>120.4</v>
      </c>
      <c r="P94" s="46" t="s">
        <v>815</v>
      </c>
      <c r="Q94" s="46" t="s">
        <v>258</v>
      </c>
    </row>
    <row r="95" spans="1:17" ht="14.4" customHeight="1" x14ac:dyDescent="0.3">
      <c r="A95" s="46" t="s">
        <v>326</v>
      </c>
      <c r="B95" s="53">
        <v>46147</v>
      </c>
      <c r="C95" s="46">
        <v>1566</v>
      </c>
      <c r="D95" s="52">
        <v>4</v>
      </c>
      <c r="E95" s="46">
        <v>2</v>
      </c>
      <c r="F95" s="147" t="s">
        <v>257</v>
      </c>
      <c r="G95" s="147" t="s">
        <v>257</v>
      </c>
      <c r="H95" s="147">
        <v>5.5309999999999997</v>
      </c>
      <c r="I95" s="147" t="s">
        <v>257</v>
      </c>
      <c r="J95" s="147">
        <v>36076.964800000002</v>
      </c>
      <c r="K95" s="147">
        <v>446.85829999999999</v>
      </c>
      <c r="L95" s="147">
        <v>417.97190000000001</v>
      </c>
      <c r="M95" s="147">
        <v>40.942599999999999</v>
      </c>
      <c r="N95" s="147">
        <v>10.661199999999999</v>
      </c>
      <c r="O95" s="52">
        <v>120.63</v>
      </c>
      <c r="P95" s="46" t="s">
        <v>815</v>
      </c>
      <c r="Q95" s="46" t="s">
        <v>258</v>
      </c>
    </row>
    <row r="96" spans="1:17" ht="14.4" customHeight="1" x14ac:dyDescent="0.3">
      <c r="A96" s="49" t="s">
        <v>772</v>
      </c>
      <c r="B96" s="54">
        <v>46149</v>
      </c>
      <c r="C96" s="49">
        <v>1636</v>
      </c>
      <c r="D96" s="51">
        <v>0</v>
      </c>
      <c r="E96" s="49">
        <v>1</v>
      </c>
      <c r="F96" s="148" t="s">
        <v>257</v>
      </c>
      <c r="G96" s="148" t="s">
        <v>257</v>
      </c>
      <c r="H96" s="148">
        <v>5.1332000000000004</v>
      </c>
      <c r="I96" s="148" t="s">
        <v>257</v>
      </c>
      <c r="J96" s="148">
        <v>32681.331999999999</v>
      </c>
      <c r="K96" s="148">
        <v>620.6232</v>
      </c>
      <c r="L96" s="148">
        <v>223.02199999999999</v>
      </c>
      <c r="M96" s="148">
        <v>46.558999999999997</v>
      </c>
      <c r="N96" s="148">
        <v>6.9539999999999997</v>
      </c>
      <c r="O96" s="51">
        <v>120.54</v>
      </c>
      <c r="P96" s="49" t="s">
        <v>814</v>
      </c>
      <c r="Q96" s="49" t="s">
        <v>258</v>
      </c>
    </row>
    <row r="97" spans="1:17" ht="14.4" customHeight="1" x14ac:dyDescent="0.3">
      <c r="A97" s="49" t="s">
        <v>772</v>
      </c>
      <c r="B97" s="54">
        <v>46149</v>
      </c>
      <c r="C97" s="49">
        <v>1637</v>
      </c>
      <c r="D97" s="51">
        <v>0</v>
      </c>
      <c r="E97" s="49">
        <v>2</v>
      </c>
      <c r="F97" s="148" t="s">
        <v>257</v>
      </c>
      <c r="G97" s="148" t="s">
        <v>257</v>
      </c>
      <c r="H97" s="148">
        <v>6.3452999999999999</v>
      </c>
      <c r="I97" s="148" t="s">
        <v>257</v>
      </c>
      <c r="J97" s="148">
        <v>34160.664100000002</v>
      </c>
      <c r="K97" s="148">
        <v>502.75380000000001</v>
      </c>
      <c r="L97" s="148">
        <v>593.52599999999995</v>
      </c>
      <c r="M97" s="148">
        <v>49.378399999999999</v>
      </c>
      <c r="N97" s="148">
        <v>13.7896</v>
      </c>
      <c r="O97" s="51">
        <v>123.07</v>
      </c>
      <c r="P97" s="49" t="s">
        <v>814</v>
      </c>
      <c r="Q97" s="49" t="s">
        <v>258</v>
      </c>
    </row>
    <row r="98" spans="1:17" ht="14.4" customHeight="1" x14ac:dyDescent="0.3">
      <c r="A98" s="49" t="s">
        <v>772</v>
      </c>
      <c r="B98" s="54">
        <v>46149</v>
      </c>
      <c r="C98" s="49">
        <v>1638</v>
      </c>
      <c r="D98" s="51">
        <v>0.5</v>
      </c>
      <c r="E98" s="49">
        <v>1</v>
      </c>
      <c r="F98" s="148" t="s">
        <v>257</v>
      </c>
      <c r="G98" s="148" t="s">
        <v>257</v>
      </c>
      <c r="H98" s="148">
        <v>6.3003</v>
      </c>
      <c r="I98" s="148" t="s">
        <v>257</v>
      </c>
      <c r="J98" s="148">
        <v>34247.363299999997</v>
      </c>
      <c r="K98" s="148">
        <v>500.65620000000001</v>
      </c>
      <c r="L98" s="148" t="s">
        <v>257</v>
      </c>
      <c r="M98" s="148">
        <v>47.829599999999999</v>
      </c>
      <c r="N98" s="148">
        <v>12.7464</v>
      </c>
      <c r="O98" s="51">
        <v>123.08</v>
      </c>
      <c r="P98" s="49" t="s">
        <v>814</v>
      </c>
      <c r="Q98" s="49" t="s">
        <v>258</v>
      </c>
    </row>
    <row r="99" spans="1:17" ht="14.4" customHeight="1" x14ac:dyDescent="0.3">
      <c r="A99" s="49" t="s">
        <v>772</v>
      </c>
      <c r="B99" s="54">
        <v>46149</v>
      </c>
      <c r="C99" s="49">
        <v>1639</v>
      </c>
      <c r="D99" s="51">
        <v>0.5</v>
      </c>
      <c r="E99" s="49">
        <v>2</v>
      </c>
      <c r="F99" s="148" t="s">
        <v>257</v>
      </c>
      <c r="G99" s="148" t="s">
        <v>257</v>
      </c>
      <c r="H99" s="148">
        <v>6.0986000000000002</v>
      </c>
      <c r="I99" s="148" t="s">
        <v>257</v>
      </c>
      <c r="J99" s="148">
        <v>37542.105499999998</v>
      </c>
      <c r="K99" s="148">
        <v>1044.8687</v>
      </c>
      <c r="L99" s="148">
        <v>102.76309999999999</v>
      </c>
      <c r="M99" s="148">
        <v>47.779000000000003</v>
      </c>
      <c r="N99" s="148">
        <v>9.2591000000000001</v>
      </c>
      <c r="O99" s="51">
        <v>120.3</v>
      </c>
      <c r="P99" s="49" t="s">
        <v>814</v>
      </c>
      <c r="Q99" s="49" t="s">
        <v>258</v>
      </c>
    </row>
    <row r="100" spans="1:17" ht="14.4" customHeight="1" x14ac:dyDescent="0.3">
      <c r="A100" s="49" t="s">
        <v>772</v>
      </c>
      <c r="B100" s="54">
        <v>46149</v>
      </c>
      <c r="C100" s="49">
        <v>1640</v>
      </c>
      <c r="D100" s="51">
        <v>1</v>
      </c>
      <c r="E100" s="49">
        <v>1</v>
      </c>
      <c r="F100" s="148" t="s">
        <v>257</v>
      </c>
      <c r="G100" s="148" t="s">
        <v>257</v>
      </c>
      <c r="H100" s="148">
        <v>5.2043999999999997</v>
      </c>
      <c r="I100" s="148" t="s">
        <v>257</v>
      </c>
      <c r="J100" s="148">
        <v>34663.023399999998</v>
      </c>
      <c r="K100" s="148">
        <v>575.31830000000002</v>
      </c>
      <c r="L100" s="148">
        <v>131.77430000000001</v>
      </c>
      <c r="M100" s="148">
        <v>47.458100000000002</v>
      </c>
      <c r="N100" s="148">
        <v>6.8129</v>
      </c>
      <c r="O100" s="51">
        <v>123.03</v>
      </c>
      <c r="P100" s="49" t="s">
        <v>814</v>
      </c>
      <c r="Q100" s="49" t="s">
        <v>258</v>
      </c>
    </row>
    <row r="101" spans="1:17" ht="14.4" customHeight="1" x14ac:dyDescent="0.3">
      <c r="A101" s="49" t="s">
        <v>772</v>
      </c>
      <c r="B101" s="54">
        <v>46149</v>
      </c>
      <c r="C101" s="49">
        <v>1641</v>
      </c>
      <c r="D101" s="51">
        <v>1</v>
      </c>
      <c r="E101" s="49">
        <v>2</v>
      </c>
      <c r="F101" s="148" t="s">
        <v>257</v>
      </c>
      <c r="G101" s="148" t="s">
        <v>257</v>
      </c>
      <c r="H101" s="148">
        <v>6.585</v>
      </c>
      <c r="I101" s="148" t="s">
        <v>257</v>
      </c>
      <c r="J101" s="148">
        <v>34628.613299999997</v>
      </c>
      <c r="K101" s="148">
        <v>570.11879999999996</v>
      </c>
      <c r="L101" s="148">
        <v>153.99600000000001</v>
      </c>
      <c r="M101" s="148">
        <v>50.029299999999999</v>
      </c>
      <c r="N101" s="148">
        <v>10.3058</v>
      </c>
      <c r="O101" s="51">
        <v>120.12</v>
      </c>
      <c r="P101" s="49" t="s">
        <v>814</v>
      </c>
      <c r="Q101" s="49" t="s">
        <v>258</v>
      </c>
    </row>
    <row r="102" spans="1:17" ht="14.4" customHeight="1" x14ac:dyDescent="0.3">
      <c r="A102" s="49" t="s">
        <v>772</v>
      </c>
      <c r="B102" s="54">
        <v>46149</v>
      </c>
      <c r="C102" s="49">
        <v>1642</v>
      </c>
      <c r="D102" s="51">
        <v>1.5</v>
      </c>
      <c r="E102" s="49">
        <v>1</v>
      </c>
      <c r="F102" s="148" t="s">
        <v>257</v>
      </c>
      <c r="G102" s="148" t="s">
        <v>257</v>
      </c>
      <c r="H102" s="148">
        <v>5.7481999999999998</v>
      </c>
      <c r="I102" s="148" t="s">
        <v>257</v>
      </c>
      <c r="J102" s="148">
        <v>36319.769500000002</v>
      </c>
      <c r="K102" s="148">
        <v>601.94399999999996</v>
      </c>
      <c r="L102" s="148">
        <v>112.928</v>
      </c>
      <c r="M102" s="148">
        <v>53.5854</v>
      </c>
      <c r="N102" s="148">
        <v>6.8860999999999999</v>
      </c>
      <c r="O102" s="51">
        <v>123.13</v>
      </c>
      <c r="P102" s="49" t="s">
        <v>814</v>
      </c>
      <c r="Q102" s="49" t="s">
        <v>258</v>
      </c>
    </row>
    <row r="103" spans="1:17" ht="14.4" customHeight="1" x14ac:dyDescent="0.3">
      <c r="A103" s="49" t="s">
        <v>772</v>
      </c>
      <c r="B103" s="54">
        <v>46149</v>
      </c>
      <c r="C103" s="49">
        <v>1643</v>
      </c>
      <c r="D103" s="51">
        <v>1.5</v>
      </c>
      <c r="E103" s="49">
        <v>2</v>
      </c>
      <c r="F103" s="148" t="s">
        <v>257</v>
      </c>
      <c r="G103" s="148" t="s">
        <v>257</v>
      </c>
      <c r="H103" s="148">
        <v>5.3878000000000004</v>
      </c>
      <c r="I103" s="148" t="s">
        <v>257</v>
      </c>
      <c r="J103" s="148">
        <v>35531.367200000001</v>
      </c>
      <c r="K103" s="148">
        <v>637.14549999999997</v>
      </c>
      <c r="L103" s="148">
        <v>96.198800000000006</v>
      </c>
      <c r="M103" s="148">
        <v>51.8095</v>
      </c>
      <c r="N103" s="148">
        <v>8.2011000000000003</v>
      </c>
      <c r="O103" s="51">
        <v>120.43</v>
      </c>
      <c r="P103" s="49" t="s">
        <v>814</v>
      </c>
      <c r="Q103" s="49" t="s">
        <v>258</v>
      </c>
    </row>
    <row r="104" spans="1:17" ht="14.4" customHeight="1" x14ac:dyDescent="0.3">
      <c r="A104" s="49" t="s">
        <v>772</v>
      </c>
      <c r="B104" s="54">
        <v>46149</v>
      </c>
      <c r="C104" s="49">
        <v>1644</v>
      </c>
      <c r="D104" s="51">
        <v>2</v>
      </c>
      <c r="E104" s="49">
        <v>1</v>
      </c>
      <c r="F104" s="148" t="s">
        <v>257</v>
      </c>
      <c r="G104" s="148" t="s">
        <v>257</v>
      </c>
      <c r="H104" s="148">
        <v>4.7752999999999997</v>
      </c>
      <c r="I104" s="148" t="s">
        <v>257</v>
      </c>
      <c r="J104" s="148">
        <v>34800.890599999999</v>
      </c>
      <c r="K104" s="148">
        <v>576.93759999999997</v>
      </c>
      <c r="L104" s="148" t="s">
        <v>257</v>
      </c>
      <c r="M104" s="148">
        <v>43.734099999999998</v>
      </c>
      <c r="N104" s="148">
        <v>11.449</v>
      </c>
      <c r="O104" s="51">
        <v>123.18</v>
      </c>
      <c r="P104" s="49" t="s">
        <v>814</v>
      </c>
      <c r="Q104" s="49" t="s">
        <v>258</v>
      </c>
    </row>
    <row r="105" spans="1:17" ht="14.4" customHeight="1" x14ac:dyDescent="0.3">
      <c r="A105" s="49" t="s">
        <v>772</v>
      </c>
      <c r="B105" s="54">
        <v>46149</v>
      </c>
      <c r="C105" s="49">
        <v>1645</v>
      </c>
      <c r="D105" s="51">
        <v>2</v>
      </c>
      <c r="E105" s="49">
        <v>2</v>
      </c>
      <c r="F105" s="148" t="s">
        <v>257</v>
      </c>
      <c r="G105" s="148" t="s">
        <v>257</v>
      </c>
      <c r="H105" s="148">
        <v>8.6486999999999998</v>
      </c>
      <c r="I105" s="148" t="s">
        <v>257</v>
      </c>
      <c r="J105" s="148">
        <v>35318.519500000002</v>
      </c>
      <c r="K105" s="148">
        <v>560.2491</v>
      </c>
      <c r="L105" s="148" t="s">
        <v>257</v>
      </c>
      <c r="M105" s="148">
        <v>49.209400000000002</v>
      </c>
      <c r="N105" s="148">
        <v>10.3407</v>
      </c>
      <c r="O105" s="51">
        <v>122.97</v>
      </c>
      <c r="P105" s="49" t="s">
        <v>814</v>
      </c>
      <c r="Q105" s="49" t="s">
        <v>258</v>
      </c>
    </row>
    <row r="106" spans="1:17" ht="14.4" customHeight="1" x14ac:dyDescent="0.3">
      <c r="A106" s="49" t="s">
        <v>772</v>
      </c>
      <c r="B106" s="54">
        <v>46149</v>
      </c>
      <c r="C106" s="49">
        <v>1646</v>
      </c>
      <c r="D106" s="51">
        <v>2.5</v>
      </c>
      <c r="E106" s="49">
        <v>1</v>
      </c>
      <c r="F106" s="148" t="s">
        <v>257</v>
      </c>
      <c r="G106" s="148" t="s">
        <v>257</v>
      </c>
      <c r="H106" s="148">
        <v>6.5358000000000001</v>
      </c>
      <c r="I106" s="148" t="s">
        <v>257</v>
      </c>
      <c r="J106" s="148">
        <v>40759.277300000002</v>
      </c>
      <c r="K106" s="148">
        <v>619.95619999999997</v>
      </c>
      <c r="L106" s="148">
        <v>96.936300000000003</v>
      </c>
      <c r="M106" s="148">
        <v>51.428100000000001</v>
      </c>
      <c r="N106" s="148">
        <v>9.7414000000000005</v>
      </c>
      <c r="O106" s="51">
        <v>120.28</v>
      </c>
      <c r="P106" s="49" t="s">
        <v>814</v>
      </c>
      <c r="Q106" s="49" t="s">
        <v>258</v>
      </c>
    </row>
    <row r="107" spans="1:17" ht="14.4" customHeight="1" x14ac:dyDescent="0.3">
      <c r="A107" s="49" t="s">
        <v>772</v>
      </c>
      <c r="B107" s="54">
        <v>46149</v>
      </c>
      <c r="C107" s="49">
        <v>1647</v>
      </c>
      <c r="D107" s="51">
        <v>2.5</v>
      </c>
      <c r="E107" s="49">
        <v>2</v>
      </c>
      <c r="F107" s="148" t="s">
        <v>257</v>
      </c>
      <c r="G107" s="148" t="s">
        <v>257</v>
      </c>
      <c r="H107" s="148">
        <v>5.8654999999999999</v>
      </c>
      <c r="I107" s="148" t="s">
        <v>257</v>
      </c>
      <c r="J107" s="148">
        <v>37550.054700000001</v>
      </c>
      <c r="K107" s="148">
        <v>554.85850000000005</v>
      </c>
      <c r="L107" s="148">
        <v>252.53120000000001</v>
      </c>
      <c r="M107" s="148">
        <v>38.560400000000001</v>
      </c>
      <c r="N107" s="148">
        <v>6.9596999999999998</v>
      </c>
      <c r="O107" s="51">
        <v>120.42</v>
      </c>
      <c r="P107" s="49" t="s">
        <v>814</v>
      </c>
      <c r="Q107" s="49" t="s">
        <v>258</v>
      </c>
    </row>
    <row r="108" spans="1:17" ht="14.4" customHeight="1" x14ac:dyDescent="0.3">
      <c r="A108" s="49" t="s">
        <v>772</v>
      </c>
      <c r="B108" s="54">
        <v>46149</v>
      </c>
      <c r="C108" s="49">
        <v>1648</v>
      </c>
      <c r="D108" s="51">
        <v>3</v>
      </c>
      <c r="E108" s="49">
        <v>1</v>
      </c>
      <c r="F108" s="148" t="s">
        <v>257</v>
      </c>
      <c r="G108" s="148" t="s">
        <v>257</v>
      </c>
      <c r="H108" s="148">
        <v>6.2988</v>
      </c>
      <c r="I108" s="148" t="s">
        <v>257</v>
      </c>
      <c r="J108" s="148">
        <v>37484.757799999999</v>
      </c>
      <c r="K108" s="148">
        <v>639.82950000000005</v>
      </c>
      <c r="L108" s="148">
        <v>93.631699999999995</v>
      </c>
      <c r="M108" s="148">
        <v>53.206699999999998</v>
      </c>
      <c r="N108" s="148">
        <v>8.8533000000000008</v>
      </c>
      <c r="O108" s="51">
        <v>123.19</v>
      </c>
      <c r="P108" s="49" t="s">
        <v>814</v>
      </c>
      <c r="Q108" s="49" t="s">
        <v>258</v>
      </c>
    </row>
    <row r="109" spans="1:17" ht="14.4" customHeight="1" x14ac:dyDescent="0.3">
      <c r="A109" s="49" t="s">
        <v>772</v>
      </c>
      <c r="B109" s="54">
        <v>46149</v>
      </c>
      <c r="C109" s="49">
        <v>1651</v>
      </c>
      <c r="D109" s="51">
        <v>3</v>
      </c>
      <c r="E109" s="49">
        <v>2</v>
      </c>
      <c r="F109" s="148" t="s">
        <v>257</v>
      </c>
      <c r="G109" s="148" t="s">
        <v>257</v>
      </c>
      <c r="H109" s="148">
        <v>5.8160999999999996</v>
      </c>
      <c r="I109" s="148" t="s">
        <v>257</v>
      </c>
      <c r="J109" s="148">
        <v>35218.417999999998</v>
      </c>
      <c r="K109" s="148">
        <v>562.12220000000002</v>
      </c>
      <c r="L109" s="148">
        <v>201.58510000000001</v>
      </c>
      <c r="M109" s="148">
        <v>45.771599999999999</v>
      </c>
      <c r="N109" s="148">
        <v>9.5015999999999998</v>
      </c>
      <c r="O109" s="51">
        <v>120.01</v>
      </c>
      <c r="P109" s="49" t="s">
        <v>814</v>
      </c>
      <c r="Q109" s="49" t="s">
        <v>258</v>
      </c>
    </row>
    <row r="110" spans="1:17" ht="14.4" customHeight="1" x14ac:dyDescent="0.3">
      <c r="A110" s="49" t="s">
        <v>772</v>
      </c>
      <c r="B110" s="54">
        <v>46149</v>
      </c>
      <c r="C110" s="49">
        <v>1652</v>
      </c>
      <c r="D110" s="51">
        <v>3.5</v>
      </c>
      <c r="E110" s="49">
        <v>1</v>
      </c>
      <c r="F110" s="148" t="s">
        <v>257</v>
      </c>
      <c r="G110" s="148" t="s">
        <v>257</v>
      </c>
      <c r="H110" s="148">
        <v>8.0684000000000005</v>
      </c>
      <c r="I110" s="148" t="s">
        <v>257</v>
      </c>
      <c r="J110" s="148">
        <v>35807.285199999998</v>
      </c>
      <c r="K110" s="148">
        <v>592.20510000000002</v>
      </c>
      <c r="L110" s="148" t="s">
        <v>257</v>
      </c>
      <c r="M110" s="148">
        <v>44.7057</v>
      </c>
      <c r="N110" s="148">
        <v>8.3765999999999998</v>
      </c>
      <c r="O110" s="51">
        <v>123.08</v>
      </c>
      <c r="P110" s="49" t="s">
        <v>814</v>
      </c>
      <c r="Q110" s="49" t="s">
        <v>258</v>
      </c>
    </row>
    <row r="111" spans="1:17" ht="14.4" customHeight="1" x14ac:dyDescent="0.3">
      <c r="A111" s="49" t="s">
        <v>772</v>
      </c>
      <c r="B111" s="54">
        <v>46149</v>
      </c>
      <c r="C111" s="49">
        <v>1653</v>
      </c>
      <c r="D111" s="51">
        <v>3.5</v>
      </c>
      <c r="E111" s="49">
        <v>2</v>
      </c>
      <c r="F111" s="148">
        <v>5.3994999999999997</v>
      </c>
      <c r="G111" s="148" t="s">
        <v>257</v>
      </c>
      <c r="H111" s="148">
        <v>6.9698000000000002</v>
      </c>
      <c r="I111" s="148" t="s">
        <v>257</v>
      </c>
      <c r="J111" s="148">
        <v>37535.257799999999</v>
      </c>
      <c r="K111" s="148">
        <v>653.49890000000005</v>
      </c>
      <c r="L111" s="148">
        <v>98.732299999999995</v>
      </c>
      <c r="M111" s="148">
        <v>52.606999999999999</v>
      </c>
      <c r="N111" s="148">
        <v>10.4756</v>
      </c>
      <c r="O111" s="51">
        <v>120.38</v>
      </c>
      <c r="P111" s="49" t="s">
        <v>814</v>
      </c>
      <c r="Q111" s="49" t="s">
        <v>258</v>
      </c>
    </row>
    <row r="112" spans="1:17" ht="14.4" customHeight="1" x14ac:dyDescent="0.3">
      <c r="A112" s="49" t="s">
        <v>772</v>
      </c>
      <c r="B112" s="54">
        <v>46149</v>
      </c>
      <c r="C112" s="49">
        <v>1654</v>
      </c>
      <c r="D112" s="51">
        <v>3.5</v>
      </c>
      <c r="E112" s="49">
        <v>3</v>
      </c>
      <c r="F112" s="148" t="s">
        <v>257</v>
      </c>
      <c r="G112" s="148" t="s">
        <v>257</v>
      </c>
      <c r="H112" s="148">
        <v>7.5183</v>
      </c>
      <c r="I112" s="148" t="s">
        <v>257</v>
      </c>
      <c r="J112" s="148">
        <v>39447.886700000003</v>
      </c>
      <c r="K112" s="148">
        <v>655.59760000000006</v>
      </c>
      <c r="L112" s="148">
        <v>131.404</v>
      </c>
      <c r="M112" s="148">
        <v>58.2346</v>
      </c>
      <c r="N112" s="148">
        <v>13.9343</v>
      </c>
      <c r="O112" s="51">
        <v>120.11</v>
      </c>
      <c r="P112" s="49" t="s">
        <v>814</v>
      </c>
      <c r="Q112" s="49" t="s">
        <v>258</v>
      </c>
    </row>
    <row r="113" spans="1:17" ht="14.4" customHeight="1" x14ac:dyDescent="0.3">
      <c r="A113" s="49" t="s">
        <v>772</v>
      </c>
      <c r="B113" s="54">
        <v>46149</v>
      </c>
      <c r="C113" s="49">
        <v>1655</v>
      </c>
      <c r="D113" s="51">
        <v>4</v>
      </c>
      <c r="E113" s="49">
        <v>1</v>
      </c>
      <c r="F113" s="148" t="s">
        <v>257</v>
      </c>
      <c r="G113" s="148" t="s">
        <v>257</v>
      </c>
      <c r="H113" s="148">
        <v>7.1162999999999998</v>
      </c>
      <c r="I113" s="148" t="s">
        <v>257</v>
      </c>
      <c r="J113" s="148">
        <v>37537.265599999999</v>
      </c>
      <c r="K113" s="148">
        <v>654.31910000000005</v>
      </c>
      <c r="L113" s="148">
        <v>380.97390000000001</v>
      </c>
      <c r="M113" s="148">
        <v>56.550400000000003</v>
      </c>
      <c r="N113" s="148">
        <v>12.5099</v>
      </c>
      <c r="O113" s="51">
        <v>122.79</v>
      </c>
      <c r="P113" s="49" t="s">
        <v>814</v>
      </c>
      <c r="Q113" s="49" t="s">
        <v>258</v>
      </c>
    </row>
    <row r="114" spans="1:17" ht="14.4" customHeight="1" x14ac:dyDescent="0.3">
      <c r="A114" s="49" t="s">
        <v>772</v>
      </c>
      <c r="B114" s="54">
        <v>46149</v>
      </c>
      <c r="C114" s="49">
        <v>1656</v>
      </c>
      <c r="D114" s="51">
        <v>4</v>
      </c>
      <c r="E114" s="49">
        <v>2</v>
      </c>
      <c r="F114" s="148" t="s">
        <v>257</v>
      </c>
      <c r="G114" s="148" t="s">
        <v>257</v>
      </c>
      <c r="H114" s="148">
        <v>6.6460999999999997</v>
      </c>
      <c r="I114" s="148" t="s">
        <v>257</v>
      </c>
      <c r="J114" s="148">
        <v>36163.9375</v>
      </c>
      <c r="K114" s="148">
        <v>579.87739999999997</v>
      </c>
      <c r="L114" s="148">
        <v>72.775599999999997</v>
      </c>
      <c r="M114" s="148">
        <v>56.634799999999998</v>
      </c>
      <c r="N114" s="148">
        <v>5.0792999999999999</v>
      </c>
      <c r="O114" s="51">
        <v>120.56</v>
      </c>
      <c r="P114" s="49" t="s">
        <v>814</v>
      </c>
      <c r="Q114" s="49" t="s">
        <v>258</v>
      </c>
    </row>
    <row r="115" spans="1:17" ht="14.4" customHeight="1" x14ac:dyDescent="0.3">
      <c r="A115" s="46" t="s">
        <v>778</v>
      </c>
      <c r="B115" s="53">
        <v>46149</v>
      </c>
      <c r="C115" s="46">
        <v>1657</v>
      </c>
      <c r="D115" s="52">
        <v>0</v>
      </c>
      <c r="E115" s="46">
        <v>1</v>
      </c>
      <c r="F115" s="147">
        <v>6.0830000000000002</v>
      </c>
      <c r="G115" s="147" t="s">
        <v>257</v>
      </c>
      <c r="H115" s="147">
        <v>5.6689999999999996</v>
      </c>
      <c r="I115" s="147" t="s">
        <v>257</v>
      </c>
      <c r="J115" s="147">
        <v>75496.523400000005</v>
      </c>
      <c r="K115" s="147">
        <v>426.22410000000002</v>
      </c>
      <c r="L115" s="147">
        <v>20556.261699999999</v>
      </c>
      <c r="M115" s="147">
        <v>47.875700000000002</v>
      </c>
      <c r="N115" s="147">
        <v>9.0832999999999995</v>
      </c>
      <c r="O115" s="52">
        <v>120.44</v>
      </c>
      <c r="P115" s="46" t="s">
        <v>815</v>
      </c>
      <c r="Q115" s="46" t="s">
        <v>258</v>
      </c>
    </row>
    <row r="116" spans="1:17" ht="14.4" customHeight="1" x14ac:dyDescent="0.3">
      <c r="A116" s="46" t="s">
        <v>778</v>
      </c>
      <c r="B116" s="53">
        <v>46149</v>
      </c>
      <c r="C116" s="46">
        <v>1658</v>
      </c>
      <c r="D116" s="52">
        <v>0</v>
      </c>
      <c r="E116" s="46">
        <v>2</v>
      </c>
      <c r="F116" s="147">
        <v>7.8788999999999998</v>
      </c>
      <c r="G116" s="147" t="s">
        <v>257</v>
      </c>
      <c r="H116" s="147">
        <v>8.4845000000000006</v>
      </c>
      <c r="I116" s="147" t="s">
        <v>257</v>
      </c>
      <c r="J116" s="147">
        <v>70840.164099999995</v>
      </c>
      <c r="K116" s="147">
        <v>463.79169999999999</v>
      </c>
      <c r="L116" s="147">
        <v>13663.1348</v>
      </c>
      <c r="M116" s="147">
        <v>47.072200000000002</v>
      </c>
      <c r="N116" s="147">
        <v>10.3089</v>
      </c>
      <c r="O116" s="52">
        <v>120.41</v>
      </c>
      <c r="P116" s="46" t="s">
        <v>815</v>
      </c>
      <c r="Q116" s="46" t="s">
        <v>258</v>
      </c>
    </row>
    <row r="117" spans="1:17" ht="14.4" customHeight="1" x14ac:dyDescent="0.3">
      <c r="A117" s="46" t="s">
        <v>778</v>
      </c>
      <c r="B117" s="53">
        <v>46149</v>
      </c>
      <c r="C117" s="46">
        <v>1659</v>
      </c>
      <c r="D117" s="52">
        <v>0.5</v>
      </c>
      <c r="E117" s="46">
        <v>1</v>
      </c>
      <c r="F117" s="147" t="s">
        <v>257</v>
      </c>
      <c r="G117" s="147" t="s">
        <v>257</v>
      </c>
      <c r="H117" s="147">
        <v>5.6387999999999998</v>
      </c>
      <c r="I117" s="147" t="s">
        <v>257</v>
      </c>
      <c r="J117" s="147">
        <v>57108.179700000001</v>
      </c>
      <c r="K117" s="147">
        <v>362.20119999999997</v>
      </c>
      <c r="L117" s="147">
        <v>14019.5635</v>
      </c>
      <c r="M117" s="147">
        <v>28.584199999999999</v>
      </c>
      <c r="N117" s="147" t="s">
        <v>257</v>
      </c>
      <c r="O117" s="52">
        <v>120.22</v>
      </c>
      <c r="P117" s="46" t="s">
        <v>815</v>
      </c>
      <c r="Q117" s="46" t="s">
        <v>258</v>
      </c>
    </row>
    <row r="118" spans="1:17" ht="14.4" customHeight="1" x14ac:dyDescent="0.3">
      <c r="A118" s="46" t="s">
        <v>778</v>
      </c>
      <c r="B118" s="53">
        <v>46149</v>
      </c>
      <c r="C118" s="46">
        <v>1660</v>
      </c>
      <c r="D118" s="52">
        <v>0.5</v>
      </c>
      <c r="E118" s="46">
        <v>2</v>
      </c>
      <c r="F118" s="147" t="s">
        <v>257</v>
      </c>
      <c r="G118" s="147" t="s">
        <v>257</v>
      </c>
      <c r="H118" s="147">
        <v>6.1515000000000004</v>
      </c>
      <c r="I118" s="147" t="s">
        <v>257</v>
      </c>
      <c r="J118" s="147">
        <v>55971.570299999999</v>
      </c>
      <c r="K118" s="147">
        <v>502.32429999999999</v>
      </c>
      <c r="L118" s="147">
        <v>14210.3271</v>
      </c>
      <c r="M118" s="147">
        <v>41.790700000000001</v>
      </c>
      <c r="N118" s="147" t="s">
        <v>257</v>
      </c>
      <c r="O118" s="52">
        <v>120.43</v>
      </c>
      <c r="P118" s="46" t="s">
        <v>815</v>
      </c>
      <c r="Q118" s="46" t="s">
        <v>258</v>
      </c>
    </row>
    <row r="119" spans="1:17" ht="14.4" customHeight="1" x14ac:dyDescent="0.3">
      <c r="A119" s="46" t="s">
        <v>778</v>
      </c>
      <c r="B119" s="53">
        <v>46149</v>
      </c>
      <c r="C119" s="46">
        <v>1661</v>
      </c>
      <c r="D119" s="52">
        <v>1</v>
      </c>
      <c r="E119" s="46">
        <v>1</v>
      </c>
      <c r="F119" s="147" t="s">
        <v>257</v>
      </c>
      <c r="G119" s="147" t="s">
        <v>257</v>
      </c>
      <c r="H119" s="147">
        <v>4.6101999999999999</v>
      </c>
      <c r="I119" s="147" t="s">
        <v>257</v>
      </c>
      <c r="J119" s="147">
        <v>50966.199200000003</v>
      </c>
      <c r="K119" s="147">
        <v>474.72179999999997</v>
      </c>
      <c r="L119" s="147">
        <v>13184.635700000001</v>
      </c>
      <c r="M119" s="147">
        <v>38.9011</v>
      </c>
      <c r="N119" s="147">
        <v>12.4026</v>
      </c>
      <c r="O119" s="52">
        <v>123</v>
      </c>
      <c r="P119" s="46" t="s">
        <v>815</v>
      </c>
      <c r="Q119" s="46" t="s">
        <v>258</v>
      </c>
    </row>
    <row r="120" spans="1:17" ht="14.4" customHeight="1" x14ac:dyDescent="0.3">
      <c r="A120" s="46" t="s">
        <v>778</v>
      </c>
      <c r="B120" s="53">
        <v>46149</v>
      </c>
      <c r="C120" s="46">
        <v>1663</v>
      </c>
      <c r="D120" s="52">
        <v>1</v>
      </c>
      <c r="E120" s="46">
        <v>2</v>
      </c>
      <c r="F120" s="147" t="s">
        <v>257</v>
      </c>
      <c r="G120" s="147" t="s">
        <v>257</v>
      </c>
      <c r="H120" s="147">
        <v>4.9882</v>
      </c>
      <c r="I120" s="147" t="s">
        <v>257</v>
      </c>
      <c r="J120" s="147">
        <v>50057.425799999997</v>
      </c>
      <c r="K120" s="147">
        <v>506.18029999999999</v>
      </c>
      <c r="L120" s="147">
        <v>12389.396500000001</v>
      </c>
      <c r="M120" s="147">
        <v>37.832299999999996</v>
      </c>
      <c r="N120" s="147">
        <v>9.2623999999999995</v>
      </c>
      <c r="O120" s="52">
        <v>120.19</v>
      </c>
      <c r="P120" s="46" t="s">
        <v>815</v>
      </c>
      <c r="Q120" s="46" t="s">
        <v>258</v>
      </c>
    </row>
    <row r="121" spans="1:17" ht="14.4" customHeight="1" x14ac:dyDescent="0.3">
      <c r="A121" s="46" t="s">
        <v>778</v>
      </c>
      <c r="B121" s="53">
        <v>46149</v>
      </c>
      <c r="C121" s="46">
        <v>1664</v>
      </c>
      <c r="D121" s="52">
        <v>1.5</v>
      </c>
      <c r="E121" s="46">
        <v>1</v>
      </c>
      <c r="F121" s="147" t="s">
        <v>257</v>
      </c>
      <c r="G121" s="147" t="s">
        <v>257</v>
      </c>
      <c r="H121" s="147">
        <v>7.1231999999999998</v>
      </c>
      <c r="I121" s="147" t="s">
        <v>257</v>
      </c>
      <c r="J121" s="147">
        <v>54573.621099999997</v>
      </c>
      <c r="K121" s="147">
        <v>469.79079999999999</v>
      </c>
      <c r="L121" s="147">
        <v>8079.6475</v>
      </c>
      <c r="M121" s="147">
        <v>31.832799999999999</v>
      </c>
      <c r="N121" s="147">
        <v>7.2187000000000001</v>
      </c>
      <c r="O121" s="52">
        <v>120.36</v>
      </c>
      <c r="P121" s="46" t="s">
        <v>815</v>
      </c>
      <c r="Q121" s="46" t="s">
        <v>258</v>
      </c>
    </row>
    <row r="122" spans="1:17" ht="14.4" customHeight="1" x14ac:dyDescent="0.3">
      <c r="A122" s="46" t="s">
        <v>778</v>
      </c>
      <c r="B122" s="53">
        <v>46149</v>
      </c>
      <c r="C122" s="46">
        <v>1665</v>
      </c>
      <c r="D122" s="52">
        <v>1.5</v>
      </c>
      <c r="E122" s="46">
        <v>2</v>
      </c>
      <c r="F122" s="147" t="s">
        <v>257</v>
      </c>
      <c r="G122" s="147" t="s">
        <v>257</v>
      </c>
      <c r="H122" s="147" t="s">
        <v>257</v>
      </c>
      <c r="I122" s="147" t="s">
        <v>257</v>
      </c>
      <c r="J122" s="147" t="s">
        <v>257</v>
      </c>
      <c r="K122" s="147">
        <v>963.80930000000001</v>
      </c>
      <c r="L122" s="147">
        <v>57169.515599999999</v>
      </c>
      <c r="M122" s="147" t="s">
        <v>257</v>
      </c>
      <c r="N122" s="147" t="s">
        <v>257</v>
      </c>
      <c r="O122" s="52">
        <v>124.15</v>
      </c>
      <c r="P122" s="46" t="s">
        <v>815</v>
      </c>
      <c r="Q122" s="46" t="s">
        <v>258</v>
      </c>
    </row>
    <row r="123" spans="1:17" ht="14.4" customHeight="1" x14ac:dyDescent="0.3">
      <c r="A123" s="46" t="s">
        <v>778</v>
      </c>
      <c r="B123" s="53">
        <v>46149</v>
      </c>
      <c r="C123" s="46">
        <v>1667</v>
      </c>
      <c r="D123" s="52">
        <v>1.5</v>
      </c>
      <c r="E123" s="46">
        <v>3</v>
      </c>
      <c r="F123" s="147" t="s">
        <v>257</v>
      </c>
      <c r="G123" s="147" t="s">
        <v>257</v>
      </c>
      <c r="H123" s="147">
        <v>5.1007999999999996</v>
      </c>
      <c r="I123" s="147" t="s">
        <v>257</v>
      </c>
      <c r="J123" s="147">
        <v>59472.621099999997</v>
      </c>
      <c r="K123" s="147">
        <v>398.51179999999999</v>
      </c>
      <c r="L123" s="147">
        <v>13457.7979</v>
      </c>
      <c r="M123" s="147">
        <v>25.287600000000001</v>
      </c>
      <c r="N123" s="147">
        <v>5.9196999999999997</v>
      </c>
      <c r="O123" s="52">
        <v>120.47</v>
      </c>
      <c r="P123" s="46" t="s">
        <v>815</v>
      </c>
      <c r="Q123" s="46" t="s">
        <v>258</v>
      </c>
    </row>
    <row r="124" spans="1:17" ht="14.4" customHeight="1" x14ac:dyDescent="0.3">
      <c r="A124" s="46" t="s">
        <v>778</v>
      </c>
      <c r="B124" s="53">
        <v>46149</v>
      </c>
      <c r="C124" s="46">
        <v>1668</v>
      </c>
      <c r="D124" s="52">
        <v>2</v>
      </c>
      <c r="E124" s="46">
        <v>1</v>
      </c>
      <c r="F124" s="147">
        <v>15.456300000000001</v>
      </c>
      <c r="G124" s="147" t="s">
        <v>257</v>
      </c>
      <c r="H124" s="147">
        <v>5.3490000000000002</v>
      </c>
      <c r="I124" s="147" t="s">
        <v>257</v>
      </c>
      <c r="J124" s="147">
        <v>69141.796900000001</v>
      </c>
      <c r="K124" s="147">
        <v>633.90729999999996</v>
      </c>
      <c r="L124" s="147">
        <v>9571.8770000000004</v>
      </c>
      <c r="M124" s="147">
        <v>39.480800000000002</v>
      </c>
      <c r="N124" s="147">
        <v>9.3931000000000004</v>
      </c>
      <c r="O124" s="52">
        <v>122.76</v>
      </c>
      <c r="P124" s="46" t="s">
        <v>815</v>
      </c>
      <c r="Q124" s="46" t="s">
        <v>258</v>
      </c>
    </row>
    <row r="125" spans="1:17" ht="14.4" customHeight="1" x14ac:dyDescent="0.3">
      <c r="A125" s="46" t="s">
        <v>778</v>
      </c>
      <c r="B125" s="53">
        <v>46149</v>
      </c>
      <c r="C125" s="46">
        <v>1669</v>
      </c>
      <c r="D125" s="52">
        <v>2</v>
      </c>
      <c r="E125" s="46">
        <v>2</v>
      </c>
      <c r="F125" s="147">
        <v>5.0176999999999996</v>
      </c>
      <c r="G125" s="147" t="s">
        <v>257</v>
      </c>
      <c r="H125" s="147">
        <v>5.8638000000000003</v>
      </c>
      <c r="I125" s="147" t="s">
        <v>257</v>
      </c>
      <c r="J125" s="147">
        <v>53036.917999999998</v>
      </c>
      <c r="K125" s="147">
        <v>467.92910000000001</v>
      </c>
      <c r="L125" s="147">
        <v>5890.9888000000001</v>
      </c>
      <c r="M125" s="147">
        <v>39.214100000000002</v>
      </c>
      <c r="N125" s="147" t="s">
        <v>257</v>
      </c>
      <c r="O125" s="52">
        <v>123.3</v>
      </c>
      <c r="P125" s="46" t="s">
        <v>815</v>
      </c>
      <c r="Q125" s="46" t="s">
        <v>258</v>
      </c>
    </row>
    <row r="126" spans="1:17" ht="14.4" customHeight="1" x14ac:dyDescent="0.3">
      <c r="A126" s="46" t="s">
        <v>778</v>
      </c>
      <c r="B126" s="53">
        <v>46149</v>
      </c>
      <c r="C126" s="46">
        <v>1670</v>
      </c>
      <c r="D126" s="52">
        <v>2</v>
      </c>
      <c r="E126" s="46">
        <v>3</v>
      </c>
      <c r="F126" s="147" t="s">
        <v>257</v>
      </c>
      <c r="G126" s="147" t="s">
        <v>257</v>
      </c>
      <c r="H126" s="147">
        <v>5.0553999999999997</v>
      </c>
      <c r="I126" s="147" t="s">
        <v>257</v>
      </c>
      <c r="J126" s="147">
        <v>51142.214800000002</v>
      </c>
      <c r="K126" s="147">
        <v>432.1628</v>
      </c>
      <c r="L126" s="147">
        <v>8482.2656000000006</v>
      </c>
      <c r="M126" s="147">
        <v>31.0306</v>
      </c>
      <c r="N126" s="147" t="s">
        <v>257</v>
      </c>
      <c r="O126" s="52">
        <v>122.84</v>
      </c>
      <c r="P126" s="46" t="s">
        <v>815</v>
      </c>
      <c r="Q126" s="46" t="s">
        <v>258</v>
      </c>
    </row>
    <row r="127" spans="1:17" ht="14.4" customHeight="1" x14ac:dyDescent="0.3">
      <c r="A127" s="46" t="s">
        <v>778</v>
      </c>
      <c r="B127" s="53">
        <v>46149</v>
      </c>
      <c r="C127" s="46">
        <v>1672</v>
      </c>
      <c r="D127" s="52">
        <v>2.5</v>
      </c>
      <c r="E127" s="46">
        <v>1</v>
      </c>
      <c r="F127" s="147" t="s">
        <v>257</v>
      </c>
      <c r="G127" s="147" t="s">
        <v>257</v>
      </c>
      <c r="H127" s="147">
        <v>4.7066999999999997</v>
      </c>
      <c r="I127" s="147" t="s">
        <v>257</v>
      </c>
      <c r="J127" s="147">
        <v>46161.941400000003</v>
      </c>
      <c r="K127" s="147">
        <v>417.58120000000002</v>
      </c>
      <c r="L127" s="147">
        <v>4303.0356000000002</v>
      </c>
      <c r="M127" s="147">
        <v>32.308500000000002</v>
      </c>
      <c r="N127" s="147" t="s">
        <v>257</v>
      </c>
      <c r="O127" s="52">
        <v>122.87</v>
      </c>
      <c r="P127" s="46" t="s">
        <v>815</v>
      </c>
      <c r="Q127" s="46" t="s">
        <v>258</v>
      </c>
    </row>
    <row r="128" spans="1:17" ht="14.4" customHeight="1" x14ac:dyDescent="0.3">
      <c r="A128" s="46" t="s">
        <v>778</v>
      </c>
      <c r="B128" s="53">
        <v>46149</v>
      </c>
      <c r="C128" s="46">
        <v>1673</v>
      </c>
      <c r="D128" s="52">
        <v>2.5</v>
      </c>
      <c r="E128" s="46">
        <v>2</v>
      </c>
      <c r="F128" s="147">
        <v>2.5282</v>
      </c>
      <c r="G128" s="147" t="s">
        <v>257</v>
      </c>
      <c r="H128" s="147">
        <v>5.0374999999999996</v>
      </c>
      <c r="I128" s="147" t="s">
        <v>257</v>
      </c>
      <c r="J128" s="147">
        <v>40657.152300000002</v>
      </c>
      <c r="K128" s="147">
        <v>476.84989999999999</v>
      </c>
      <c r="L128" s="147">
        <v>5698.3242</v>
      </c>
      <c r="M128" s="147">
        <v>37.2545</v>
      </c>
      <c r="N128" s="147" t="s">
        <v>257</v>
      </c>
      <c r="O128" s="52">
        <v>122.89</v>
      </c>
      <c r="P128" s="46" t="s">
        <v>815</v>
      </c>
      <c r="Q128" s="46" t="s">
        <v>258</v>
      </c>
    </row>
    <row r="129" spans="1:17" ht="14.4" customHeight="1" x14ac:dyDescent="0.3">
      <c r="A129" s="46" t="s">
        <v>778</v>
      </c>
      <c r="B129" s="53">
        <v>46149</v>
      </c>
      <c r="C129" s="46">
        <v>1674</v>
      </c>
      <c r="D129" s="52">
        <v>3</v>
      </c>
      <c r="E129" s="46">
        <v>1</v>
      </c>
      <c r="F129" s="147">
        <v>5.9371999999999998</v>
      </c>
      <c r="G129" s="147" t="s">
        <v>257</v>
      </c>
      <c r="H129" s="147">
        <v>8.1242000000000001</v>
      </c>
      <c r="I129" s="147" t="s">
        <v>257</v>
      </c>
      <c r="J129" s="147">
        <v>42673.085899999998</v>
      </c>
      <c r="K129" s="147">
        <v>570.60419999999999</v>
      </c>
      <c r="L129" s="147">
        <v>5942.5780999999997</v>
      </c>
      <c r="M129" s="147">
        <v>48.476799999999997</v>
      </c>
      <c r="N129" s="147">
        <v>12.862</v>
      </c>
      <c r="O129" s="52">
        <v>122.98</v>
      </c>
      <c r="P129" s="46" t="s">
        <v>815</v>
      </c>
      <c r="Q129" s="46" t="s">
        <v>258</v>
      </c>
    </row>
    <row r="130" spans="1:17" ht="14.4" customHeight="1" x14ac:dyDescent="0.3">
      <c r="A130" s="46" t="s">
        <v>778</v>
      </c>
      <c r="B130" s="53">
        <v>46149</v>
      </c>
      <c r="C130" s="46">
        <v>1675</v>
      </c>
      <c r="D130" s="52">
        <v>3</v>
      </c>
      <c r="E130" s="46">
        <v>2</v>
      </c>
      <c r="F130" s="147">
        <v>8.9966000000000008</v>
      </c>
      <c r="G130" s="147" t="s">
        <v>257</v>
      </c>
      <c r="H130" s="147">
        <v>10.1173</v>
      </c>
      <c r="I130" s="147" t="s">
        <v>257</v>
      </c>
      <c r="J130" s="147">
        <v>42997.398399999998</v>
      </c>
      <c r="K130" s="147">
        <v>607.39189999999996</v>
      </c>
      <c r="L130" s="147">
        <v>6405.0429999999997</v>
      </c>
      <c r="M130" s="147">
        <v>55.142600000000002</v>
      </c>
      <c r="N130" s="147">
        <v>15.0084</v>
      </c>
      <c r="O130" s="52">
        <v>122.9</v>
      </c>
      <c r="P130" s="46" t="s">
        <v>815</v>
      </c>
      <c r="Q130" s="46" t="s">
        <v>258</v>
      </c>
    </row>
    <row r="131" spans="1:17" ht="14.4" customHeight="1" x14ac:dyDescent="0.3">
      <c r="A131" s="46" t="s">
        <v>778</v>
      </c>
      <c r="B131" s="53">
        <v>46149</v>
      </c>
      <c r="C131" s="46">
        <v>1676</v>
      </c>
      <c r="D131" s="52">
        <v>3.5</v>
      </c>
      <c r="E131" s="46">
        <v>1</v>
      </c>
      <c r="F131" s="147" t="s">
        <v>257</v>
      </c>
      <c r="G131" s="147" t="s">
        <v>257</v>
      </c>
      <c r="H131" s="147">
        <v>6.2567000000000004</v>
      </c>
      <c r="I131" s="147" t="s">
        <v>257</v>
      </c>
      <c r="J131" s="147">
        <v>41329.953099999999</v>
      </c>
      <c r="K131" s="147">
        <v>550.06089999999995</v>
      </c>
      <c r="L131" s="147">
        <v>4052.1977999999999</v>
      </c>
      <c r="M131" s="147">
        <v>41.8688</v>
      </c>
      <c r="N131" s="147">
        <v>12.0372</v>
      </c>
      <c r="O131" s="52">
        <v>123.14</v>
      </c>
      <c r="P131" s="46" t="s">
        <v>815</v>
      </c>
      <c r="Q131" s="46" t="s">
        <v>258</v>
      </c>
    </row>
    <row r="132" spans="1:17" ht="14.4" customHeight="1" x14ac:dyDescent="0.3">
      <c r="A132" s="46" t="s">
        <v>778</v>
      </c>
      <c r="B132" s="53">
        <v>46149</v>
      </c>
      <c r="C132" s="46">
        <v>1677</v>
      </c>
      <c r="D132" s="52">
        <v>3.5</v>
      </c>
      <c r="E132" s="46">
        <v>2</v>
      </c>
      <c r="F132" s="147">
        <v>6.7610000000000001</v>
      </c>
      <c r="G132" s="147" t="s">
        <v>257</v>
      </c>
      <c r="H132" s="147">
        <v>5.2385999999999999</v>
      </c>
      <c r="I132" s="147" t="s">
        <v>257</v>
      </c>
      <c r="J132" s="147">
        <v>38452.367200000001</v>
      </c>
      <c r="K132" s="147">
        <v>444.88049999999998</v>
      </c>
      <c r="L132" s="147">
        <v>4116.2241000000004</v>
      </c>
      <c r="M132" s="147">
        <v>36.2515</v>
      </c>
      <c r="N132" s="147" t="s">
        <v>257</v>
      </c>
      <c r="O132" s="52">
        <v>122.94</v>
      </c>
      <c r="P132" s="46" t="s">
        <v>815</v>
      </c>
      <c r="Q132" s="46" t="s">
        <v>258</v>
      </c>
    </row>
    <row r="133" spans="1:17" ht="14.4" customHeight="1" x14ac:dyDescent="0.3">
      <c r="A133" s="46" t="s">
        <v>778</v>
      </c>
      <c r="B133" s="53">
        <v>46149</v>
      </c>
      <c r="C133" s="46">
        <v>1678</v>
      </c>
      <c r="D133" s="52">
        <v>3.5</v>
      </c>
      <c r="E133" s="46">
        <v>3</v>
      </c>
      <c r="F133" s="147">
        <v>4.2333999999999996</v>
      </c>
      <c r="G133" s="147" t="s">
        <v>257</v>
      </c>
      <c r="H133" s="147">
        <v>6.0753000000000004</v>
      </c>
      <c r="I133" s="147" t="s">
        <v>257</v>
      </c>
      <c r="J133" s="147">
        <v>40995.902300000002</v>
      </c>
      <c r="K133" s="147">
        <v>487.43040000000002</v>
      </c>
      <c r="L133" s="147">
        <v>4036.3263999999999</v>
      </c>
      <c r="M133" s="147">
        <v>43.279800000000002</v>
      </c>
      <c r="N133" s="147">
        <v>9.2319999999999993</v>
      </c>
      <c r="O133" s="52">
        <v>120.35</v>
      </c>
      <c r="P133" s="46" t="s">
        <v>815</v>
      </c>
      <c r="Q133" s="46" t="s">
        <v>258</v>
      </c>
    </row>
    <row r="134" spans="1:17" ht="14.4" customHeight="1" x14ac:dyDescent="0.3">
      <c r="A134" s="46" t="s">
        <v>778</v>
      </c>
      <c r="B134" s="53">
        <v>46149</v>
      </c>
      <c r="C134" s="46">
        <v>1679</v>
      </c>
      <c r="D134" s="52">
        <v>4</v>
      </c>
      <c r="E134" s="46">
        <v>1</v>
      </c>
      <c r="F134" s="147" t="s">
        <v>257</v>
      </c>
      <c r="G134" s="147" t="s">
        <v>257</v>
      </c>
      <c r="H134" s="147">
        <v>6.8520000000000003</v>
      </c>
      <c r="I134" s="147" t="s">
        <v>257</v>
      </c>
      <c r="J134" s="147">
        <v>39586.859400000001</v>
      </c>
      <c r="K134" s="147">
        <v>456.72890000000001</v>
      </c>
      <c r="L134" s="147">
        <v>4675.5087999999996</v>
      </c>
      <c r="M134" s="147">
        <v>35.827800000000003</v>
      </c>
      <c r="N134" s="147" t="s">
        <v>257</v>
      </c>
      <c r="O134" s="52">
        <v>120.15</v>
      </c>
      <c r="P134" s="46" t="s">
        <v>815</v>
      </c>
      <c r="Q134" s="46" t="s">
        <v>258</v>
      </c>
    </row>
    <row r="135" spans="1:17" ht="14.4" customHeight="1" x14ac:dyDescent="0.3">
      <c r="A135" s="46" t="s">
        <v>778</v>
      </c>
      <c r="B135" s="53">
        <v>46149</v>
      </c>
      <c r="C135" s="46">
        <v>1680</v>
      </c>
      <c r="D135" s="52">
        <v>4</v>
      </c>
      <c r="E135" s="46">
        <v>2</v>
      </c>
      <c r="F135" s="147" t="s">
        <v>257</v>
      </c>
      <c r="G135" s="147" t="s">
        <v>257</v>
      </c>
      <c r="H135" s="147">
        <v>4.6090999999999998</v>
      </c>
      <c r="I135" s="147" t="s">
        <v>257</v>
      </c>
      <c r="J135" s="147">
        <v>39859.980499999998</v>
      </c>
      <c r="K135" s="147">
        <v>434.32470000000001</v>
      </c>
      <c r="L135" s="147">
        <v>4618.3140000000003</v>
      </c>
      <c r="M135" s="147">
        <v>41.255600000000001</v>
      </c>
      <c r="N135" s="147" t="s">
        <v>257</v>
      </c>
      <c r="O135" s="52">
        <v>120.54</v>
      </c>
      <c r="P135" s="46" t="s">
        <v>815</v>
      </c>
      <c r="Q135" s="46" t="s">
        <v>258</v>
      </c>
    </row>
    <row r="136" spans="1:17" ht="14.4" customHeight="1" x14ac:dyDescent="0.3">
      <c r="A136" s="49" t="s">
        <v>780</v>
      </c>
      <c r="B136" s="54">
        <v>46149</v>
      </c>
      <c r="C136" s="49">
        <v>1681</v>
      </c>
      <c r="D136" s="51">
        <v>0</v>
      </c>
      <c r="E136" s="49">
        <v>1</v>
      </c>
      <c r="F136" s="148" t="s">
        <v>257</v>
      </c>
      <c r="G136" s="148" t="s">
        <v>257</v>
      </c>
      <c r="H136" s="148">
        <v>4.0547000000000004</v>
      </c>
      <c r="I136" s="148" t="s">
        <v>257</v>
      </c>
      <c r="J136" s="148">
        <v>35328.902300000002</v>
      </c>
      <c r="K136" s="148">
        <v>503.16230000000002</v>
      </c>
      <c r="L136" s="148">
        <v>173.46700000000001</v>
      </c>
      <c r="M136" s="148">
        <v>31.3629</v>
      </c>
      <c r="N136" s="148" t="s">
        <v>257</v>
      </c>
      <c r="O136" s="51">
        <v>123.23</v>
      </c>
      <c r="P136" s="49" t="s">
        <v>814</v>
      </c>
      <c r="Q136" s="49" t="s">
        <v>258</v>
      </c>
    </row>
    <row r="137" spans="1:17" ht="14.4" customHeight="1" x14ac:dyDescent="0.3">
      <c r="A137" s="49" t="s">
        <v>780</v>
      </c>
      <c r="B137" s="54">
        <v>46149</v>
      </c>
      <c r="C137" s="49">
        <v>1682</v>
      </c>
      <c r="D137" s="51">
        <v>0</v>
      </c>
      <c r="E137" s="49">
        <v>2</v>
      </c>
      <c r="F137" s="148" t="s">
        <v>257</v>
      </c>
      <c r="G137" s="148" t="s">
        <v>257</v>
      </c>
      <c r="H137" s="148">
        <v>3.2185000000000001</v>
      </c>
      <c r="I137" s="148" t="s">
        <v>257</v>
      </c>
      <c r="J137" s="148">
        <v>36229.6875</v>
      </c>
      <c r="K137" s="148">
        <v>545.39020000000005</v>
      </c>
      <c r="L137" s="148">
        <v>186.32429999999999</v>
      </c>
      <c r="M137" s="148">
        <v>36.251199999999997</v>
      </c>
      <c r="N137" s="148" t="s">
        <v>257</v>
      </c>
      <c r="O137" s="51">
        <v>122.71</v>
      </c>
      <c r="P137" s="49" t="s">
        <v>814</v>
      </c>
      <c r="Q137" s="49" t="s">
        <v>258</v>
      </c>
    </row>
    <row r="138" spans="1:17" ht="14.4" customHeight="1" x14ac:dyDescent="0.3">
      <c r="A138" s="49" t="s">
        <v>780</v>
      </c>
      <c r="B138" s="54">
        <v>46149</v>
      </c>
      <c r="C138" s="49">
        <v>1683</v>
      </c>
      <c r="D138" s="51">
        <v>0.5</v>
      </c>
      <c r="E138" s="49">
        <v>1</v>
      </c>
      <c r="F138" s="148" t="s">
        <v>257</v>
      </c>
      <c r="G138" s="148" t="s">
        <v>257</v>
      </c>
      <c r="H138" s="148">
        <v>4.0372000000000003</v>
      </c>
      <c r="I138" s="148" t="s">
        <v>257</v>
      </c>
      <c r="J138" s="148">
        <v>38232.980499999998</v>
      </c>
      <c r="K138" s="148">
        <v>610.1943</v>
      </c>
      <c r="L138" s="148">
        <v>203.82329999999999</v>
      </c>
      <c r="M138" s="148">
        <v>37.573099999999997</v>
      </c>
      <c r="N138" s="148">
        <v>6.2948000000000004</v>
      </c>
      <c r="O138" s="51">
        <v>120.51</v>
      </c>
      <c r="P138" s="49" t="s">
        <v>814</v>
      </c>
      <c r="Q138" s="49" t="s">
        <v>258</v>
      </c>
    </row>
    <row r="139" spans="1:17" ht="14.4" customHeight="1" x14ac:dyDescent="0.3">
      <c r="A139" s="49" t="s">
        <v>780</v>
      </c>
      <c r="B139" s="54">
        <v>46149</v>
      </c>
      <c r="C139" s="49">
        <v>1684</v>
      </c>
      <c r="D139" s="51">
        <v>0.5</v>
      </c>
      <c r="E139" s="49">
        <v>2</v>
      </c>
      <c r="F139" s="148" t="s">
        <v>257</v>
      </c>
      <c r="G139" s="148" t="s">
        <v>257</v>
      </c>
      <c r="H139" s="148">
        <v>4.8300999999999998</v>
      </c>
      <c r="I139" s="148" t="s">
        <v>257</v>
      </c>
      <c r="J139" s="148">
        <v>39297.339800000002</v>
      </c>
      <c r="K139" s="148">
        <v>628.23140000000001</v>
      </c>
      <c r="L139" s="148">
        <v>78.27</v>
      </c>
      <c r="M139" s="148">
        <v>45.601199999999999</v>
      </c>
      <c r="N139" s="148">
        <v>12.034599999999999</v>
      </c>
      <c r="O139" s="51">
        <v>122.71</v>
      </c>
      <c r="P139" s="49" t="s">
        <v>814</v>
      </c>
      <c r="Q139" s="49" t="s">
        <v>258</v>
      </c>
    </row>
    <row r="140" spans="1:17" ht="14.4" customHeight="1" x14ac:dyDescent="0.3">
      <c r="A140" s="49" t="s">
        <v>780</v>
      </c>
      <c r="B140" s="54">
        <v>46149</v>
      </c>
      <c r="C140" s="49">
        <v>1686</v>
      </c>
      <c r="D140" s="51">
        <v>1</v>
      </c>
      <c r="E140" s="49">
        <v>1</v>
      </c>
      <c r="F140" s="148" t="s">
        <v>257</v>
      </c>
      <c r="G140" s="148" t="s">
        <v>257</v>
      </c>
      <c r="H140" s="148">
        <v>6.2923</v>
      </c>
      <c r="I140" s="148" t="s">
        <v>257</v>
      </c>
      <c r="J140" s="148">
        <v>39120.324200000003</v>
      </c>
      <c r="K140" s="148">
        <v>608.36149999999998</v>
      </c>
      <c r="L140" s="148">
        <v>345.70659999999998</v>
      </c>
      <c r="M140" s="148">
        <v>40.472000000000001</v>
      </c>
      <c r="N140" s="148" t="s">
        <v>257</v>
      </c>
      <c r="O140" s="51">
        <v>122.87</v>
      </c>
      <c r="P140" s="49" t="s">
        <v>814</v>
      </c>
      <c r="Q140" s="49" t="s">
        <v>258</v>
      </c>
    </row>
    <row r="141" spans="1:17" ht="14.4" customHeight="1" x14ac:dyDescent="0.3">
      <c r="A141" s="49" t="s">
        <v>780</v>
      </c>
      <c r="B141" s="54">
        <v>46149</v>
      </c>
      <c r="C141" s="49">
        <v>1687</v>
      </c>
      <c r="D141" s="51">
        <v>1</v>
      </c>
      <c r="E141" s="49">
        <v>2</v>
      </c>
      <c r="F141" s="148" t="s">
        <v>257</v>
      </c>
      <c r="G141" s="148" t="s">
        <v>257</v>
      </c>
      <c r="H141" s="148">
        <v>3.8464</v>
      </c>
      <c r="I141" s="148" t="s">
        <v>257</v>
      </c>
      <c r="J141" s="148">
        <v>38224.183599999997</v>
      </c>
      <c r="K141" s="148">
        <v>621.25660000000005</v>
      </c>
      <c r="L141" s="148">
        <v>412.49180000000001</v>
      </c>
      <c r="M141" s="148">
        <v>37.145099999999999</v>
      </c>
      <c r="N141" s="148">
        <v>4.9840999999999998</v>
      </c>
      <c r="O141" s="51">
        <v>120.84</v>
      </c>
      <c r="P141" s="49" t="s">
        <v>814</v>
      </c>
      <c r="Q141" s="49" t="s">
        <v>258</v>
      </c>
    </row>
    <row r="142" spans="1:17" ht="14.4" customHeight="1" x14ac:dyDescent="0.3">
      <c r="A142" s="49" t="s">
        <v>780</v>
      </c>
      <c r="B142" s="54">
        <v>46149</v>
      </c>
      <c r="C142" s="49">
        <v>1688</v>
      </c>
      <c r="D142" s="51">
        <v>1.5</v>
      </c>
      <c r="E142" s="49">
        <v>1</v>
      </c>
      <c r="F142" s="148" t="s">
        <v>257</v>
      </c>
      <c r="G142" s="148" t="s">
        <v>257</v>
      </c>
      <c r="H142" s="148">
        <v>5.6093000000000002</v>
      </c>
      <c r="I142" s="148" t="s">
        <v>257</v>
      </c>
      <c r="J142" s="148">
        <v>40271.414100000002</v>
      </c>
      <c r="K142" s="148">
        <v>628.61890000000005</v>
      </c>
      <c r="L142" s="148">
        <v>209.90039999999999</v>
      </c>
      <c r="M142" s="148">
        <v>50.514899999999997</v>
      </c>
      <c r="N142" s="148">
        <v>6.2324000000000002</v>
      </c>
      <c r="O142" s="51">
        <v>122.92</v>
      </c>
      <c r="P142" s="49" t="s">
        <v>814</v>
      </c>
      <c r="Q142" s="49" t="s">
        <v>258</v>
      </c>
    </row>
    <row r="143" spans="1:17" ht="14.4" customHeight="1" x14ac:dyDescent="0.3">
      <c r="A143" s="49" t="s">
        <v>780</v>
      </c>
      <c r="B143" s="54">
        <v>46149</v>
      </c>
      <c r="C143" s="49">
        <v>1689</v>
      </c>
      <c r="D143" s="51">
        <v>1.5</v>
      </c>
      <c r="E143" s="49">
        <v>2</v>
      </c>
      <c r="F143" s="148" t="s">
        <v>257</v>
      </c>
      <c r="G143" s="148" t="s">
        <v>257</v>
      </c>
      <c r="H143" s="148">
        <v>3.5543</v>
      </c>
      <c r="I143" s="148" t="s">
        <v>257</v>
      </c>
      <c r="J143" s="148">
        <v>42693.289100000002</v>
      </c>
      <c r="K143" s="148">
        <v>713.66049999999996</v>
      </c>
      <c r="L143" s="148">
        <v>247.31950000000001</v>
      </c>
      <c r="M143" s="148">
        <v>56.927999999999997</v>
      </c>
      <c r="N143" s="148" t="s">
        <v>257</v>
      </c>
      <c r="O143" s="51">
        <v>122.99</v>
      </c>
      <c r="P143" s="49" t="s">
        <v>814</v>
      </c>
      <c r="Q143" s="49" t="s">
        <v>258</v>
      </c>
    </row>
    <row r="144" spans="1:17" ht="14.4" customHeight="1" x14ac:dyDescent="0.3">
      <c r="A144" s="49" t="s">
        <v>780</v>
      </c>
      <c r="B144" s="54">
        <v>46149</v>
      </c>
      <c r="C144" s="49">
        <v>1691</v>
      </c>
      <c r="D144" s="51">
        <v>2</v>
      </c>
      <c r="E144" s="49">
        <v>1</v>
      </c>
      <c r="F144" s="148" t="s">
        <v>257</v>
      </c>
      <c r="G144" s="148" t="s">
        <v>257</v>
      </c>
      <c r="H144" s="148">
        <v>5.5068000000000001</v>
      </c>
      <c r="I144" s="148" t="s">
        <v>257</v>
      </c>
      <c r="J144" s="148">
        <v>36095.265599999999</v>
      </c>
      <c r="K144" s="148">
        <v>566.16970000000003</v>
      </c>
      <c r="L144" s="148" t="s">
        <v>257</v>
      </c>
      <c r="M144" s="148">
        <v>40.031199999999998</v>
      </c>
      <c r="N144" s="148">
        <v>8.2027999999999999</v>
      </c>
      <c r="O144" s="51">
        <v>120.46</v>
      </c>
      <c r="P144" s="49" t="s">
        <v>814</v>
      </c>
      <c r="Q144" s="49" t="s">
        <v>258</v>
      </c>
    </row>
    <row r="145" spans="1:17" ht="14.4" customHeight="1" x14ac:dyDescent="0.3">
      <c r="A145" s="49" t="s">
        <v>780</v>
      </c>
      <c r="B145" s="54">
        <v>46149</v>
      </c>
      <c r="C145" s="49">
        <v>1692</v>
      </c>
      <c r="D145" s="51">
        <v>2</v>
      </c>
      <c r="E145" s="49">
        <v>2</v>
      </c>
      <c r="F145" s="148">
        <v>5.4211</v>
      </c>
      <c r="G145" s="148" t="s">
        <v>257</v>
      </c>
      <c r="H145" s="148">
        <v>6.1665999999999999</v>
      </c>
      <c r="I145" s="148" t="s">
        <v>257</v>
      </c>
      <c r="J145" s="148">
        <v>35513.941400000003</v>
      </c>
      <c r="K145" s="148">
        <v>543.66610000000003</v>
      </c>
      <c r="L145" s="148" t="s">
        <v>257</v>
      </c>
      <c r="M145" s="148">
        <v>40.8446</v>
      </c>
      <c r="N145" s="148">
        <v>9.5798000000000005</v>
      </c>
      <c r="O145" s="51">
        <v>122.95</v>
      </c>
      <c r="P145" s="49" t="s">
        <v>814</v>
      </c>
      <c r="Q145" s="49" t="s">
        <v>258</v>
      </c>
    </row>
    <row r="146" spans="1:17" ht="14.4" customHeight="1" x14ac:dyDescent="0.3">
      <c r="A146" s="49" t="s">
        <v>780</v>
      </c>
      <c r="B146" s="54">
        <v>46149</v>
      </c>
      <c r="C146" s="49">
        <v>1693</v>
      </c>
      <c r="D146" s="51">
        <v>2</v>
      </c>
      <c r="E146" s="49">
        <v>3</v>
      </c>
      <c r="F146" s="148" t="s">
        <v>257</v>
      </c>
      <c r="G146" s="148" t="s">
        <v>257</v>
      </c>
      <c r="H146" s="148">
        <v>4.4859</v>
      </c>
      <c r="I146" s="148" t="s">
        <v>257</v>
      </c>
      <c r="J146" s="148">
        <v>41570.25</v>
      </c>
      <c r="K146" s="148">
        <v>679.803</v>
      </c>
      <c r="L146" s="148">
        <v>124.6113</v>
      </c>
      <c r="M146" s="148">
        <v>54.604300000000002</v>
      </c>
      <c r="N146" s="148">
        <v>6.1974</v>
      </c>
      <c r="O146" s="51">
        <v>120.26</v>
      </c>
      <c r="P146" s="49" t="s">
        <v>814</v>
      </c>
      <c r="Q146" s="49" t="s">
        <v>258</v>
      </c>
    </row>
    <row r="147" spans="1:17" ht="14.4" customHeight="1" x14ac:dyDescent="0.3">
      <c r="A147" s="49" t="s">
        <v>780</v>
      </c>
      <c r="B147" s="54">
        <v>46149</v>
      </c>
      <c r="C147" s="49">
        <v>1695</v>
      </c>
      <c r="D147" s="51">
        <v>2.5</v>
      </c>
      <c r="E147" s="49">
        <v>1</v>
      </c>
      <c r="F147" s="148" t="s">
        <v>257</v>
      </c>
      <c r="G147" s="148" t="s">
        <v>257</v>
      </c>
      <c r="H147" s="148" t="s">
        <v>257</v>
      </c>
      <c r="I147" s="148" t="s">
        <v>257</v>
      </c>
      <c r="J147" s="148">
        <v>32824.929700000001</v>
      </c>
      <c r="K147" s="148">
        <v>476.38139999999999</v>
      </c>
      <c r="L147" s="148">
        <v>196.39279999999999</v>
      </c>
      <c r="M147" s="148">
        <v>30.148700000000002</v>
      </c>
      <c r="N147" s="148" t="s">
        <v>257</v>
      </c>
      <c r="O147" s="51">
        <v>122.99</v>
      </c>
      <c r="P147" s="49" t="s">
        <v>814</v>
      </c>
      <c r="Q147" s="49" t="s">
        <v>258</v>
      </c>
    </row>
    <row r="148" spans="1:17" ht="14.4" customHeight="1" x14ac:dyDescent="0.3">
      <c r="A148" s="49" t="s">
        <v>780</v>
      </c>
      <c r="B148" s="54">
        <v>46149</v>
      </c>
      <c r="C148" s="49">
        <v>1696</v>
      </c>
      <c r="D148" s="51">
        <v>2.5</v>
      </c>
      <c r="E148" s="49">
        <v>2</v>
      </c>
      <c r="F148" s="148" t="s">
        <v>257</v>
      </c>
      <c r="G148" s="148" t="s">
        <v>257</v>
      </c>
      <c r="H148" s="148">
        <v>4.5803000000000003</v>
      </c>
      <c r="I148" s="148" t="s">
        <v>257</v>
      </c>
      <c r="J148" s="148">
        <v>33015.625</v>
      </c>
      <c r="K148" s="148">
        <v>507.84100000000001</v>
      </c>
      <c r="L148" s="148">
        <v>173.84950000000001</v>
      </c>
      <c r="M148" s="148">
        <v>26.9527</v>
      </c>
      <c r="N148" s="148" t="s">
        <v>257</v>
      </c>
      <c r="O148" s="51">
        <v>122.76</v>
      </c>
      <c r="P148" s="49" t="s">
        <v>814</v>
      </c>
      <c r="Q148" s="49" t="s">
        <v>258</v>
      </c>
    </row>
    <row r="149" spans="1:17" ht="14.4" customHeight="1" x14ac:dyDescent="0.3">
      <c r="A149" s="49" t="s">
        <v>780</v>
      </c>
      <c r="B149" s="54">
        <v>46149</v>
      </c>
      <c r="C149" s="49">
        <v>1697</v>
      </c>
      <c r="D149" s="51">
        <v>3</v>
      </c>
      <c r="E149" s="49">
        <v>1</v>
      </c>
      <c r="F149" s="148" t="s">
        <v>257</v>
      </c>
      <c r="G149" s="148" t="s">
        <v>257</v>
      </c>
      <c r="H149" s="148">
        <v>6.1828000000000003</v>
      </c>
      <c r="I149" s="148" t="s">
        <v>257</v>
      </c>
      <c r="J149" s="148">
        <v>38095.757799999999</v>
      </c>
      <c r="K149" s="148">
        <v>599.11509999999998</v>
      </c>
      <c r="L149" s="148">
        <v>256.53289999999998</v>
      </c>
      <c r="M149" s="148">
        <v>45.624200000000002</v>
      </c>
      <c r="N149" s="148" t="s">
        <v>257</v>
      </c>
      <c r="O149" s="51">
        <v>122.78</v>
      </c>
      <c r="P149" s="49" t="s">
        <v>814</v>
      </c>
      <c r="Q149" s="49" t="s">
        <v>258</v>
      </c>
    </row>
    <row r="150" spans="1:17" ht="14.4" customHeight="1" x14ac:dyDescent="0.3">
      <c r="A150" s="49" t="s">
        <v>780</v>
      </c>
      <c r="B150" s="54">
        <v>46149</v>
      </c>
      <c r="C150" s="49">
        <v>1698</v>
      </c>
      <c r="D150" s="51">
        <v>3</v>
      </c>
      <c r="E150" s="49">
        <v>2</v>
      </c>
      <c r="F150" s="148" t="s">
        <v>257</v>
      </c>
      <c r="G150" s="148" t="s">
        <v>257</v>
      </c>
      <c r="H150" s="148">
        <v>4.2000999999999999</v>
      </c>
      <c r="I150" s="148" t="s">
        <v>257</v>
      </c>
      <c r="J150" s="148">
        <v>38486.894500000002</v>
      </c>
      <c r="K150" s="148">
        <v>590.67380000000003</v>
      </c>
      <c r="L150" s="148">
        <v>295.77769999999998</v>
      </c>
      <c r="M150" s="148">
        <v>39.413600000000002</v>
      </c>
      <c r="N150" s="148" t="s">
        <v>257</v>
      </c>
      <c r="O150" s="51">
        <v>120.6</v>
      </c>
      <c r="P150" s="49" t="s">
        <v>814</v>
      </c>
      <c r="Q150" s="49" t="s">
        <v>258</v>
      </c>
    </row>
    <row r="151" spans="1:17" ht="14.4" customHeight="1" x14ac:dyDescent="0.3">
      <c r="A151" s="49" t="s">
        <v>780</v>
      </c>
      <c r="B151" s="54">
        <v>46149</v>
      </c>
      <c r="C151" s="49">
        <v>1699</v>
      </c>
      <c r="D151" s="51">
        <v>3.5</v>
      </c>
      <c r="E151" s="49">
        <v>1</v>
      </c>
      <c r="F151" s="148" t="s">
        <v>257</v>
      </c>
      <c r="G151" s="148" t="s">
        <v>257</v>
      </c>
      <c r="H151" s="148">
        <v>4.0640999999999998</v>
      </c>
      <c r="I151" s="148" t="s">
        <v>257</v>
      </c>
      <c r="J151" s="148">
        <v>36299.433599999997</v>
      </c>
      <c r="K151" s="148">
        <v>570.25229999999999</v>
      </c>
      <c r="L151" s="148">
        <v>324.57639999999998</v>
      </c>
      <c r="M151" s="148">
        <v>30.363199999999999</v>
      </c>
      <c r="N151" s="148" t="s">
        <v>257</v>
      </c>
      <c r="O151" s="51">
        <v>122.98</v>
      </c>
      <c r="P151" s="49" t="s">
        <v>814</v>
      </c>
      <c r="Q151" s="49" t="s">
        <v>258</v>
      </c>
    </row>
    <row r="152" spans="1:17" ht="14.4" customHeight="1" x14ac:dyDescent="0.3">
      <c r="A152" s="49" t="s">
        <v>780</v>
      </c>
      <c r="B152" s="54">
        <v>46149</v>
      </c>
      <c r="C152" s="49">
        <v>1700</v>
      </c>
      <c r="D152" s="51">
        <v>3.5</v>
      </c>
      <c r="E152" s="49">
        <v>2</v>
      </c>
      <c r="F152" s="148" t="s">
        <v>257</v>
      </c>
      <c r="G152" s="148" t="s">
        <v>257</v>
      </c>
      <c r="H152" s="148">
        <v>5.3654999999999999</v>
      </c>
      <c r="I152" s="148" t="s">
        <v>257</v>
      </c>
      <c r="J152" s="148">
        <v>38379.820299999999</v>
      </c>
      <c r="K152" s="148">
        <v>574.45870000000002</v>
      </c>
      <c r="L152" s="148">
        <v>289.82150000000001</v>
      </c>
      <c r="M152" s="148">
        <v>43.3964</v>
      </c>
      <c r="N152" s="148" t="s">
        <v>257</v>
      </c>
      <c r="O152" s="51">
        <v>120.43</v>
      </c>
      <c r="P152" s="49" t="s">
        <v>814</v>
      </c>
      <c r="Q152" s="49" t="s">
        <v>258</v>
      </c>
    </row>
    <row r="153" spans="1:17" ht="14.4" customHeight="1" x14ac:dyDescent="0.3">
      <c r="A153" s="49" t="s">
        <v>780</v>
      </c>
      <c r="B153" s="54">
        <v>46149</v>
      </c>
      <c r="C153" s="49">
        <v>1701</v>
      </c>
      <c r="D153" s="51">
        <v>4</v>
      </c>
      <c r="E153" s="49">
        <v>1</v>
      </c>
      <c r="F153" s="148" t="s">
        <v>257</v>
      </c>
      <c r="G153" s="148" t="s">
        <v>257</v>
      </c>
      <c r="H153" s="148">
        <v>4.5308000000000002</v>
      </c>
      <c r="I153" s="148" t="s">
        <v>257</v>
      </c>
      <c r="J153" s="148">
        <v>39905.277300000002</v>
      </c>
      <c r="K153" s="148">
        <v>626.19200000000001</v>
      </c>
      <c r="L153" s="148">
        <v>225.20099999999999</v>
      </c>
      <c r="M153" s="148">
        <v>39.435099999999998</v>
      </c>
      <c r="N153" s="148">
        <v>7.2565</v>
      </c>
      <c r="O153" s="51">
        <v>120.16</v>
      </c>
      <c r="P153" s="49" t="s">
        <v>814</v>
      </c>
      <c r="Q153" s="49" t="s">
        <v>258</v>
      </c>
    </row>
    <row r="154" spans="1:17" ht="14.4" customHeight="1" x14ac:dyDescent="0.3">
      <c r="A154" s="49" t="s">
        <v>780</v>
      </c>
      <c r="B154" s="54">
        <v>46149</v>
      </c>
      <c r="C154" s="49">
        <v>1702</v>
      </c>
      <c r="D154" s="51">
        <v>4</v>
      </c>
      <c r="E154" s="49">
        <v>2</v>
      </c>
      <c r="F154" s="148" t="s">
        <v>257</v>
      </c>
      <c r="G154" s="148" t="s">
        <v>257</v>
      </c>
      <c r="H154" s="148">
        <v>5.9370000000000003</v>
      </c>
      <c r="I154" s="148" t="s">
        <v>257</v>
      </c>
      <c r="J154" s="148">
        <v>40073.757799999999</v>
      </c>
      <c r="K154" s="148">
        <v>653.50599999999997</v>
      </c>
      <c r="L154" s="148">
        <v>184.82570000000001</v>
      </c>
      <c r="M154" s="148">
        <v>48.633499999999998</v>
      </c>
      <c r="N154" s="148" t="s">
        <v>257</v>
      </c>
      <c r="O154" s="51">
        <v>122.82</v>
      </c>
      <c r="P154" s="49" t="s">
        <v>814</v>
      </c>
      <c r="Q154" s="49" t="s">
        <v>258</v>
      </c>
    </row>
    <row r="155" spans="1:17" ht="14.4" customHeight="1" x14ac:dyDescent="0.3">
      <c r="A155" s="46" t="s">
        <v>781</v>
      </c>
      <c r="B155" s="53">
        <v>46149</v>
      </c>
      <c r="C155" s="46">
        <v>1703</v>
      </c>
      <c r="D155" s="52">
        <v>0</v>
      </c>
      <c r="E155" s="46">
        <v>1</v>
      </c>
      <c r="F155" s="147">
        <v>8.8809000000000005</v>
      </c>
      <c r="G155" s="147">
        <v>3.8083999999999998</v>
      </c>
      <c r="H155" s="147">
        <v>6.6447000000000003</v>
      </c>
      <c r="I155" s="147" t="s">
        <v>257</v>
      </c>
      <c r="J155" s="147">
        <v>89688.929699999993</v>
      </c>
      <c r="K155" s="147">
        <v>304.69830000000002</v>
      </c>
      <c r="L155" s="147">
        <v>33479.218800000002</v>
      </c>
      <c r="M155" s="147">
        <v>33.308399999999999</v>
      </c>
      <c r="N155" s="147">
        <v>87.115899999999996</v>
      </c>
      <c r="O155" s="52">
        <v>120.57</v>
      </c>
      <c r="P155" s="46" t="s">
        <v>814</v>
      </c>
      <c r="Q155" s="46" t="s">
        <v>258</v>
      </c>
    </row>
    <row r="156" spans="1:17" ht="14.4" customHeight="1" x14ac:dyDescent="0.3">
      <c r="A156" s="46" t="s">
        <v>781</v>
      </c>
      <c r="B156" s="53">
        <v>46149</v>
      </c>
      <c r="C156" s="46">
        <v>1704</v>
      </c>
      <c r="D156" s="52">
        <v>0</v>
      </c>
      <c r="E156" s="46">
        <v>2</v>
      </c>
      <c r="F156" s="147">
        <v>4.8494000000000002</v>
      </c>
      <c r="G156" s="147">
        <v>3.3336999999999999</v>
      </c>
      <c r="H156" s="147">
        <v>8.3795000000000002</v>
      </c>
      <c r="I156" s="147" t="s">
        <v>257</v>
      </c>
      <c r="J156" s="147">
        <v>86653.140599999999</v>
      </c>
      <c r="K156" s="147">
        <v>267.19159999999999</v>
      </c>
      <c r="L156" s="147">
        <v>33704.539100000002</v>
      </c>
      <c r="M156" s="147">
        <v>35.518900000000002</v>
      </c>
      <c r="N156" s="147">
        <v>80.197500000000005</v>
      </c>
      <c r="O156" s="52">
        <v>120.71</v>
      </c>
      <c r="P156" s="46" t="s">
        <v>814</v>
      </c>
      <c r="Q156" s="46" t="s">
        <v>258</v>
      </c>
    </row>
    <row r="157" spans="1:17" ht="14.4" customHeight="1" x14ac:dyDescent="0.3">
      <c r="A157" s="46" t="s">
        <v>781</v>
      </c>
      <c r="B157" s="53">
        <v>46149</v>
      </c>
      <c r="C157" s="46">
        <v>1705</v>
      </c>
      <c r="D157" s="52">
        <v>0.5</v>
      </c>
      <c r="E157" s="46">
        <v>1</v>
      </c>
      <c r="F157" s="147">
        <v>3.8245</v>
      </c>
      <c r="G157" s="147">
        <v>9.6553000000000004</v>
      </c>
      <c r="H157" s="147">
        <v>5.3764000000000003</v>
      </c>
      <c r="I157" s="147" t="s">
        <v>257</v>
      </c>
      <c r="J157" s="147">
        <v>91959.429699999993</v>
      </c>
      <c r="K157" s="147">
        <v>306.2534</v>
      </c>
      <c r="L157" s="147">
        <v>33645.003900000003</v>
      </c>
      <c r="M157" s="147">
        <v>34.332599999999999</v>
      </c>
      <c r="N157" s="147">
        <v>49.2209</v>
      </c>
      <c r="O157" s="52">
        <v>120.55</v>
      </c>
      <c r="P157" s="46" t="s">
        <v>814</v>
      </c>
      <c r="Q157" s="46" t="s">
        <v>258</v>
      </c>
    </row>
    <row r="158" spans="1:17" ht="14.4" customHeight="1" x14ac:dyDescent="0.3">
      <c r="A158" s="46" t="s">
        <v>781</v>
      </c>
      <c r="B158" s="53">
        <v>46149</v>
      </c>
      <c r="C158" s="46">
        <v>1707</v>
      </c>
      <c r="D158" s="52">
        <v>0.5</v>
      </c>
      <c r="E158" s="46">
        <v>2</v>
      </c>
      <c r="F158" s="147" t="s">
        <v>257</v>
      </c>
      <c r="G158" s="147">
        <v>6.5528000000000004</v>
      </c>
      <c r="H158" s="147" t="s">
        <v>257</v>
      </c>
      <c r="I158" s="147" t="s">
        <v>257</v>
      </c>
      <c r="J158" s="147">
        <v>78754.101599999995</v>
      </c>
      <c r="K158" s="147">
        <v>163.0548</v>
      </c>
      <c r="L158" s="147">
        <v>35403.175799999997</v>
      </c>
      <c r="M158" s="147">
        <v>19.309799999999999</v>
      </c>
      <c r="N158" s="147">
        <v>40.665999999999997</v>
      </c>
      <c r="O158" s="52">
        <v>120.43</v>
      </c>
      <c r="P158" s="46" t="s">
        <v>814</v>
      </c>
      <c r="Q158" s="46" t="s">
        <v>258</v>
      </c>
    </row>
    <row r="159" spans="1:17" ht="14.4" customHeight="1" x14ac:dyDescent="0.3">
      <c r="A159" s="46" t="s">
        <v>781</v>
      </c>
      <c r="B159" s="53">
        <v>46149</v>
      </c>
      <c r="C159" s="46">
        <v>1708</v>
      </c>
      <c r="D159" s="52">
        <v>1</v>
      </c>
      <c r="E159" s="46">
        <v>1</v>
      </c>
      <c r="F159" s="147">
        <v>4.0137999999999998</v>
      </c>
      <c r="G159" s="147">
        <v>16.8201</v>
      </c>
      <c r="H159" s="147">
        <v>11.844099999999999</v>
      </c>
      <c r="I159" s="147" t="s">
        <v>257</v>
      </c>
      <c r="J159" s="147">
        <v>97851.984400000001</v>
      </c>
      <c r="K159" s="147">
        <v>332.68979999999999</v>
      </c>
      <c r="L159" s="147">
        <v>37138.578099999999</v>
      </c>
      <c r="M159" s="147">
        <v>38.964100000000002</v>
      </c>
      <c r="N159" s="147">
        <v>40.717700000000001</v>
      </c>
      <c r="O159" s="52">
        <v>120.62</v>
      </c>
      <c r="P159" s="46" t="s">
        <v>814</v>
      </c>
      <c r="Q159" s="46" t="s">
        <v>258</v>
      </c>
    </row>
    <row r="160" spans="1:17" ht="14.4" customHeight="1" x14ac:dyDescent="0.3">
      <c r="A160" s="46" t="s">
        <v>781</v>
      </c>
      <c r="B160" s="53">
        <v>46149</v>
      </c>
      <c r="C160" s="46">
        <v>1709</v>
      </c>
      <c r="D160" s="52">
        <v>1</v>
      </c>
      <c r="E160" s="46">
        <v>2</v>
      </c>
      <c r="F160" s="147" t="s">
        <v>257</v>
      </c>
      <c r="G160" s="147">
        <v>17.403400000000001</v>
      </c>
      <c r="H160" s="147">
        <v>11.210800000000001</v>
      </c>
      <c r="I160" s="147" t="s">
        <v>257</v>
      </c>
      <c r="J160" s="147">
        <v>92573.054699999993</v>
      </c>
      <c r="K160" s="147">
        <v>379.709</v>
      </c>
      <c r="L160" s="147">
        <v>34161.132799999999</v>
      </c>
      <c r="M160" s="147">
        <v>38.457900000000002</v>
      </c>
      <c r="N160" s="147">
        <v>33.625599999999999</v>
      </c>
      <c r="O160" s="52">
        <v>122.79</v>
      </c>
      <c r="P160" s="46" t="s">
        <v>814</v>
      </c>
      <c r="Q160" s="46" t="s">
        <v>258</v>
      </c>
    </row>
    <row r="161" spans="1:17" ht="14.4" customHeight="1" x14ac:dyDescent="0.3">
      <c r="A161" s="46" t="s">
        <v>781</v>
      </c>
      <c r="B161" s="53">
        <v>46149</v>
      </c>
      <c r="C161" s="46">
        <v>1710</v>
      </c>
      <c r="D161" s="52">
        <v>1.5</v>
      </c>
      <c r="E161" s="46">
        <v>1</v>
      </c>
      <c r="F161" s="147">
        <v>4.1062000000000003</v>
      </c>
      <c r="G161" s="147">
        <v>19.347799999999999</v>
      </c>
      <c r="H161" s="147">
        <v>7.6696999999999997</v>
      </c>
      <c r="I161" s="147" t="s">
        <v>257</v>
      </c>
      <c r="J161" s="147">
        <v>98444.3125</v>
      </c>
      <c r="K161" s="147">
        <v>295.67219999999998</v>
      </c>
      <c r="L161" s="147">
        <v>36845.421900000001</v>
      </c>
      <c r="M161" s="147">
        <v>28.417899999999999</v>
      </c>
      <c r="N161" s="147">
        <v>34.362299999999998</v>
      </c>
      <c r="O161" s="52">
        <v>122.63</v>
      </c>
      <c r="P161" s="46" t="s">
        <v>814</v>
      </c>
      <c r="Q161" s="46" t="s">
        <v>258</v>
      </c>
    </row>
    <row r="162" spans="1:17" ht="14.4" customHeight="1" x14ac:dyDescent="0.3">
      <c r="A162" s="46" t="s">
        <v>781</v>
      </c>
      <c r="B162" s="53">
        <v>46149</v>
      </c>
      <c r="C162" s="46">
        <v>1711</v>
      </c>
      <c r="D162" s="52">
        <v>1.5</v>
      </c>
      <c r="E162" s="46">
        <v>2</v>
      </c>
      <c r="F162" s="147">
        <v>3.7302</v>
      </c>
      <c r="G162" s="147">
        <v>14.3764</v>
      </c>
      <c r="H162" s="147">
        <v>8.4481999999999999</v>
      </c>
      <c r="I162" s="147" t="s">
        <v>257</v>
      </c>
      <c r="J162" s="147">
        <v>90608.421900000001</v>
      </c>
      <c r="K162" s="147">
        <v>266.10230000000001</v>
      </c>
      <c r="L162" s="147">
        <v>34571.351600000002</v>
      </c>
      <c r="M162" s="147">
        <v>25.2011</v>
      </c>
      <c r="N162" s="147">
        <v>23.8003</v>
      </c>
      <c r="O162" s="52">
        <v>120.59</v>
      </c>
      <c r="P162" s="46" t="s">
        <v>814</v>
      </c>
      <c r="Q162" s="46" t="s">
        <v>258</v>
      </c>
    </row>
    <row r="163" spans="1:17" ht="14.4" customHeight="1" x14ac:dyDescent="0.3">
      <c r="A163" s="46" t="s">
        <v>781</v>
      </c>
      <c r="B163" s="53">
        <v>46149</v>
      </c>
      <c r="C163" s="46">
        <v>1712</v>
      </c>
      <c r="D163" s="52">
        <v>2</v>
      </c>
      <c r="E163" s="46">
        <v>1</v>
      </c>
      <c r="F163" s="147">
        <v>8.5721000000000007</v>
      </c>
      <c r="G163" s="147">
        <v>26.267600000000002</v>
      </c>
      <c r="H163" s="147">
        <v>40.3337</v>
      </c>
      <c r="I163" s="147" t="s">
        <v>257</v>
      </c>
      <c r="J163" s="147">
        <v>122165.125</v>
      </c>
      <c r="K163" s="147">
        <v>354.59640000000002</v>
      </c>
      <c r="L163" s="147">
        <v>29873.886699999999</v>
      </c>
      <c r="M163" s="147">
        <v>218.85</v>
      </c>
      <c r="N163" s="147">
        <v>433.60599999999999</v>
      </c>
      <c r="O163" s="52">
        <v>120.5</v>
      </c>
      <c r="P163" s="46" t="s">
        <v>814</v>
      </c>
      <c r="Q163" s="46" t="s">
        <v>258</v>
      </c>
    </row>
    <row r="164" spans="1:17" ht="14.4" customHeight="1" x14ac:dyDescent="0.3">
      <c r="A164" s="46" t="s">
        <v>781</v>
      </c>
      <c r="B164" s="53">
        <v>46149</v>
      </c>
      <c r="C164" s="46">
        <v>1713</v>
      </c>
      <c r="D164" s="52">
        <v>2</v>
      </c>
      <c r="E164" s="46">
        <v>2</v>
      </c>
      <c r="F164" s="147">
        <v>9.4835999999999991</v>
      </c>
      <c r="G164" s="147">
        <v>28.9605</v>
      </c>
      <c r="H164" s="147">
        <v>35.991300000000003</v>
      </c>
      <c r="I164" s="147" t="s">
        <v>257</v>
      </c>
      <c r="J164" s="147">
        <v>122240.57030000001</v>
      </c>
      <c r="K164" s="147">
        <v>373.66609999999997</v>
      </c>
      <c r="L164" s="147">
        <v>30355.007799999999</v>
      </c>
      <c r="M164" s="147">
        <v>225.11619999999999</v>
      </c>
      <c r="N164" s="147">
        <v>413.15690000000001</v>
      </c>
      <c r="O164" s="52">
        <v>122.9</v>
      </c>
      <c r="P164" s="46" t="s">
        <v>814</v>
      </c>
      <c r="Q164" s="46" t="s">
        <v>258</v>
      </c>
    </row>
    <row r="165" spans="1:17" ht="14.4" customHeight="1" x14ac:dyDescent="0.3">
      <c r="A165" s="46" t="s">
        <v>781</v>
      </c>
      <c r="B165" s="53">
        <v>46149</v>
      </c>
      <c r="C165" s="46">
        <v>1714</v>
      </c>
      <c r="D165" s="52">
        <v>2.5</v>
      </c>
      <c r="E165" s="46">
        <v>1</v>
      </c>
      <c r="F165" s="147">
        <v>6.6548999999999996</v>
      </c>
      <c r="G165" s="147" t="s">
        <v>257</v>
      </c>
      <c r="H165" s="147">
        <v>14.2874</v>
      </c>
      <c r="I165" s="147" t="s">
        <v>257</v>
      </c>
      <c r="J165" s="147">
        <v>142325.9375</v>
      </c>
      <c r="K165" s="147">
        <v>172.864</v>
      </c>
      <c r="L165" s="147">
        <v>43781.375</v>
      </c>
      <c r="M165" s="147">
        <v>22.201599999999999</v>
      </c>
      <c r="N165" s="147">
        <v>114.13330000000001</v>
      </c>
      <c r="O165" s="52">
        <v>120.45</v>
      </c>
      <c r="P165" s="46" t="s">
        <v>814</v>
      </c>
      <c r="Q165" s="46" t="s">
        <v>258</v>
      </c>
    </row>
    <row r="166" spans="1:17" ht="14.4" customHeight="1" x14ac:dyDescent="0.3">
      <c r="A166" s="46" t="s">
        <v>781</v>
      </c>
      <c r="B166" s="53">
        <v>46149</v>
      </c>
      <c r="C166" s="46">
        <v>1715</v>
      </c>
      <c r="D166" s="52">
        <v>2.5</v>
      </c>
      <c r="E166" s="46">
        <v>2</v>
      </c>
      <c r="F166" s="147">
        <v>4.8922999999999996</v>
      </c>
      <c r="G166" s="147">
        <v>4.1571999999999996</v>
      </c>
      <c r="H166" s="147">
        <v>7.6723999999999997</v>
      </c>
      <c r="I166" s="147" t="s">
        <v>257</v>
      </c>
      <c r="J166" s="147">
        <v>142355.2188</v>
      </c>
      <c r="K166" s="147">
        <v>208.7715</v>
      </c>
      <c r="L166" s="147">
        <v>38354.839800000002</v>
      </c>
      <c r="M166" s="147">
        <v>21.2653</v>
      </c>
      <c r="N166" s="147">
        <v>116.9897</v>
      </c>
      <c r="O166" s="52">
        <v>123.05</v>
      </c>
      <c r="P166" s="46" t="s">
        <v>814</v>
      </c>
      <c r="Q166" s="46" t="s">
        <v>258</v>
      </c>
    </row>
    <row r="167" spans="1:17" ht="14.4" customHeight="1" x14ac:dyDescent="0.3">
      <c r="A167" s="46" t="s">
        <v>781</v>
      </c>
      <c r="B167" s="53">
        <v>46149</v>
      </c>
      <c r="C167" s="46">
        <v>1716</v>
      </c>
      <c r="D167" s="52">
        <v>3</v>
      </c>
      <c r="E167" s="46">
        <v>1</v>
      </c>
      <c r="F167" s="147">
        <v>3.6499000000000001</v>
      </c>
      <c r="G167" s="147">
        <v>8.0520999999999994</v>
      </c>
      <c r="H167" s="147">
        <v>16.470400000000001</v>
      </c>
      <c r="I167" s="147" t="s">
        <v>257</v>
      </c>
      <c r="J167" s="147">
        <v>144937.39060000001</v>
      </c>
      <c r="K167" s="147">
        <v>199.3629</v>
      </c>
      <c r="L167" s="147">
        <v>36735.773399999998</v>
      </c>
      <c r="M167" s="147">
        <v>25.1419</v>
      </c>
      <c r="N167" s="147">
        <v>119.69750000000001</v>
      </c>
      <c r="O167" s="52">
        <v>123.38</v>
      </c>
      <c r="P167" s="46" t="s">
        <v>814</v>
      </c>
      <c r="Q167" s="46" t="s">
        <v>258</v>
      </c>
    </row>
    <row r="168" spans="1:17" ht="14.4" customHeight="1" x14ac:dyDescent="0.3">
      <c r="A168" s="46" t="s">
        <v>781</v>
      </c>
      <c r="B168" s="53">
        <v>46149</v>
      </c>
      <c r="C168" s="46">
        <v>1717</v>
      </c>
      <c r="D168" s="52">
        <v>3</v>
      </c>
      <c r="E168" s="46">
        <v>2</v>
      </c>
      <c r="F168" s="147">
        <v>6.0926</v>
      </c>
      <c r="G168" s="147">
        <v>9.6895000000000007</v>
      </c>
      <c r="H168" s="147">
        <v>11.4292</v>
      </c>
      <c r="I168" s="147" t="s">
        <v>257</v>
      </c>
      <c r="J168" s="147">
        <v>144593.26560000001</v>
      </c>
      <c r="K168" s="147">
        <v>241.37219999999999</v>
      </c>
      <c r="L168" s="147">
        <v>36254.800799999997</v>
      </c>
      <c r="M168" s="147">
        <v>26.461400000000001</v>
      </c>
      <c r="N168" s="147">
        <v>130.46979999999999</v>
      </c>
      <c r="O168" s="52">
        <v>122.92</v>
      </c>
      <c r="P168" s="46" t="s">
        <v>814</v>
      </c>
      <c r="Q168" s="46" t="s">
        <v>258</v>
      </c>
    </row>
    <row r="169" spans="1:17" ht="14.4" customHeight="1" x14ac:dyDescent="0.3">
      <c r="A169" s="46" t="s">
        <v>781</v>
      </c>
      <c r="B169" s="53">
        <v>46149</v>
      </c>
      <c r="C169" s="46">
        <v>1718</v>
      </c>
      <c r="D169" s="52">
        <v>3.5</v>
      </c>
      <c r="E169" s="46">
        <v>1</v>
      </c>
      <c r="F169" s="147">
        <v>8.1948000000000008</v>
      </c>
      <c r="G169" s="147">
        <v>8.7344000000000008</v>
      </c>
      <c r="H169" s="147">
        <v>11.909700000000001</v>
      </c>
      <c r="I169" s="147" t="s">
        <v>257</v>
      </c>
      <c r="J169" s="147">
        <v>127040.75780000001</v>
      </c>
      <c r="K169" s="147">
        <v>191.054</v>
      </c>
      <c r="L169" s="147">
        <v>31537.488300000001</v>
      </c>
      <c r="M169" s="147">
        <v>26.440200000000001</v>
      </c>
      <c r="N169" s="147">
        <v>100.02079999999999</v>
      </c>
      <c r="O169" s="52">
        <v>120.37</v>
      </c>
      <c r="P169" s="46" t="s">
        <v>814</v>
      </c>
      <c r="Q169" s="46" t="s">
        <v>258</v>
      </c>
    </row>
    <row r="170" spans="1:17" ht="14.4" customHeight="1" x14ac:dyDescent="0.3">
      <c r="A170" s="46" t="s">
        <v>781</v>
      </c>
      <c r="B170" s="53">
        <v>46149</v>
      </c>
      <c r="C170" s="46">
        <v>1719</v>
      </c>
      <c r="D170" s="52">
        <v>3.5</v>
      </c>
      <c r="E170" s="46">
        <v>2</v>
      </c>
      <c r="F170" s="147">
        <v>4.2873000000000001</v>
      </c>
      <c r="G170" s="147">
        <v>9.8549000000000007</v>
      </c>
      <c r="H170" s="147">
        <v>12.5946</v>
      </c>
      <c r="I170" s="147" t="s">
        <v>257</v>
      </c>
      <c r="J170" s="147">
        <v>138596.2188</v>
      </c>
      <c r="K170" s="147">
        <v>200.33369999999999</v>
      </c>
      <c r="L170" s="147">
        <v>32785.390599999999</v>
      </c>
      <c r="M170" s="147">
        <v>17.0854</v>
      </c>
      <c r="N170" s="147">
        <v>133.7243</v>
      </c>
      <c r="O170" s="52">
        <v>120.53</v>
      </c>
      <c r="P170" s="46" t="s">
        <v>814</v>
      </c>
      <c r="Q170" s="46" t="s">
        <v>258</v>
      </c>
    </row>
    <row r="171" spans="1:17" ht="14.4" customHeight="1" x14ac:dyDescent="0.3">
      <c r="A171" s="46" t="s">
        <v>781</v>
      </c>
      <c r="B171" s="53">
        <v>46149</v>
      </c>
      <c r="C171" s="46">
        <v>1720</v>
      </c>
      <c r="D171" s="52">
        <v>4</v>
      </c>
      <c r="E171" s="46">
        <v>1</v>
      </c>
      <c r="F171" s="147">
        <v>5.4368999999999996</v>
      </c>
      <c r="G171" s="147">
        <v>9.5845000000000002</v>
      </c>
      <c r="H171" s="147">
        <v>11.831899999999999</v>
      </c>
      <c r="I171" s="147" t="s">
        <v>257</v>
      </c>
      <c r="J171" s="147">
        <v>113282.64840000001</v>
      </c>
      <c r="K171" s="147">
        <v>218.77350000000001</v>
      </c>
      <c r="L171" s="147">
        <v>34053.273399999998</v>
      </c>
      <c r="M171" s="147">
        <v>23.2698</v>
      </c>
      <c r="N171" s="147">
        <v>95.377099999999999</v>
      </c>
      <c r="O171" s="52">
        <v>120.63</v>
      </c>
      <c r="P171" s="46" t="s">
        <v>814</v>
      </c>
      <c r="Q171" s="46" t="s">
        <v>258</v>
      </c>
    </row>
    <row r="172" spans="1:17" ht="14.4" customHeight="1" x14ac:dyDescent="0.3">
      <c r="A172" s="46" t="s">
        <v>781</v>
      </c>
      <c r="B172" s="53">
        <v>46149</v>
      </c>
      <c r="C172" s="46">
        <v>1722</v>
      </c>
      <c r="D172" s="52">
        <v>4</v>
      </c>
      <c r="E172" s="46">
        <v>2</v>
      </c>
      <c r="F172" s="147" t="s">
        <v>257</v>
      </c>
      <c r="G172" s="147">
        <v>9.9684000000000008</v>
      </c>
      <c r="H172" s="147">
        <v>12.3287</v>
      </c>
      <c r="I172" s="147" t="s">
        <v>257</v>
      </c>
      <c r="J172" s="147">
        <v>123096.66409999999</v>
      </c>
      <c r="K172" s="147">
        <v>226.55109999999999</v>
      </c>
      <c r="L172" s="147">
        <v>34744.941400000003</v>
      </c>
      <c r="M172" s="147">
        <v>27.766200000000001</v>
      </c>
      <c r="N172" s="147">
        <v>104.6199</v>
      </c>
      <c r="O172" s="52">
        <v>122.81</v>
      </c>
      <c r="P172" s="46" t="s">
        <v>814</v>
      </c>
      <c r="Q172" s="46" t="s">
        <v>258</v>
      </c>
    </row>
    <row r="173" spans="1:17" ht="14.4" customHeight="1" x14ac:dyDescent="0.3">
      <c r="A173" s="49" t="s">
        <v>783</v>
      </c>
      <c r="B173" s="54">
        <v>46149</v>
      </c>
      <c r="C173" s="49">
        <v>578</v>
      </c>
      <c r="D173" s="51">
        <v>0</v>
      </c>
      <c r="E173" s="49">
        <v>1</v>
      </c>
      <c r="F173" s="148" t="s">
        <v>257</v>
      </c>
      <c r="G173" s="148" t="s">
        <v>257</v>
      </c>
      <c r="H173" s="148">
        <v>7.6611000000000002</v>
      </c>
      <c r="I173" s="148" t="s">
        <v>257</v>
      </c>
      <c r="J173" s="148">
        <v>36342.007799999999</v>
      </c>
      <c r="K173" s="148">
        <v>669.91669999999999</v>
      </c>
      <c r="L173" s="148">
        <v>9775.4647999999997</v>
      </c>
      <c r="M173" s="148">
        <v>51.310499999999998</v>
      </c>
      <c r="N173" s="148">
        <v>17.670500000000001</v>
      </c>
      <c r="O173" s="51">
        <v>120.66</v>
      </c>
      <c r="P173" s="49" t="s">
        <v>814</v>
      </c>
      <c r="Q173" s="49" t="s">
        <v>360</v>
      </c>
    </row>
    <row r="174" spans="1:17" ht="14.4" customHeight="1" x14ac:dyDescent="0.3">
      <c r="A174" s="49" t="s">
        <v>783</v>
      </c>
      <c r="B174" s="54">
        <v>46149</v>
      </c>
      <c r="C174" s="49">
        <v>579</v>
      </c>
      <c r="D174" s="51">
        <v>0</v>
      </c>
      <c r="E174" s="49">
        <v>2</v>
      </c>
      <c r="F174" s="148">
        <v>2.7229999999999999</v>
      </c>
      <c r="G174" s="148" t="s">
        <v>257</v>
      </c>
      <c r="H174" s="148">
        <v>5.8891999999999998</v>
      </c>
      <c r="I174" s="148" t="s">
        <v>257</v>
      </c>
      <c r="J174" s="148">
        <v>35794.933599999997</v>
      </c>
      <c r="K174" s="148">
        <v>623.13490000000002</v>
      </c>
      <c r="L174" s="148">
        <v>9978.75</v>
      </c>
      <c r="M174" s="148">
        <v>47.642800000000001</v>
      </c>
      <c r="N174" s="148">
        <v>15.4445</v>
      </c>
      <c r="O174" s="51">
        <v>126.22</v>
      </c>
      <c r="P174" s="49" t="s">
        <v>814</v>
      </c>
      <c r="Q174" s="49" t="s">
        <v>360</v>
      </c>
    </row>
    <row r="175" spans="1:17" ht="14.4" customHeight="1" x14ac:dyDescent="0.3">
      <c r="A175" s="49" t="s">
        <v>783</v>
      </c>
      <c r="B175" s="54">
        <v>46149</v>
      </c>
      <c r="C175" s="49">
        <v>580</v>
      </c>
      <c r="D175" s="51">
        <v>0.5</v>
      </c>
      <c r="E175" s="49">
        <v>1</v>
      </c>
      <c r="F175" s="148" t="s">
        <v>257</v>
      </c>
      <c r="G175" s="148" t="s">
        <v>257</v>
      </c>
      <c r="H175" s="148">
        <v>7.3463000000000003</v>
      </c>
      <c r="I175" s="148" t="s">
        <v>257</v>
      </c>
      <c r="J175" s="148">
        <v>31157.666000000001</v>
      </c>
      <c r="K175" s="148">
        <v>469.7353</v>
      </c>
      <c r="L175" s="148">
        <v>9951.4883000000009</v>
      </c>
      <c r="M175" s="148">
        <v>32.2545</v>
      </c>
      <c r="N175" s="148" t="s">
        <v>257</v>
      </c>
      <c r="O175" s="51">
        <v>120.24</v>
      </c>
      <c r="P175" s="49" t="s">
        <v>814</v>
      </c>
      <c r="Q175" s="49" t="s">
        <v>360</v>
      </c>
    </row>
    <row r="176" spans="1:17" ht="14.4" customHeight="1" x14ac:dyDescent="0.3">
      <c r="A176" s="49" t="s">
        <v>783</v>
      </c>
      <c r="B176" s="54">
        <v>46149</v>
      </c>
      <c r="C176" s="49">
        <v>581</v>
      </c>
      <c r="D176" s="51">
        <v>0.5</v>
      </c>
      <c r="E176" s="49">
        <v>2</v>
      </c>
      <c r="F176" s="148" t="s">
        <v>257</v>
      </c>
      <c r="G176" s="148" t="s">
        <v>257</v>
      </c>
      <c r="H176" s="148">
        <v>5.3543000000000003</v>
      </c>
      <c r="I176" s="148" t="s">
        <v>257</v>
      </c>
      <c r="J176" s="148">
        <v>31791.023399999998</v>
      </c>
      <c r="K176" s="148">
        <v>483.6823</v>
      </c>
      <c r="L176" s="148">
        <v>7134.0673999999999</v>
      </c>
      <c r="M176" s="148">
        <v>25.107800000000001</v>
      </c>
      <c r="N176" s="148" t="s">
        <v>257</v>
      </c>
      <c r="O176" s="51">
        <v>120.23</v>
      </c>
      <c r="P176" s="49" t="s">
        <v>814</v>
      </c>
      <c r="Q176" s="49" t="s">
        <v>360</v>
      </c>
    </row>
    <row r="177" spans="1:17" ht="14.4" customHeight="1" x14ac:dyDescent="0.3">
      <c r="A177" s="49" t="s">
        <v>783</v>
      </c>
      <c r="B177" s="54">
        <v>46149</v>
      </c>
      <c r="C177" s="49">
        <v>582</v>
      </c>
      <c r="D177" s="51">
        <v>1</v>
      </c>
      <c r="E177" s="49">
        <v>1</v>
      </c>
      <c r="F177" s="148" t="s">
        <v>257</v>
      </c>
      <c r="G177" s="148" t="s">
        <v>257</v>
      </c>
      <c r="H177" s="148">
        <v>7.9908999999999999</v>
      </c>
      <c r="I177" s="148" t="s">
        <v>257</v>
      </c>
      <c r="J177" s="148">
        <v>36511.015599999999</v>
      </c>
      <c r="K177" s="148">
        <v>713.86479999999995</v>
      </c>
      <c r="L177" s="148">
        <v>11138.752</v>
      </c>
      <c r="M177" s="148">
        <v>42.358899999999998</v>
      </c>
      <c r="N177" s="148">
        <v>15.777699999999999</v>
      </c>
      <c r="O177" s="51">
        <v>120.15</v>
      </c>
      <c r="P177" s="49" t="s">
        <v>814</v>
      </c>
      <c r="Q177" s="49" t="s">
        <v>360</v>
      </c>
    </row>
    <row r="178" spans="1:17" ht="14.4" customHeight="1" x14ac:dyDescent="0.3">
      <c r="A178" s="49" t="s">
        <v>783</v>
      </c>
      <c r="B178" s="54">
        <v>46149</v>
      </c>
      <c r="C178" s="49">
        <v>583</v>
      </c>
      <c r="D178" s="51">
        <v>1</v>
      </c>
      <c r="E178" s="49">
        <v>2</v>
      </c>
      <c r="F178" s="148">
        <v>3.5966</v>
      </c>
      <c r="G178" s="148" t="s">
        <v>257</v>
      </c>
      <c r="H178" s="148">
        <v>8.4128000000000007</v>
      </c>
      <c r="I178" s="148" t="s">
        <v>257</v>
      </c>
      <c r="J178" s="148">
        <v>36464.160199999998</v>
      </c>
      <c r="K178" s="148">
        <v>664.06960000000004</v>
      </c>
      <c r="L178" s="148">
        <v>10025.8457</v>
      </c>
      <c r="M178" s="148">
        <v>42.421700000000001</v>
      </c>
      <c r="N178" s="148">
        <v>11.9899</v>
      </c>
      <c r="O178" s="51">
        <v>120.81</v>
      </c>
      <c r="P178" s="49" t="s">
        <v>814</v>
      </c>
      <c r="Q178" s="49" t="s">
        <v>360</v>
      </c>
    </row>
    <row r="179" spans="1:17" ht="14.4" customHeight="1" x14ac:dyDescent="0.3">
      <c r="A179" s="49" t="s">
        <v>783</v>
      </c>
      <c r="B179" s="54">
        <v>46149</v>
      </c>
      <c r="C179" s="49">
        <v>584</v>
      </c>
      <c r="D179" s="51">
        <v>1.5</v>
      </c>
      <c r="E179" s="49">
        <v>1</v>
      </c>
      <c r="F179" s="148">
        <v>3.4659</v>
      </c>
      <c r="G179" s="148" t="s">
        <v>257</v>
      </c>
      <c r="H179" s="148">
        <v>6.1635</v>
      </c>
      <c r="I179" s="148" t="s">
        <v>257</v>
      </c>
      <c r="J179" s="148">
        <v>35877.726600000002</v>
      </c>
      <c r="K179" s="148">
        <v>799.10789999999997</v>
      </c>
      <c r="L179" s="148">
        <v>11308.0664</v>
      </c>
      <c r="M179" s="148">
        <v>47.650500000000001</v>
      </c>
      <c r="N179" s="148">
        <v>13.0982</v>
      </c>
      <c r="O179" s="51">
        <v>120.52</v>
      </c>
      <c r="P179" s="49" t="s">
        <v>814</v>
      </c>
      <c r="Q179" s="49" t="s">
        <v>360</v>
      </c>
    </row>
    <row r="180" spans="1:17" ht="14.4" customHeight="1" x14ac:dyDescent="0.3">
      <c r="A180" s="49" t="s">
        <v>783</v>
      </c>
      <c r="B180" s="54">
        <v>46149</v>
      </c>
      <c r="C180" s="49">
        <v>585</v>
      </c>
      <c r="D180" s="51">
        <v>1.5</v>
      </c>
      <c r="E180" s="49">
        <v>2</v>
      </c>
      <c r="F180" s="148">
        <v>2.7513999999999998</v>
      </c>
      <c r="G180" s="148" t="s">
        <v>257</v>
      </c>
      <c r="H180" s="148">
        <v>6.3404999999999996</v>
      </c>
      <c r="I180" s="148" t="s">
        <v>257</v>
      </c>
      <c r="J180" s="148">
        <v>38032.398399999998</v>
      </c>
      <c r="K180" s="148">
        <v>1104.0509</v>
      </c>
      <c r="L180" s="148">
        <v>8714.8096000000005</v>
      </c>
      <c r="M180" s="148">
        <v>47.528700000000001</v>
      </c>
      <c r="N180" s="148">
        <v>11.463699999999999</v>
      </c>
      <c r="O180" s="51">
        <v>120.84</v>
      </c>
      <c r="P180" s="49" t="s">
        <v>814</v>
      </c>
      <c r="Q180" s="49" t="s">
        <v>360</v>
      </c>
    </row>
    <row r="181" spans="1:17" ht="14.4" customHeight="1" x14ac:dyDescent="0.3">
      <c r="A181" s="49" t="s">
        <v>783</v>
      </c>
      <c r="B181" s="54">
        <v>46149</v>
      </c>
      <c r="C181" s="49">
        <v>586</v>
      </c>
      <c r="D181" s="51">
        <v>2</v>
      </c>
      <c r="E181" s="49">
        <v>1</v>
      </c>
      <c r="F181" s="148">
        <v>4.0918999999999999</v>
      </c>
      <c r="G181" s="148" t="s">
        <v>257</v>
      </c>
      <c r="H181" s="148">
        <v>5.0279999999999996</v>
      </c>
      <c r="I181" s="148" t="s">
        <v>257</v>
      </c>
      <c r="J181" s="148">
        <v>36164.792999999998</v>
      </c>
      <c r="K181" s="148">
        <v>564.18589999999995</v>
      </c>
      <c r="L181" s="148">
        <v>13372.1484</v>
      </c>
      <c r="M181" s="148">
        <v>46.956600000000002</v>
      </c>
      <c r="N181" s="148">
        <v>13.464499999999999</v>
      </c>
      <c r="O181" s="51">
        <v>120.54</v>
      </c>
      <c r="P181" s="49" t="s">
        <v>814</v>
      </c>
      <c r="Q181" s="49" t="s">
        <v>360</v>
      </c>
    </row>
    <row r="182" spans="1:17" ht="14.4" customHeight="1" x14ac:dyDescent="0.3">
      <c r="A182" s="49" t="s">
        <v>783</v>
      </c>
      <c r="B182" s="54">
        <v>46149</v>
      </c>
      <c r="C182" s="49">
        <v>587</v>
      </c>
      <c r="D182" s="51">
        <v>2</v>
      </c>
      <c r="E182" s="49">
        <v>2</v>
      </c>
      <c r="F182" s="148">
        <v>3.7040000000000002</v>
      </c>
      <c r="G182" s="148" t="s">
        <v>257</v>
      </c>
      <c r="H182" s="148">
        <v>7.9683999999999999</v>
      </c>
      <c r="I182" s="148" t="s">
        <v>257</v>
      </c>
      <c r="J182" s="148">
        <v>36372.617200000001</v>
      </c>
      <c r="K182" s="148">
        <v>583.02229999999997</v>
      </c>
      <c r="L182" s="148">
        <v>12957.3408</v>
      </c>
      <c r="M182" s="148">
        <v>52.255099999999999</v>
      </c>
      <c r="N182" s="148">
        <v>13.944800000000001</v>
      </c>
      <c r="O182" s="51">
        <v>120.79</v>
      </c>
      <c r="P182" s="49" t="s">
        <v>814</v>
      </c>
      <c r="Q182" s="49" t="s">
        <v>360</v>
      </c>
    </row>
    <row r="183" spans="1:17" ht="14.4" customHeight="1" x14ac:dyDescent="0.3">
      <c r="A183" s="49" t="s">
        <v>783</v>
      </c>
      <c r="B183" s="54">
        <v>46149</v>
      </c>
      <c r="C183" s="49">
        <v>588</v>
      </c>
      <c r="D183" s="51">
        <v>2.5</v>
      </c>
      <c r="E183" s="49">
        <v>1</v>
      </c>
      <c r="F183" s="148" t="s">
        <v>257</v>
      </c>
      <c r="G183" s="148" t="s">
        <v>257</v>
      </c>
      <c r="H183" s="148">
        <v>7.3810000000000002</v>
      </c>
      <c r="I183" s="148" t="s">
        <v>257</v>
      </c>
      <c r="J183" s="148">
        <v>33769.105499999998</v>
      </c>
      <c r="K183" s="148">
        <v>690.01729999999998</v>
      </c>
      <c r="L183" s="148">
        <v>10618.1523</v>
      </c>
      <c r="M183" s="148">
        <v>39.140300000000003</v>
      </c>
      <c r="N183" s="148">
        <v>12.5693</v>
      </c>
      <c r="O183" s="51">
        <v>120.58</v>
      </c>
      <c r="P183" s="49" t="s">
        <v>814</v>
      </c>
      <c r="Q183" s="49" t="s">
        <v>360</v>
      </c>
    </row>
    <row r="184" spans="1:17" ht="14.4" customHeight="1" x14ac:dyDescent="0.3">
      <c r="A184" s="49" t="s">
        <v>783</v>
      </c>
      <c r="B184" s="54">
        <v>46149</v>
      </c>
      <c r="C184" s="49">
        <v>589</v>
      </c>
      <c r="D184" s="51">
        <v>2.5</v>
      </c>
      <c r="E184" s="49">
        <v>2</v>
      </c>
      <c r="F184" s="148" t="s">
        <v>257</v>
      </c>
      <c r="G184" s="148" t="s">
        <v>257</v>
      </c>
      <c r="H184" s="148">
        <v>6.4431000000000003</v>
      </c>
      <c r="I184" s="148" t="s">
        <v>257</v>
      </c>
      <c r="J184" s="148">
        <v>33468.230499999998</v>
      </c>
      <c r="K184" s="148">
        <v>674.97820000000002</v>
      </c>
      <c r="L184" s="148">
        <v>10220.430700000001</v>
      </c>
      <c r="M184" s="148">
        <v>39.493099999999998</v>
      </c>
      <c r="N184" s="148">
        <v>10.251799999999999</v>
      </c>
      <c r="O184" s="51">
        <v>126.17</v>
      </c>
      <c r="P184" s="49" t="s">
        <v>814</v>
      </c>
      <c r="Q184" s="49" t="s">
        <v>360</v>
      </c>
    </row>
    <row r="185" spans="1:17" ht="14.4" customHeight="1" x14ac:dyDescent="0.3">
      <c r="A185" s="49" t="s">
        <v>783</v>
      </c>
      <c r="B185" s="54">
        <v>46149</v>
      </c>
      <c r="C185" s="49">
        <v>591</v>
      </c>
      <c r="D185" s="51">
        <v>3</v>
      </c>
      <c r="E185" s="49">
        <v>1</v>
      </c>
      <c r="F185" s="148" t="s">
        <v>257</v>
      </c>
      <c r="G185" s="148" t="s">
        <v>257</v>
      </c>
      <c r="H185" s="148">
        <v>3.0975999999999999</v>
      </c>
      <c r="I185" s="148" t="s">
        <v>257</v>
      </c>
      <c r="J185" s="148">
        <v>24454.849600000001</v>
      </c>
      <c r="K185" s="148">
        <v>409.47280000000001</v>
      </c>
      <c r="L185" s="148">
        <v>8349.2489999999998</v>
      </c>
      <c r="M185" s="148">
        <v>23.143799999999999</v>
      </c>
      <c r="N185" s="148" t="s">
        <v>257</v>
      </c>
      <c r="O185" s="51">
        <v>119.68</v>
      </c>
      <c r="P185" s="49" t="s">
        <v>814</v>
      </c>
      <c r="Q185" s="49" t="s">
        <v>360</v>
      </c>
    </row>
    <row r="186" spans="1:17" ht="14.4" customHeight="1" x14ac:dyDescent="0.3">
      <c r="A186" s="49" t="s">
        <v>783</v>
      </c>
      <c r="B186" s="54">
        <v>46149</v>
      </c>
      <c r="C186" s="49">
        <v>592</v>
      </c>
      <c r="D186" s="51">
        <v>3</v>
      </c>
      <c r="E186" s="49">
        <v>2</v>
      </c>
      <c r="F186" s="148" t="s">
        <v>257</v>
      </c>
      <c r="G186" s="148" t="s">
        <v>257</v>
      </c>
      <c r="H186" s="148">
        <v>3.9883999999999999</v>
      </c>
      <c r="I186" s="148" t="s">
        <v>257</v>
      </c>
      <c r="J186" s="148">
        <v>27231.043000000001</v>
      </c>
      <c r="K186" s="148">
        <v>463.05279999999999</v>
      </c>
      <c r="L186" s="148">
        <v>8482.7520000000004</v>
      </c>
      <c r="M186" s="148">
        <v>29.3886</v>
      </c>
      <c r="N186" s="148" t="s">
        <v>257</v>
      </c>
      <c r="O186" s="51">
        <v>121.07</v>
      </c>
      <c r="P186" s="49" t="s">
        <v>814</v>
      </c>
      <c r="Q186" s="49" t="s">
        <v>360</v>
      </c>
    </row>
    <row r="187" spans="1:17" ht="14.4" customHeight="1" x14ac:dyDescent="0.3">
      <c r="A187" s="49" t="s">
        <v>783</v>
      </c>
      <c r="B187" s="54">
        <v>46149</v>
      </c>
      <c r="C187" s="49">
        <v>593</v>
      </c>
      <c r="D187" s="51">
        <v>3.5</v>
      </c>
      <c r="E187" s="49">
        <v>1</v>
      </c>
      <c r="F187" s="148">
        <v>2.6004</v>
      </c>
      <c r="G187" s="148" t="s">
        <v>257</v>
      </c>
      <c r="H187" s="148">
        <v>6.5380000000000003</v>
      </c>
      <c r="I187" s="148" t="s">
        <v>257</v>
      </c>
      <c r="J187" s="148">
        <v>38729.785199999998</v>
      </c>
      <c r="K187" s="148">
        <v>1044.0764999999999</v>
      </c>
      <c r="L187" s="148">
        <v>10602.6553</v>
      </c>
      <c r="M187" s="148">
        <v>62.481299999999997</v>
      </c>
      <c r="N187" s="148">
        <v>11.9016</v>
      </c>
      <c r="O187" s="51">
        <v>120.34</v>
      </c>
      <c r="P187" s="49" t="s">
        <v>814</v>
      </c>
      <c r="Q187" s="49" t="s">
        <v>360</v>
      </c>
    </row>
    <row r="188" spans="1:17" ht="14.4" customHeight="1" x14ac:dyDescent="0.3">
      <c r="A188" s="49" t="s">
        <v>783</v>
      </c>
      <c r="B188" s="54">
        <v>46149</v>
      </c>
      <c r="C188" s="49">
        <v>594</v>
      </c>
      <c r="D188" s="51">
        <v>3.5</v>
      </c>
      <c r="E188" s="49">
        <v>2</v>
      </c>
      <c r="F188" s="148" t="s">
        <v>257</v>
      </c>
      <c r="G188" s="148" t="s">
        <v>257</v>
      </c>
      <c r="H188" s="148">
        <v>7.9435000000000002</v>
      </c>
      <c r="I188" s="148" t="s">
        <v>257</v>
      </c>
      <c r="J188" s="148">
        <v>38845.566400000003</v>
      </c>
      <c r="K188" s="148">
        <v>909.86829999999998</v>
      </c>
      <c r="L188" s="148">
        <v>9538.0429999999997</v>
      </c>
      <c r="M188" s="148">
        <v>61.820999999999998</v>
      </c>
      <c r="N188" s="148">
        <v>9.8855000000000004</v>
      </c>
      <c r="O188" s="51">
        <v>120.99</v>
      </c>
      <c r="P188" s="49" t="s">
        <v>814</v>
      </c>
      <c r="Q188" s="49" t="s">
        <v>360</v>
      </c>
    </row>
    <row r="189" spans="1:17" ht="14.4" customHeight="1" x14ac:dyDescent="0.3">
      <c r="A189" s="49" t="s">
        <v>783</v>
      </c>
      <c r="B189" s="54">
        <v>46149</v>
      </c>
      <c r="C189" s="49">
        <v>595</v>
      </c>
      <c r="D189" s="51">
        <v>4</v>
      </c>
      <c r="E189" s="49">
        <v>1</v>
      </c>
      <c r="F189" s="148">
        <v>4.3838999999999997</v>
      </c>
      <c r="G189" s="148" t="s">
        <v>257</v>
      </c>
      <c r="H189" s="148">
        <v>8.6759000000000004</v>
      </c>
      <c r="I189" s="148" t="s">
        <v>257</v>
      </c>
      <c r="J189" s="148">
        <v>40514.773399999998</v>
      </c>
      <c r="K189" s="148">
        <v>845.10929999999996</v>
      </c>
      <c r="L189" s="148">
        <v>8437.8065999999999</v>
      </c>
      <c r="M189" s="148">
        <v>41.136699999999998</v>
      </c>
      <c r="N189" s="148">
        <v>18.1843</v>
      </c>
      <c r="O189" s="51">
        <v>120.76</v>
      </c>
      <c r="P189" s="49" t="s">
        <v>814</v>
      </c>
      <c r="Q189" s="49" t="s">
        <v>360</v>
      </c>
    </row>
    <row r="190" spans="1:17" ht="14.4" customHeight="1" x14ac:dyDescent="0.3">
      <c r="A190" s="49" t="s">
        <v>783</v>
      </c>
      <c r="B190" s="54">
        <v>46149</v>
      </c>
      <c r="C190" s="49">
        <v>596</v>
      </c>
      <c r="D190" s="51">
        <v>4</v>
      </c>
      <c r="E190" s="49">
        <v>2</v>
      </c>
      <c r="F190" s="148" t="s">
        <v>257</v>
      </c>
      <c r="G190" s="148" t="s">
        <v>257</v>
      </c>
      <c r="H190" s="148">
        <v>7.8380000000000001</v>
      </c>
      <c r="I190" s="148" t="s">
        <v>257</v>
      </c>
      <c r="J190" s="148">
        <v>38300.167999999998</v>
      </c>
      <c r="K190" s="148">
        <v>734.95180000000005</v>
      </c>
      <c r="L190" s="148">
        <v>8904.9580000000005</v>
      </c>
      <c r="M190" s="148">
        <v>42.370199999999997</v>
      </c>
      <c r="N190" s="148">
        <v>13.631</v>
      </c>
      <c r="O190" s="51">
        <v>120.19</v>
      </c>
      <c r="P190" s="49" t="s">
        <v>814</v>
      </c>
      <c r="Q190" s="49" t="s">
        <v>360</v>
      </c>
    </row>
    <row r="191" spans="1:17" ht="14.4" customHeight="1" x14ac:dyDescent="0.3">
      <c r="A191" s="46" t="s">
        <v>785</v>
      </c>
      <c r="B191" s="53">
        <v>46149</v>
      </c>
      <c r="C191" s="46">
        <v>597</v>
      </c>
      <c r="D191" s="52">
        <v>0</v>
      </c>
      <c r="E191" s="46">
        <v>1</v>
      </c>
      <c r="F191" s="147" t="s">
        <v>257</v>
      </c>
      <c r="G191" s="147" t="s">
        <v>257</v>
      </c>
      <c r="H191" s="147">
        <v>10.7508</v>
      </c>
      <c r="I191" s="147" t="s">
        <v>257</v>
      </c>
      <c r="J191" s="147">
        <v>41052.101600000002</v>
      </c>
      <c r="K191" s="147">
        <v>799.65300000000002</v>
      </c>
      <c r="L191" s="147">
        <v>1518.325</v>
      </c>
      <c r="M191" s="147">
        <v>50.378300000000003</v>
      </c>
      <c r="N191" s="147">
        <v>12.5229</v>
      </c>
      <c r="O191" s="52">
        <v>126.23</v>
      </c>
      <c r="P191" s="46" t="s">
        <v>814</v>
      </c>
      <c r="Q191" s="46" t="s">
        <v>360</v>
      </c>
    </row>
    <row r="192" spans="1:17" ht="14.4" customHeight="1" x14ac:dyDescent="0.3">
      <c r="A192" s="46" t="s">
        <v>785</v>
      </c>
      <c r="B192" s="53">
        <v>46149</v>
      </c>
      <c r="C192" s="46">
        <v>598</v>
      </c>
      <c r="D192" s="52">
        <v>0</v>
      </c>
      <c r="E192" s="46">
        <v>2</v>
      </c>
      <c r="F192" s="147" t="s">
        <v>257</v>
      </c>
      <c r="G192" s="147" t="s">
        <v>257</v>
      </c>
      <c r="H192" s="147">
        <v>8.4138000000000002</v>
      </c>
      <c r="I192" s="147" t="s">
        <v>257</v>
      </c>
      <c r="J192" s="147">
        <v>41022.238299999997</v>
      </c>
      <c r="K192" s="147">
        <v>761.45429999999999</v>
      </c>
      <c r="L192" s="147">
        <v>1257.8549</v>
      </c>
      <c r="M192" s="147">
        <v>52.764699999999998</v>
      </c>
      <c r="N192" s="147">
        <v>10.0688</v>
      </c>
      <c r="O192" s="52">
        <v>126.49</v>
      </c>
      <c r="P192" s="46" t="s">
        <v>814</v>
      </c>
      <c r="Q192" s="46" t="s">
        <v>360</v>
      </c>
    </row>
    <row r="193" spans="1:17" ht="14.4" customHeight="1" x14ac:dyDescent="0.3">
      <c r="A193" s="46" t="s">
        <v>785</v>
      </c>
      <c r="B193" s="53">
        <v>46149</v>
      </c>
      <c r="C193" s="46">
        <v>599</v>
      </c>
      <c r="D193" s="52">
        <v>0.5</v>
      </c>
      <c r="E193" s="46">
        <v>1</v>
      </c>
      <c r="F193" s="147" t="s">
        <v>257</v>
      </c>
      <c r="G193" s="147" t="s">
        <v>257</v>
      </c>
      <c r="H193" s="147">
        <v>7.7431000000000001</v>
      </c>
      <c r="I193" s="147" t="s">
        <v>257</v>
      </c>
      <c r="J193" s="147">
        <v>46251.402300000002</v>
      </c>
      <c r="K193" s="147">
        <v>1186.0319999999999</v>
      </c>
      <c r="L193" s="147">
        <v>2001.6111000000001</v>
      </c>
      <c r="M193" s="147">
        <v>50.2179</v>
      </c>
      <c r="N193" s="147">
        <v>8.6966000000000001</v>
      </c>
      <c r="O193" s="52">
        <v>120.79</v>
      </c>
      <c r="P193" s="46" t="s">
        <v>814</v>
      </c>
      <c r="Q193" s="46" t="s">
        <v>360</v>
      </c>
    </row>
    <row r="194" spans="1:17" ht="14.4" customHeight="1" x14ac:dyDescent="0.3">
      <c r="A194" s="46" t="s">
        <v>785</v>
      </c>
      <c r="B194" s="53">
        <v>46149</v>
      </c>
      <c r="C194" s="46">
        <v>600</v>
      </c>
      <c r="D194" s="52">
        <v>0.5</v>
      </c>
      <c r="E194" s="46">
        <v>2</v>
      </c>
      <c r="F194" s="147" t="s">
        <v>257</v>
      </c>
      <c r="G194" s="147" t="s">
        <v>257</v>
      </c>
      <c r="H194" s="147">
        <v>8.4474999999999998</v>
      </c>
      <c r="I194" s="147" t="s">
        <v>257</v>
      </c>
      <c r="J194" s="147">
        <v>44250.597699999998</v>
      </c>
      <c r="K194" s="147">
        <v>1013.4274</v>
      </c>
      <c r="L194" s="147">
        <v>1829.059</v>
      </c>
      <c r="M194" s="147">
        <v>51.213999999999999</v>
      </c>
      <c r="N194" s="147">
        <v>6.1763000000000003</v>
      </c>
      <c r="O194" s="52">
        <v>125.98</v>
      </c>
      <c r="P194" s="46" t="s">
        <v>814</v>
      </c>
      <c r="Q194" s="46" t="s">
        <v>360</v>
      </c>
    </row>
    <row r="195" spans="1:17" ht="14.4" customHeight="1" x14ac:dyDescent="0.3">
      <c r="A195" s="46" t="s">
        <v>785</v>
      </c>
      <c r="B195" s="53">
        <v>46149</v>
      </c>
      <c r="C195" s="46">
        <v>601</v>
      </c>
      <c r="D195" s="52">
        <v>1</v>
      </c>
      <c r="E195" s="46">
        <v>1</v>
      </c>
      <c r="F195" s="147" t="s">
        <v>257</v>
      </c>
      <c r="G195" s="147" t="s">
        <v>257</v>
      </c>
      <c r="H195" s="147">
        <v>5.3377999999999997</v>
      </c>
      <c r="I195" s="147" t="s">
        <v>257</v>
      </c>
      <c r="J195" s="147">
        <v>46164.265599999999</v>
      </c>
      <c r="K195" s="147">
        <v>934.74869999999999</v>
      </c>
      <c r="L195" s="147">
        <v>1889.136</v>
      </c>
      <c r="M195" s="147">
        <v>48.523800000000001</v>
      </c>
      <c r="N195" s="147">
        <v>8.7917000000000005</v>
      </c>
      <c r="O195" s="52">
        <v>126.2</v>
      </c>
      <c r="P195" s="46" t="s">
        <v>814</v>
      </c>
      <c r="Q195" s="46" t="s">
        <v>360</v>
      </c>
    </row>
    <row r="196" spans="1:17" ht="14.4" customHeight="1" x14ac:dyDescent="0.3">
      <c r="A196" s="46" t="s">
        <v>785</v>
      </c>
      <c r="B196" s="53">
        <v>46149</v>
      </c>
      <c r="C196" s="46">
        <v>602</v>
      </c>
      <c r="D196" s="52">
        <v>1</v>
      </c>
      <c r="E196" s="46">
        <v>2</v>
      </c>
      <c r="F196" s="147" t="s">
        <v>257</v>
      </c>
      <c r="G196" s="147" t="s">
        <v>257</v>
      </c>
      <c r="H196" s="147">
        <v>8.5183999999999997</v>
      </c>
      <c r="I196" s="147" t="s">
        <v>257</v>
      </c>
      <c r="J196" s="147">
        <v>51611.906199999998</v>
      </c>
      <c r="K196" s="147">
        <v>1154.23</v>
      </c>
      <c r="L196" s="147">
        <v>1564.3253999999999</v>
      </c>
      <c r="M196" s="147">
        <v>46.793599999999998</v>
      </c>
      <c r="N196" s="147">
        <v>10.237500000000001</v>
      </c>
      <c r="O196" s="52">
        <v>120.99</v>
      </c>
      <c r="P196" s="46" t="s">
        <v>814</v>
      </c>
      <c r="Q196" s="46" t="s">
        <v>360</v>
      </c>
    </row>
    <row r="197" spans="1:17" ht="14.4" customHeight="1" x14ac:dyDescent="0.3">
      <c r="A197" s="46" t="s">
        <v>785</v>
      </c>
      <c r="B197" s="53">
        <v>46149</v>
      </c>
      <c r="C197" s="46">
        <v>603</v>
      </c>
      <c r="D197" s="52">
        <v>1.5</v>
      </c>
      <c r="E197" s="46">
        <v>1</v>
      </c>
      <c r="F197" s="147" t="s">
        <v>257</v>
      </c>
      <c r="G197" s="147" t="s">
        <v>257</v>
      </c>
      <c r="H197" s="147">
        <v>9.3435000000000006</v>
      </c>
      <c r="I197" s="147" t="s">
        <v>257</v>
      </c>
      <c r="J197" s="147">
        <v>75420.468800000002</v>
      </c>
      <c r="K197" s="147">
        <v>2188.8544999999999</v>
      </c>
      <c r="L197" s="147">
        <v>1981.0724</v>
      </c>
      <c r="M197" s="147">
        <v>53.634900000000002</v>
      </c>
      <c r="N197" s="147">
        <v>9.0176999999999996</v>
      </c>
      <c r="O197" s="52">
        <v>126.45</v>
      </c>
      <c r="P197" s="46" t="s">
        <v>814</v>
      </c>
      <c r="Q197" s="46" t="s">
        <v>360</v>
      </c>
    </row>
    <row r="198" spans="1:17" ht="14.4" customHeight="1" x14ac:dyDescent="0.3">
      <c r="A198" s="46" t="s">
        <v>785</v>
      </c>
      <c r="B198" s="53">
        <v>46149</v>
      </c>
      <c r="C198" s="46">
        <v>604</v>
      </c>
      <c r="D198" s="52">
        <v>1.5</v>
      </c>
      <c r="E198" s="46">
        <v>2</v>
      </c>
      <c r="F198" s="147" t="s">
        <v>257</v>
      </c>
      <c r="G198" s="147" t="s">
        <v>257</v>
      </c>
      <c r="H198" s="147">
        <v>6.1525999999999996</v>
      </c>
      <c r="I198" s="147" t="s">
        <v>257</v>
      </c>
      <c r="J198" s="147">
        <v>45352.343800000002</v>
      </c>
      <c r="K198" s="147">
        <v>911.98699999999997</v>
      </c>
      <c r="L198" s="147">
        <v>1620.2929999999999</v>
      </c>
      <c r="M198" s="147">
        <v>47.566400000000002</v>
      </c>
      <c r="N198" s="147">
        <v>4.9381000000000004</v>
      </c>
      <c r="O198" s="52">
        <v>120.14</v>
      </c>
      <c r="P198" s="46" t="s">
        <v>814</v>
      </c>
      <c r="Q198" s="46" t="s">
        <v>360</v>
      </c>
    </row>
    <row r="199" spans="1:17" ht="14.4" customHeight="1" x14ac:dyDescent="0.3">
      <c r="A199" s="46" t="s">
        <v>785</v>
      </c>
      <c r="B199" s="53">
        <v>46149</v>
      </c>
      <c r="C199" s="46">
        <v>605</v>
      </c>
      <c r="D199" s="52">
        <v>2</v>
      </c>
      <c r="E199" s="46">
        <v>1</v>
      </c>
      <c r="F199" s="147" t="s">
        <v>257</v>
      </c>
      <c r="G199" s="147" t="s">
        <v>257</v>
      </c>
      <c r="H199" s="147">
        <v>8.4445999999999994</v>
      </c>
      <c r="I199" s="147" t="s">
        <v>257</v>
      </c>
      <c r="J199" s="147">
        <v>51376.441400000003</v>
      </c>
      <c r="K199" s="147">
        <v>1524.3306</v>
      </c>
      <c r="L199" s="147">
        <v>2061.7885999999999</v>
      </c>
      <c r="M199" s="147">
        <v>58.187600000000003</v>
      </c>
      <c r="N199" s="147">
        <v>8.1615000000000002</v>
      </c>
      <c r="O199" s="52">
        <v>120.32</v>
      </c>
      <c r="P199" s="46" t="s">
        <v>814</v>
      </c>
      <c r="Q199" s="46" t="s">
        <v>360</v>
      </c>
    </row>
    <row r="200" spans="1:17" ht="14.4" customHeight="1" x14ac:dyDescent="0.3">
      <c r="A200" s="46" t="s">
        <v>785</v>
      </c>
      <c r="B200" s="53">
        <v>46149</v>
      </c>
      <c r="C200" s="46">
        <v>606</v>
      </c>
      <c r="D200" s="52">
        <v>2</v>
      </c>
      <c r="E200" s="46">
        <v>2</v>
      </c>
      <c r="F200" s="147" t="s">
        <v>257</v>
      </c>
      <c r="G200" s="147" t="s">
        <v>257</v>
      </c>
      <c r="H200" s="147">
        <v>8.6870999999999992</v>
      </c>
      <c r="I200" s="147" t="s">
        <v>257</v>
      </c>
      <c r="J200" s="147">
        <v>60339.945299999999</v>
      </c>
      <c r="K200" s="147">
        <v>1496.7067</v>
      </c>
      <c r="L200" s="147">
        <v>1671.5585000000001</v>
      </c>
      <c r="M200" s="147">
        <v>57.805</v>
      </c>
      <c r="N200" s="147">
        <v>6.9188000000000001</v>
      </c>
      <c r="O200" s="52">
        <v>120.49</v>
      </c>
      <c r="P200" s="46" t="s">
        <v>814</v>
      </c>
      <c r="Q200" s="46" t="s">
        <v>360</v>
      </c>
    </row>
    <row r="201" spans="1:17" ht="14.4" customHeight="1" x14ac:dyDescent="0.3">
      <c r="A201" s="46" t="s">
        <v>785</v>
      </c>
      <c r="B201" s="53">
        <v>46149</v>
      </c>
      <c r="C201" s="46">
        <v>607</v>
      </c>
      <c r="D201" s="52">
        <v>2.5</v>
      </c>
      <c r="E201" s="46">
        <v>1</v>
      </c>
      <c r="F201" s="147" t="s">
        <v>257</v>
      </c>
      <c r="G201" s="147" t="s">
        <v>257</v>
      </c>
      <c r="H201" s="147">
        <v>7.0420999999999996</v>
      </c>
      <c r="I201" s="147" t="s">
        <v>257</v>
      </c>
      <c r="J201" s="147">
        <v>44481.910199999998</v>
      </c>
      <c r="K201" s="147">
        <v>813.76900000000001</v>
      </c>
      <c r="L201" s="147">
        <v>1490.4036000000001</v>
      </c>
      <c r="M201" s="147">
        <v>45.081800000000001</v>
      </c>
      <c r="N201" s="147">
        <v>7.0332999999999997</v>
      </c>
      <c r="O201" s="52">
        <v>120.74</v>
      </c>
      <c r="P201" s="46" t="s">
        <v>814</v>
      </c>
      <c r="Q201" s="46" t="s">
        <v>360</v>
      </c>
    </row>
    <row r="202" spans="1:17" ht="14.4" customHeight="1" x14ac:dyDescent="0.3">
      <c r="A202" s="46" t="s">
        <v>785</v>
      </c>
      <c r="B202" s="53">
        <v>46149</v>
      </c>
      <c r="C202" s="46">
        <v>608</v>
      </c>
      <c r="D202" s="52">
        <v>2.5</v>
      </c>
      <c r="E202" s="46">
        <v>2</v>
      </c>
      <c r="F202" s="147" t="s">
        <v>257</v>
      </c>
      <c r="G202" s="147" t="s">
        <v>257</v>
      </c>
      <c r="H202" s="147">
        <v>5.5087000000000002</v>
      </c>
      <c r="I202" s="147" t="s">
        <v>257</v>
      </c>
      <c r="J202" s="147">
        <v>40449.578099999999</v>
      </c>
      <c r="K202" s="147">
        <v>752.08339999999998</v>
      </c>
      <c r="L202" s="147">
        <v>1079.4231</v>
      </c>
      <c r="M202" s="147">
        <v>43.923400000000001</v>
      </c>
      <c r="N202" s="147" t="s">
        <v>257</v>
      </c>
      <c r="O202" s="52">
        <v>120.57</v>
      </c>
      <c r="P202" s="46" t="s">
        <v>814</v>
      </c>
      <c r="Q202" s="46" t="s">
        <v>360</v>
      </c>
    </row>
    <row r="203" spans="1:17" ht="14.4" customHeight="1" x14ac:dyDescent="0.3">
      <c r="A203" s="46" t="s">
        <v>785</v>
      </c>
      <c r="B203" s="53">
        <v>46149</v>
      </c>
      <c r="C203" s="46">
        <v>609</v>
      </c>
      <c r="D203" s="52">
        <v>3</v>
      </c>
      <c r="E203" s="46">
        <v>1</v>
      </c>
      <c r="F203" s="147" t="s">
        <v>257</v>
      </c>
      <c r="G203" s="147" t="s">
        <v>257</v>
      </c>
      <c r="H203" s="147">
        <v>6.9870000000000001</v>
      </c>
      <c r="I203" s="147" t="s">
        <v>257</v>
      </c>
      <c r="J203" s="147">
        <v>49396.667999999998</v>
      </c>
      <c r="K203" s="147">
        <v>966.23820000000001</v>
      </c>
      <c r="L203" s="147">
        <v>934.74199999999996</v>
      </c>
      <c r="M203" s="147">
        <v>46.277999999999999</v>
      </c>
      <c r="N203" s="147">
        <v>7.2236000000000002</v>
      </c>
      <c r="O203" s="52">
        <v>120.43</v>
      </c>
      <c r="P203" s="46" t="s">
        <v>814</v>
      </c>
      <c r="Q203" s="46" t="s">
        <v>360</v>
      </c>
    </row>
    <row r="204" spans="1:17" ht="14.4" customHeight="1" x14ac:dyDescent="0.3">
      <c r="A204" s="46" t="s">
        <v>785</v>
      </c>
      <c r="B204" s="53">
        <v>46149</v>
      </c>
      <c r="C204" s="46">
        <v>610</v>
      </c>
      <c r="D204" s="52">
        <v>3</v>
      </c>
      <c r="E204" s="46">
        <v>2</v>
      </c>
      <c r="F204" s="147" t="s">
        <v>257</v>
      </c>
      <c r="G204" s="147" t="s">
        <v>257</v>
      </c>
      <c r="H204" s="147">
        <v>6.5171999999999999</v>
      </c>
      <c r="I204" s="147" t="s">
        <v>257</v>
      </c>
      <c r="J204" s="147">
        <v>50017.722699999998</v>
      </c>
      <c r="K204" s="147">
        <v>975.52449999999999</v>
      </c>
      <c r="L204" s="147">
        <v>816.23410000000001</v>
      </c>
      <c r="M204" s="147">
        <v>46.395299999999999</v>
      </c>
      <c r="N204" s="147" t="s">
        <v>257</v>
      </c>
      <c r="O204" s="52">
        <v>120.8</v>
      </c>
      <c r="P204" s="46" t="s">
        <v>814</v>
      </c>
      <c r="Q204" s="46" t="s">
        <v>360</v>
      </c>
    </row>
    <row r="205" spans="1:17" ht="14.4" customHeight="1" x14ac:dyDescent="0.3">
      <c r="A205" s="46" t="s">
        <v>785</v>
      </c>
      <c r="B205" s="53">
        <v>46149</v>
      </c>
      <c r="C205" s="46">
        <v>611</v>
      </c>
      <c r="D205" s="52">
        <v>3.5</v>
      </c>
      <c r="E205" s="46">
        <v>1</v>
      </c>
      <c r="F205" s="147" t="s">
        <v>257</v>
      </c>
      <c r="G205" s="147" t="s">
        <v>257</v>
      </c>
      <c r="H205" s="147">
        <v>9.7182999999999993</v>
      </c>
      <c r="I205" s="147" t="s">
        <v>257</v>
      </c>
      <c r="J205" s="147">
        <v>49368.835899999998</v>
      </c>
      <c r="K205" s="147">
        <v>1039.6975</v>
      </c>
      <c r="L205" s="147">
        <v>702.40260000000001</v>
      </c>
      <c r="M205" s="147">
        <v>50.404299999999999</v>
      </c>
      <c r="N205" s="147">
        <v>11.111700000000001</v>
      </c>
      <c r="O205" s="52">
        <v>120.67</v>
      </c>
      <c r="P205" s="46" t="s">
        <v>814</v>
      </c>
      <c r="Q205" s="46" t="s">
        <v>360</v>
      </c>
    </row>
    <row r="206" spans="1:17" ht="14.4" customHeight="1" x14ac:dyDescent="0.3">
      <c r="A206" s="46" t="s">
        <v>785</v>
      </c>
      <c r="B206" s="53">
        <v>46149</v>
      </c>
      <c r="C206" s="46">
        <v>612</v>
      </c>
      <c r="D206" s="52">
        <v>3.5</v>
      </c>
      <c r="E206" s="46">
        <v>2</v>
      </c>
      <c r="F206" s="147" t="s">
        <v>257</v>
      </c>
      <c r="G206" s="147" t="s">
        <v>257</v>
      </c>
      <c r="H206" s="147">
        <v>7.1961000000000004</v>
      </c>
      <c r="I206" s="147" t="s">
        <v>257</v>
      </c>
      <c r="J206" s="147">
        <v>48078.5625</v>
      </c>
      <c r="K206" s="147">
        <v>993.31939999999997</v>
      </c>
      <c r="L206" s="147">
        <v>676.95500000000004</v>
      </c>
      <c r="M206" s="147">
        <v>52.459099999999999</v>
      </c>
      <c r="N206" s="147">
        <v>9.5900999999999996</v>
      </c>
      <c r="O206" s="52">
        <v>126.3</v>
      </c>
      <c r="P206" s="46" t="s">
        <v>814</v>
      </c>
      <c r="Q206" s="46" t="s">
        <v>360</v>
      </c>
    </row>
    <row r="207" spans="1:17" ht="14.4" customHeight="1" x14ac:dyDescent="0.3">
      <c r="A207" s="46" t="s">
        <v>785</v>
      </c>
      <c r="B207" s="53">
        <v>46149</v>
      </c>
      <c r="C207" s="46">
        <v>613</v>
      </c>
      <c r="D207" s="52">
        <v>4</v>
      </c>
      <c r="E207" s="46">
        <v>1</v>
      </c>
      <c r="F207" s="147" t="s">
        <v>257</v>
      </c>
      <c r="G207" s="147" t="s">
        <v>257</v>
      </c>
      <c r="H207" s="147">
        <v>6.9926000000000004</v>
      </c>
      <c r="I207" s="147" t="s">
        <v>257</v>
      </c>
      <c r="J207" s="147">
        <v>40923.363299999997</v>
      </c>
      <c r="K207" s="147">
        <v>733.68709999999999</v>
      </c>
      <c r="L207" s="147">
        <v>451.16739999999999</v>
      </c>
      <c r="M207" s="147">
        <v>47.467700000000001</v>
      </c>
      <c r="N207" s="147" t="s">
        <v>257</v>
      </c>
      <c r="O207" s="52">
        <v>120.77</v>
      </c>
      <c r="P207" s="46" t="s">
        <v>814</v>
      </c>
      <c r="Q207" s="46" t="s">
        <v>360</v>
      </c>
    </row>
    <row r="208" spans="1:17" ht="14.4" customHeight="1" x14ac:dyDescent="0.3">
      <c r="A208" s="46" t="s">
        <v>785</v>
      </c>
      <c r="B208" s="53">
        <v>46149</v>
      </c>
      <c r="C208" s="46">
        <v>614</v>
      </c>
      <c r="D208" s="52">
        <v>4</v>
      </c>
      <c r="E208" s="46">
        <v>2</v>
      </c>
      <c r="F208" s="147" t="s">
        <v>257</v>
      </c>
      <c r="G208" s="147" t="s">
        <v>257</v>
      </c>
      <c r="H208" s="147">
        <v>7.0448000000000004</v>
      </c>
      <c r="I208" s="147" t="s">
        <v>257</v>
      </c>
      <c r="J208" s="147">
        <v>40805.707000000002</v>
      </c>
      <c r="K208" s="147">
        <v>761.50630000000001</v>
      </c>
      <c r="L208" s="147">
        <v>374.66550000000001</v>
      </c>
      <c r="M208" s="147">
        <v>45.231299999999997</v>
      </c>
      <c r="N208" s="147">
        <v>5.8795999999999999</v>
      </c>
      <c r="O208" s="52">
        <v>120.48</v>
      </c>
      <c r="P208" s="46" t="s">
        <v>814</v>
      </c>
      <c r="Q208" s="46" t="s">
        <v>360</v>
      </c>
    </row>
    <row r="209" spans="1:17" ht="14.4" customHeight="1" x14ac:dyDescent="0.3">
      <c r="A209" s="49" t="s">
        <v>786</v>
      </c>
      <c r="B209" s="54">
        <v>46149</v>
      </c>
      <c r="C209" s="49">
        <v>616</v>
      </c>
      <c r="D209" s="51">
        <v>0</v>
      </c>
      <c r="E209" s="49">
        <v>1</v>
      </c>
      <c r="F209" s="148" t="s">
        <v>257</v>
      </c>
      <c r="G209" s="148" t="s">
        <v>257</v>
      </c>
      <c r="H209" s="148">
        <v>5.6093999999999999</v>
      </c>
      <c r="I209" s="148" t="s">
        <v>257</v>
      </c>
      <c r="J209" s="148">
        <v>42511.964800000002</v>
      </c>
      <c r="K209" s="148">
        <v>709.79219999999998</v>
      </c>
      <c r="L209" s="148">
        <v>148.1386</v>
      </c>
      <c r="M209" s="148">
        <v>47.058100000000003</v>
      </c>
      <c r="N209" s="148">
        <v>9.7997999999999994</v>
      </c>
      <c r="O209" s="51">
        <v>120.88</v>
      </c>
      <c r="P209" s="49" t="s">
        <v>814</v>
      </c>
      <c r="Q209" s="49" t="s">
        <v>360</v>
      </c>
    </row>
    <row r="210" spans="1:17" ht="14.4" customHeight="1" x14ac:dyDescent="0.3">
      <c r="A210" s="49" t="s">
        <v>786</v>
      </c>
      <c r="B210" s="54">
        <v>46149</v>
      </c>
      <c r="C210" s="49">
        <v>617</v>
      </c>
      <c r="D210" s="51">
        <v>0</v>
      </c>
      <c r="E210" s="49">
        <v>2</v>
      </c>
      <c r="F210" s="148" t="s">
        <v>257</v>
      </c>
      <c r="G210" s="148" t="s">
        <v>257</v>
      </c>
      <c r="H210" s="148">
        <v>6.4709000000000003</v>
      </c>
      <c r="I210" s="148" t="s">
        <v>257</v>
      </c>
      <c r="J210" s="148">
        <v>42250.648399999998</v>
      </c>
      <c r="K210" s="148">
        <v>714.89530000000002</v>
      </c>
      <c r="L210" s="148">
        <v>268.26510000000002</v>
      </c>
      <c r="M210" s="148">
        <v>46.667000000000002</v>
      </c>
      <c r="N210" s="148">
        <v>9.2536000000000005</v>
      </c>
      <c r="O210" s="51">
        <v>120.36</v>
      </c>
      <c r="P210" s="49" t="s">
        <v>814</v>
      </c>
      <c r="Q210" s="49" t="s">
        <v>360</v>
      </c>
    </row>
    <row r="211" spans="1:17" ht="14.4" customHeight="1" x14ac:dyDescent="0.3">
      <c r="A211" s="49" t="s">
        <v>786</v>
      </c>
      <c r="B211" s="54">
        <v>46149</v>
      </c>
      <c r="C211" s="49">
        <v>618</v>
      </c>
      <c r="D211" s="51">
        <v>0.5</v>
      </c>
      <c r="E211" s="49">
        <v>1</v>
      </c>
      <c r="F211" s="148" t="s">
        <v>257</v>
      </c>
      <c r="G211" s="148" t="s">
        <v>257</v>
      </c>
      <c r="H211" s="148">
        <v>4.5776000000000003</v>
      </c>
      <c r="I211" s="148" t="s">
        <v>257</v>
      </c>
      <c r="J211" s="148">
        <v>35352.5</v>
      </c>
      <c r="K211" s="148">
        <v>576.23910000000001</v>
      </c>
      <c r="L211" s="148">
        <v>133.6353</v>
      </c>
      <c r="M211" s="148">
        <v>31.880500000000001</v>
      </c>
      <c r="N211" s="148">
        <v>7.4729000000000001</v>
      </c>
      <c r="O211" s="51">
        <v>126.06</v>
      </c>
      <c r="P211" s="49" t="s">
        <v>814</v>
      </c>
      <c r="Q211" s="49" t="s">
        <v>360</v>
      </c>
    </row>
    <row r="212" spans="1:17" ht="14.4" customHeight="1" x14ac:dyDescent="0.3">
      <c r="A212" s="49" t="s">
        <v>786</v>
      </c>
      <c r="B212" s="54">
        <v>46149</v>
      </c>
      <c r="C212" s="49">
        <v>619</v>
      </c>
      <c r="D212" s="51">
        <v>0.5</v>
      </c>
      <c r="E212" s="49">
        <v>2</v>
      </c>
      <c r="F212" s="148" t="s">
        <v>257</v>
      </c>
      <c r="G212" s="148" t="s">
        <v>257</v>
      </c>
      <c r="H212" s="148">
        <v>4.4908000000000001</v>
      </c>
      <c r="I212" s="148" t="s">
        <v>257</v>
      </c>
      <c r="J212" s="148">
        <v>35852.542999999998</v>
      </c>
      <c r="K212" s="148">
        <v>590.10289999999998</v>
      </c>
      <c r="L212" s="148">
        <v>121.07299999999999</v>
      </c>
      <c r="M212" s="148">
        <v>32.4236</v>
      </c>
      <c r="N212" s="148" t="s">
        <v>257</v>
      </c>
      <c r="O212" s="51">
        <v>120.22</v>
      </c>
      <c r="P212" s="49" t="s">
        <v>814</v>
      </c>
      <c r="Q212" s="49" t="s">
        <v>360</v>
      </c>
    </row>
    <row r="213" spans="1:17" ht="14.4" customHeight="1" x14ac:dyDescent="0.3">
      <c r="A213" s="49" t="s">
        <v>786</v>
      </c>
      <c r="B213" s="54">
        <v>46149</v>
      </c>
      <c r="C213" s="49">
        <v>620</v>
      </c>
      <c r="D213" s="51">
        <v>1</v>
      </c>
      <c r="E213" s="49">
        <v>1</v>
      </c>
      <c r="F213" s="148" t="s">
        <v>257</v>
      </c>
      <c r="G213" s="148" t="s">
        <v>257</v>
      </c>
      <c r="H213" s="148">
        <v>7.5427</v>
      </c>
      <c r="I213" s="148" t="s">
        <v>257</v>
      </c>
      <c r="J213" s="148">
        <v>40202.070299999999</v>
      </c>
      <c r="K213" s="148">
        <v>729.62210000000005</v>
      </c>
      <c r="L213" s="148">
        <v>73.505200000000002</v>
      </c>
      <c r="M213" s="148">
        <v>47.652900000000002</v>
      </c>
      <c r="N213" s="148">
        <v>13.5562</v>
      </c>
      <c r="O213" s="51">
        <v>120.54</v>
      </c>
      <c r="P213" s="49" t="s">
        <v>814</v>
      </c>
      <c r="Q213" s="49" t="s">
        <v>360</v>
      </c>
    </row>
    <row r="214" spans="1:17" ht="14.4" customHeight="1" x14ac:dyDescent="0.3">
      <c r="A214" s="49" t="s">
        <v>786</v>
      </c>
      <c r="B214" s="54">
        <v>46149</v>
      </c>
      <c r="C214" s="49">
        <v>621</v>
      </c>
      <c r="D214" s="51">
        <v>1</v>
      </c>
      <c r="E214" s="49">
        <v>2</v>
      </c>
      <c r="F214" s="148" t="s">
        <v>257</v>
      </c>
      <c r="G214" s="148" t="s">
        <v>257</v>
      </c>
      <c r="H214" s="148">
        <v>5.6657000000000002</v>
      </c>
      <c r="I214" s="148" t="s">
        <v>257</v>
      </c>
      <c r="J214" s="148">
        <v>40671.589800000002</v>
      </c>
      <c r="K214" s="148">
        <v>711.41269999999997</v>
      </c>
      <c r="L214" s="148" t="s">
        <v>257</v>
      </c>
      <c r="M214" s="148">
        <v>45.550800000000002</v>
      </c>
      <c r="N214" s="148">
        <v>9.1804000000000006</v>
      </c>
      <c r="O214" s="51">
        <v>120.67</v>
      </c>
      <c r="P214" s="49" t="s">
        <v>814</v>
      </c>
      <c r="Q214" s="49" t="s">
        <v>360</v>
      </c>
    </row>
    <row r="215" spans="1:17" ht="14.4" customHeight="1" x14ac:dyDescent="0.3">
      <c r="A215" s="49" t="s">
        <v>786</v>
      </c>
      <c r="B215" s="54">
        <v>46149</v>
      </c>
      <c r="C215" s="49">
        <v>622</v>
      </c>
      <c r="D215" s="51">
        <v>1.5</v>
      </c>
      <c r="E215" s="49">
        <v>1</v>
      </c>
      <c r="F215" s="148" t="s">
        <v>257</v>
      </c>
      <c r="G215" s="148" t="s">
        <v>257</v>
      </c>
      <c r="H215" s="148">
        <v>4.7723000000000004</v>
      </c>
      <c r="I215" s="148" t="s">
        <v>257</v>
      </c>
      <c r="J215" s="148">
        <v>40062.171900000001</v>
      </c>
      <c r="K215" s="148">
        <v>714.57780000000002</v>
      </c>
      <c r="L215" s="148">
        <v>328.41570000000002</v>
      </c>
      <c r="M215" s="148">
        <v>41.697600000000001</v>
      </c>
      <c r="N215" s="148">
        <v>12.2964</v>
      </c>
      <c r="O215" s="51">
        <v>126.16</v>
      </c>
      <c r="P215" s="49" t="s">
        <v>814</v>
      </c>
      <c r="Q215" s="49" t="s">
        <v>360</v>
      </c>
    </row>
    <row r="216" spans="1:17" ht="14.4" customHeight="1" x14ac:dyDescent="0.3">
      <c r="A216" s="49" t="s">
        <v>786</v>
      </c>
      <c r="B216" s="54">
        <v>46149</v>
      </c>
      <c r="C216" s="49">
        <v>623</v>
      </c>
      <c r="D216" s="51">
        <v>1.5</v>
      </c>
      <c r="E216" s="49">
        <v>2</v>
      </c>
      <c r="F216" s="148" t="s">
        <v>257</v>
      </c>
      <c r="G216" s="148" t="s">
        <v>257</v>
      </c>
      <c r="H216" s="148">
        <v>5.9248000000000003</v>
      </c>
      <c r="I216" s="148" t="s">
        <v>257</v>
      </c>
      <c r="J216" s="148">
        <v>39894.824200000003</v>
      </c>
      <c r="K216" s="148">
        <v>683.25360000000001</v>
      </c>
      <c r="L216" s="148">
        <v>272.00200000000001</v>
      </c>
      <c r="M216" s="148">
        <v>46.947699999999998</v>
      </c>
      <c r="N216" s="148">
        <v>9.7272999999999996</v>
      </c>
      <c r="O216" s="51">
        <v>120.28</v>
      </c>
      <c r="P216" s="49" t="s">
        <v>814</v>
      </c>
      <c r="Q216" s="49" t="s">
        <v>360</v>
      </c>
    </row>
    <row r="217" spans="1:17" ht="14.4" customHeight="1" x14ac:dyDescent="0.3">
      <c r="A217" s="49" t="s">
        <v>786</v>
      </c>
      <c r="B217" s="54">
        <v>46149</v>
      </c>
      <c r="C217" s="49">
        <v>624</v>
      </c>
      <c r="D217" s="51">
        <v>2</v>
      </c>
      <c r="E217" s="49">
        <v>1</v>
      </c>
      <c r="F217" s="148" t="s">
        <v>257</v>
      </c>
      <c r="G217" s="148" t="s">
        <v>257</v>
      </c>
      <c r="H217" s="148">
        <v>6.2770000000000001</v>
      </c>
      <c r="I217" s="148" t="s">
        <v>257</v>
      </c>
      <c r="J217" s="148">
        <v>44453.414100000002</v>
      </c>
      <c r="K217" s="148">
        <v>760.54</v>
      </c>
      <c r="L217" s="148">
        <v>96.195999999999998</v>
      </c>
      <c r="M217" s="148">
        <v>54.4529</v>
      </c>
      <c r="N217" s="148">
        <v>7.2991000000000001</v>
      </c>
      <c r="O217" s="51">
        <v>126.15</v>
      </c>
      <c r="P217" s="49" t="s">
        <v>814</v>
      </c>
      <c r="Q217" s="49" t="s">
        <v>360</v>
      </c>
    </row>
    <row r="218" spans="1:17" ht="14.4" customHeight="1" x14ac:dyDescent="0.3">
      <c r="A218" s="49" t="s">
        <v>786</v>
      </c>
      <c r="B218" s="54">
        <v>46149</v>
      </c>
      <c r="C218" s="49">
        <v>625</v>
      </c>
      <c r="D218" s="51">
        <v>2</v>
      </c>
      <c r="E218" s="49">
        <v>2</v>
      </c>
      <c r="F218" s="148" t="s">
        <v>257</v>
      </c>
      <c r="G218" s="148" t="s">
        <v>257</v>
      </c>
      <c r="H218" s="148">
        <v>8.5707000000000004</v>
      </c>
      <c r="I218" s="148" t="s">
        <v>257</v>
      </c>
      <c r="J218" s="148">
        <v>44566.832000000002</v>
      </c>
      <c r="K218" s="148">
        <v>740.98030000000006</v>
      </c>
      <c r="L218" s="148">
        <v>142.97640000000001</v>
      </c>
      <c r="M218" s="148">
        <v>51.903100000000002</v>
      </c>
      <c r="N218" s="148">
        <v>7.4917999999999996</v>
      </c>
      <c r="O218" s="51">
        <v>120.75</v>
      </c>
      <c r="P218" s="49" t="s">
        <v>814</v>
      </c>
      <c r="Q218" s="49" t="s">
        <v>360</v>
      </c>
    </row>
    <row r="219" spans="1:17" ht="14.4" customHeight="1" x14ac:dyDescent="0.3">
      <c r="A219" s="49" t="s">
        <v>786</v>
      </c>
      <c r="B219" s="54">
        <v>46149</v>
      </c>
      <c r="C219" s="49">
        <v>626</v>
      </c>
      <c r="D219" s="51">
        <v>2.5</v>
      </c>
      <c r="E219" s="49">
        <v>1</v>
      </c>
      <c r="F219" s="148" t="s">
        <v>257</v>
      </c>
      <c r="G219" s="148" t="s">
        <v>257</v>
      </c>
      <c r="H219" s="148">
        <v>5.5743999999999998</v>
      </c>
      <c r="I219" s="148" t="s">
        <v>257</v>
      </c>
      <c r="J219" s="148">
        <v>37248.175799999997</v>
      </c>
      <c r="K219" s="148">
        <v>595.0539</v>
      </c>
      <c r="L219" s="148">
        <v>204.28039999999999</v>
      </c>
      <c r="M219" s="148">
        <v>35.825099999999999</v>
      </c>
      <c r="N219" s="148">
        <v>5.7888000000000002</v>
      </c>
      <c r="O219" s="51">
        <v>126.24</v>
      </c>
      <c r="P219" s="49" t="s">
        <v>814</v>
      </c>
      <c r="Q219" s="49" t="s">
        <v>360</v>
      </c>
    </row>
    <row r="220" spans="1:17" ht="14.4" customHeight="1" x14ac:dyDescent="0.3">
      <c r="A220" s="49" t="s">
        <v>786</v>
      </c>
      <c r="B220" s="54">
        <v>46149</v>
      </c>
      <c r="C220" s="49">
        <v>627</v>
      </c>
      <c r="D220" s="51">
        <v>2.5</v>
      </c>
      <c r="E220" s="49">
        <v>2</v>
      </c>
      <c r="F220" s="148" t="s">
        <v>257</v>
      </c>
      <c r="G220" s="148" t="s">
        <v>257</v>
      </c>
      <c r="H220" s="148">
        <v>6.6417999999999999</v>
      </c>
      <c r="I220" s="148" t="s">
        <v>257</v>
      </c>
      <c r="J220" s="148">
        <v>37892.941400000003</v>
      </c>
      <c r="K220" s="148">
        <v>606.08630000000005</v>
      </c>
      <c r="L220" s="148" t="s">
        <v>257</v>
      </c>
      <c r="M220" s="148">
        <v>45.650700000000001</v>
      </c>
      <c r="N220" s="148">
        <v>4.9055999999999997</v>
      </c>
      <c r="O220" s="51">
        <v>90.5</v>
      </c>
      <c r="P220" s="49" t="s">
        <v>814</v>
      </c>
      <c r="Q220" s="49" t="s">
        <v>360</v>
      </c>
    </row>
    <row r="221" spans="1:17" ht="14.4" customHeight="1" x14ac:dyDescent="0.3">
      <c r="A221" s="49" t="s">
        <v>786</v>
      </c>
      <c r="B221" s="54">
        <v>46149</v>
      </c>
      <c r="C221" s="49">
        <v>628</v>
      </c>
      <c r="D221" s="51">
        <v>3</v>
      </c>
      <c r="E221" s="49">
        <v>1</v>
      </c>
      <c r="F221" s="148" t="s">
        <v>257</v>
      </c>
      <c r="G221" s="148" t="s">
        <v>257</v>
      </c>
      <c r="H221" s="148">
        <v>8.3658999999999999</v>
      </c>
      <c r="I221" s="148" t="s">
        <v>257</v>
      </c>
      <c r="J221" s="148">
        <v>45514.472699999998</v>
      </c>
      <c r="K221" s="148">
        <v>866.06119999999999</v>
      </c>
      <c r="L221" s="148" t="s">
        <v>257</v>
      </c>
      <c r="M221" s="148">
        <v>59.269300000000001</v>
      </c>
      <c r="N221" s="148">
        <v>16.138000000000002</v>
      </c>
      <c r="O221" s="51">
        <v>120.06</v>
      </c>
      <c r="P221" s="49" t="s">
        <v>814</v>
      </c>
      <c r="Q221" s="49" t="s">
        <v>360</v>
      </c>
    </row>
    <row r="222" spans="1:17" ht="14.4" customHeight="1" x14ac:dyDescent="0.3">
      <c r="A222" s="49" t="s">
        <v>786</v>
      </c>
      <c r="B222" s="54">
        <v>46149</v>
      </c>
      <c r="C222" s="49">
        <v>630</v>
      </c>
      <c r="D222" s="51">
        <v>3</v>
      </c>
      <c r="E222" s="49">
        <v>2</v>
      </c>
      <c r="F222" s="148">
        <v>4.3061999999999996</v>
      </c>
      <c r="G222" s="148" t="s">
        <v>257</v>
      </c>
      <c r="H222" s="148">
        <v>7.0670000000000002</v>
      </c>
      <c r="I222" s="148" t="s">
        <v>257</v>
      </c>
      <c r="J222" s="148">
        <v>48186.679700000001</v>
      </c>
      <c r="K222" s="148">
        <v>866.80079999999998</v>
      </c>
      <c r="L222" s="148">
        <v>138.53290000000001</v>
      </c>
      <c r="M222" s="148">
        <v>63.399000000000001</v>
      </c>
      <c r="N222" s="148">
        <v>19.806699999999999</v>
      </c>
      <c r="O222" s="51">
        <v>126.12</v>
      </c>
      <c r="P222" s="49" t="s">
        <v>814</v>
      </c>
      <c r="Q222" s="49" t="s">
        <v>360</v>
      </c>
    </row>
    <row r="223" spans="1:17" ht="14.4" customHeight="1" x14ac:dyDescent="0.3">
      <c r="A223" s="49" t="s">
        <v>786</v>
      </c>
      <c r="B223" s="54">
        <v>46149</v>
      </c>
      <c r="C223" s="49">
        <v>631</v>
      </c>
      <c r="D223" s="51">
        <v>3.5</v>
      </c>
      <c r="E223" s="49">
        <v>1</v>
      </c>
      <c r="F223" s="148" t="s">
        <v>257</v>
      </c>
      <c r="G223" s="148" t="s">
        <v>257</v>
      </c>
      <c r="H223" s="148">
        <v>5.4943999999999997</v>
      </c>
      <c r="I223" s="148" t="s">
        <v>257</v>
      </c>
      <c r="J223" s="148">
        <v>40504.484400000001</v>
      </c>
      <c r="K223" s="148">
        <v>731.29480000000001</v>
      </c>
      <c r="L223" s="148" t="s">
        <v>257</v>
      </c>
      <c r="M223" s="148">
        <v>50.3812</v>
      </c>
      <c r="N223" s="148">
        <v>14.575799999999999</v>
      </c>
      <c r="O223" s="51">
        <v>126.07</v>
      </c>
      <c r="P223" s="49" t="s">
        <v>814</v>
      </c>
      <c r="Q223" s="49" t="s">
        <v>360</v>
      </c>
    </row>
    <row r="224" spans="1:17" ht="14.4" customHeight="1" x14ac:dyDescent="0.3">
      <c r="A224" s="49" t="s">
        <v>786</v>
      </c>
      <c r="B224" s="54">
        <v>46149</v>
      </c>
      <c r="C224" s="49">
        <v>632</v>
      </c>
      <c r="D224" s="51">
        <v>3.5</v>
      </c>
      <c r="E224" s="49">
        <v>2</v>
      </c>
      <c r="F224" s="148" t="s">
        <v>257</v>
      </c>
      <c r="G224" s="148" t="s">
        <v>257</v>
      </c>
      <c r="H224" s="148">
        <v>5.0395000000000003</v>
      </c>
      <c r="I224" s="148" t="s">
        <v>257</v>
      </c>
      <c r="J224" s="148">
        <v>40416.542999999998</v>
      </c>
      <c r="K224" s="148">
        <v>672.9819</v>
      </c>
      <c r="L224" s="148" t="s">
        <v>257</v>
      </c>
      <c r="M224" s="148">
        <v>46.849699999999999</v>
      </c>
      <c r="N224" s="148">
        <v>7.6388999999999996</v>
      </c>
      <c r="O224" s="51">
        <v>120.23</v>
      </c>
      <c r="P224" s="49" t="s">
        <v>814</v>
      </c>
      <c r="Q224" s="49" t="s">
        <v>360</v>
      </c>
    </row>
    <row r="225" spans="1:17" ht="14.4" customHeight="1" x14ac:dyDescent="0.3">
      <c r="A225" s="49" t="s">
        <v>786</v>
      </c>
      <c r="B225" s="54">
        <v>46149</v>
      </c>
      <c r="C225" s="49">
        <v>633</v>
      </c>
      <c r="D225" s="51">
        <v>4</v>
      </c>
      <c r="E225" s="49">
        <v>1</v>
      </c>
      <c r="F225" s="148" t="s">
        <v>257</v>
      </c>
      <c r="G225" s="148" t="s">
        <v>257</v>
      </c>
      <c r="H225" s="148">
        <v>6.2858000000000001</v>
      </c>
      <c r="I225" s="148" t="s">
        <v>257</v>
      </c>
      <c r="J225" s="148">
        <v>38640.394500000002</v>
      </c>
      <c r="K225" s="148">
        <v>701.5788</v>
      </c>
      <c r="L225" s="148">
        <v>88.667400000000001</v>
      </c>
      <c r="M225" s="148">
        <v>45.688899999999997</v>
      </c>
      <c r="N225" s="148">
        <v>10.4961</v>
      </c>
      <c r="O225" s="51">
        <v>120.53</v>
      </c>
      <c r="P225" s="49" t="s">
        <v>814</v>
      </c>
      <c r="Q225" s="49" t="s">
        <v>360</v>
      </c>
    </row>
    <row r="226" spans="1:17" ht="14.4" customHeight="1" x14ac:dyDescent="0.3">
      <c r="A226" s="49" t="s">
        <v>786</v>
      </c>
      <c r="B226" s="54">
        <v>46149</v>
      </c>
      <c r="C226" s="49">
        <v>634</v>
      </c>
      <c r="D226" s="51">
        <v>4</v>
      </c>
      <c r="E226" s="49">
        <v>2</v>
      </c>
      <c r="F226" s="148" t="s">
        <v>257</v>
      </c>
      <c r="G226" s="148" t="s">
        <v>257</v>
      </c>
      <c r="H226" s="148">
        <v>5.1402000000000001</v>
      </c>
      <c r="I226" s="148" t="s">
        <v>257</v>
      </c>
      <c r="J226" s="148">
        <v>37982.906199999998</v>
      </c>
      <c r="K226" s="148">
        <v>665.78830000000005</v>
      </c>
      <c r="L226" s="148">
        <v>96.798199999999994</v>
      </c>
      <c r="M226" s="148">
        <v>42.951999999999998</v>
      </c>
      <c r="N226" s="148">
        <v>8.6895000000000007</v>
      </c>
      <c r="O226" s="51">
        <v>126.21</v>
      </c>
      <c r="P226" s="49" t="s">
        <v>814</v>
      </c>
      <c r="Q226" s="49" t="s">
        <v>360</v>
      </c>
    </row>
    <row r="227" spans="1:17" ht="14.4" customHeight="1" x14ac:dyDescent="0.3">
      <c r="A227" s="46" t="s">
        <v>787</v>
      </c>
      <c r="B227" s="53">
        <v>46149</v>
      </c>
      <c r="C227" s="46">
        <v>641</v>
      </c>
      <c r="D227" s="52">
        <v>0</v>
      </c>
      <c r="E227" s="46">
        <v>1</v>
      </c>
      <c r="F227" s="147">
        <v>6.1177999999999999</v>
      </c>
      <c r="G227" s="147">
        <v>4.2728000000000002</v>
      </c>
      <c r="H227" s="147">
        <v>8.7615999999999996</v>
      </c>
      <c r="I227" s="147" t="s">
        <v>257</v>
      </c>
      <c r="J227" s="147">
        <v>67284.367199999993</v>
      </c>
      <c r="K227" s="147">
        <v>417.32119999999998</v>
      </c>
      <c r="L227" s="147">
        <v>29949.3066</v>
      </c>
      <c r="M227" s="147">
        <v>43.341500000000003</v>
      </c>
      <c r="N227" s="147">
        <v>20.0352</v>
      </c>
      <c r="O227" s="52">
        <v>126.22</v>
      </c>
      <c r="P227" s="46" t="s">
        <v>814</v>
      </c>
      <c r="Q227" s="46" t="s">
        <v>360</v>
      </c>
    </row>
    <row r="228" spans="1:17" ht="14.4" customHeight="1" x14ac:dyDescent="0.3">
      <c r="A228" s="46" t="s">
        <v>787</v>
      </c>
      <c r="B228" s="53">
        <v>46149</v>
      </c>
      <c r="C228" s="46">
        <v>642</v>
      </c>
      <c r="D228" s="52">
        <v>0</v>
      </c>
      <c r="E228" s="46">
        <v>2</v>
      </c>
      <c r="F228" s="147">
        <v>7.0827999999999998</v>
      </c>
      <c r="G228" s="147">
        <v>3.9798</v>
      </c>
      <c r="H228" s="147">
        <v>6.3707000000000003</v>
      </c>
      <c r="I228" s="147" t="s">
        <v>257</v>
      </c>
      <c r="J228" s="147">
        <v>66734.515599999999</v>
      </c>
      <c r="K228" s="147">
        <v>415.33049999999997</v>
      </c>
      <c r="L228" s="147">
        <v>31666.8652</v>
      </c>
      <c r="M228" s="147">
        <v>38.6755</v>
      </c>
      <c r="N228" s="147">
        <v>20.585899999999999</v>
      </c>
      <c r="O228" s="52">
        <v>120.61</v>
      </c>
      <c r="P228" s="46" t="s">
        <v>814</v>
      </c>
      <c r="Q228" s="46" t="s">
        <v>360</v>
      </c>
    </row>
    <row r="229" spans="1:17" ht="14.4" customHeight="1" x14ac:dyDescent="0.3">
      <c r="A229" s="46" t="s">
        <v>787</v>
      </c>
      <c r="B229" s="53">
        <v>46149</v>
      </c>
      <c r="C229" s="46">
        <v>643</v>
      </c>
      <c r="D229" s="52">
        <v>0.5</v>
      </c>
      <c r="E229" s="46">
        <v>1</v>
      </c>
      <c r="F229" s="147">
        <v>6.1874000000000002</v>
      </c>
      <c r="G229" s="147" t="s">
        <v>257</v>
      </c>
      <c r="H229" s="147">
        <v>10.042299999999999</v>
      </c>
      <c r="I229" s="147" t="s">
        <v>257</v>
      </c>
      <c r="J229" s="147">
        <v>80541.875</v>
      </c>
      <c r="K229" s="147">
        <v>491.48610000000002</v>
      </c>
      <c r="L229" s="147">
        <v>13003.6113</v>
      </c>
      <c r="M229" s="147">
        <v>74.075599999999994</v>
      </c>
      <c r="N229" s="147">
        <v>32.774000000000001</v>
      </c>
      <c r="O229" s="52">
        <v>120.73</v>
      </c>
      <c r="P229" s="46" t="s">
        <v>814</v>
      </c>
      <c r="Q229" s="46" t="s">
        <v>360</v>
      </c>
    </row>
    <row r="230" spans="1:17" ht="14.4" customHeight="1" x14ac:dyDescent="0.3">
      <c r="A230" s="46" t="s">
        <v>787</v>
      </c>
      <c r="B230" s="53">
        <v>46149</v>
      </c>
      <c r="C230" s="46">
        <v>644</v>
      </c>
      <c r="D230" s="52">
        <v>0.5</v>
      </c>
      <c r="E230" s="46">
        <v>2</v>
      </c>
      <c r="F230" s="147">
        <v>5.8776000000000002</v>
      </c>
      <c r="G230" s="147" t="s">
        <v>257</v>
      </c>
      <c r="H230" s="147">
        <v>10.6934</v>
      </c>
      <c r="I230" s="147" t="s">
        <v>257</v>
      </c>
      <c r="J230" s="147">
        <v>80521.031199999998</v>
      </c>
      <c r="K230" s="147">
        <v>529.18290000000002</v>
      </c>
      <c r="L230" s="147">
        <v>12876.3477</v>
      </c>
      <c r="M230" s="147">
        <v>77.662599999999998</v>
      </c>
      <c r="N230" s="147">
        <v>43.127699999999997</v>
      </c>
      <c r="O230" s="52">
        <v>126.21</v>
      </c>
      <c r="P230" s="46" t="s">
        <v>814</v>
      </c>
      <c r="Q230" s="46" t="s">
        <v>360</v>
      </c>
    </row>
    <row r="231" spans="1:17" ht="14.4" customHeight="1" x14ac:dyDescent="0.3">
      <c r="A231" s="46" t="s">
        <v>787</v>
      </c>
      <c r="B231" s="53">
        <v>46149</v>
      </c>
      <c r="C231" s="46">
        <v>645</v>
      </c>
      <c r="D231" s="52">
        <v>1</v>
      </c>
      <c r="E231" s="46">
        <v>1</v>
      </c>
      <c r="F231" s="147">
        <v>4.5772000000000004</v>
      </c>
      <c r="G231" s="147" t="s">
        <v>257</v>
      </c>
      <c r="H231" s="147">
        <v>10.633599999999999</v>
      </c>
      <c r="I231" s="147" t="s">
        <v>257</v>
      </c>
      <c r="J231" s="147">
        <v>80134.171900000001</v>
      </c>
      <c r="K231" s="147">
        <v>585.1585</v>
      </c>
      <c r="L231" s="147">
        <v>10806.2441</v>
      </c>
      <c r="M231" s="147">
        <v>71.509900000000002</v>
      </c>
      <c r="N231" s="147">
        <v>43.952500000000001</v>
      </c>
      <c r="O231" s="52">
        <v>126.08</v>
      </c>
      <c r="P231" s="46" t="s">
        <v>814</v>
      </c>
      <c r="Q231" s="46" t="s">
        <v>360</v>
      </c>
    </row>
    <row r="232" spans="1:17" ht="14.4" customHeight="1" x14ac:dyDescent="0.3">
      <c r="A232" s="46" t="s">
        <v>787</v>
      </c>
      <c r="B232" s="53">
        <v>46149</v>
      </c>
      <c r="C232" s="46">
        <v>646</v>
      </c>
      <c r="D232" s="52">
        <v>1</v>
      </c>
      <c r="E232" s="46">
        <v>2</v>
      </c>
      <c r="F232" s="147">
        <v>2.9443999999999999</v>
      </c>
      <c r="G232" s="147" t="s">
        <v>257</v>
      </c>
      <c r="H232" s="147">
        <v>8.0702999999999996</v>
      </c>
      <c r="I232" s="147" t="s">
        <v>257</v>
      </c>
      <c r="J232" s="147">
        <v>78523.570300000007</v>
      </c>
      <c r="K232" s="147">
        <v>606.65930000000003</v>
      </c>
      <c r="L232" s="147">
        <v>11063.690399999999</v>
      </c>
      <c r="M232" s="147">
        <v>82.964399999999998</v>
      </c>
      <c r="N232" s="147">
        <v>53.186399999999999</v>
      </c>
      <c r="O232" s="52">
        <v>120.47</v>
      </c>
      <c r="P232" s="46" t="s">
        <v>814</v>
      </c>
      <c r="Q232" s="46" t="s">
        <v>360</v>
      </c>
    </row>
    <row r="233" spans="1:17" ht="14.4" customHeight="1" x14ac:dyDescent="0.3">
      <c r="A233" s="46" t="s">
        <v>787</v>
      </c>
      <c r="B233" s="53">
        <v>46149</v>
      </c>
      <c r="C233" s="46">
        <v>647</v>
      </c>
      <c r="D233" s="52">
        <v>1.5</v>
      </c>
      <c r="E233" s="46">
        <v>1</v>
      </c>
      <c r="F233" s="147">
        <v>2.7566000000000002</v>
      </c>
      <c r="G233" s="147">
        <v>1.6032</v>
      </c>
      <c r="H233" s="147">
        <v>5.8918999999999997</v>
      </c>
      <c r="I233" s="147" t="s">
        <v>257</v>
      </c>
      <c r="J233" s="147">
        <v>48525.160199999998</v>
      </c>
      <c r="K233" s="147">
        <v>937.98410000000001</v>
      </c>
      <c r="L233" s="147">
        <v>12457.145500000001</v>
      </c>
      <c r="M233" s="147">
        <v>112.4632</v>
      </c>
      <c r="N233" s="147">
        <v>32.359499999999997</v>
      </c>
      <c r="O233" s="52">
        <v>120.33</v>
      </c>
      <c r="P233" s="46" t="s">
        <v>814</v>
      </c>
      <c r="Q233" s="46" t="s">
        <v>360</v>
      </c>
    </row>
    <row r="234" spans="1:17" ht="14.4" customHeight="1" x14ac:dyDescent="0.3">
      <c r="A234" s="46" t="s">
        <v>787</v>
      </c>
      <c r="B234" s="53">
        <v>46149</v>
      </c>
      <c r="C234" s="46">
        <v>648</v>
      </c>
      <c r="D234" s="52">
        <v>1.5</v>
      </c>
      <c r="E234" s="46">
        <v>2</v>
      </c>
      <c r="F234" s="147" t="s">
        <v>257</v>
      </c>
      <c r="G234" s="147" t="s">
        <v>257</v>
      </c>
      <c r="H234" s="147">
        <v>8.3981999999999992</v>
      </c>
      <c r="I234" s="147" t="s">
        <v>257</v>
      </c>
      <c r="J234" s="147">
        <v>46695.496099999997</v>
      </c>
      <c r="K234" s="147">
        <v>653.36919999999998</v>
      </c>
      <c r="L234" s="147">
        <v>8632.3125</v>
      </c>
      <c r="M234" s="147">
        <v>77.209500000000006</v>
      </c>
      <c r="N234" s="147">
        <v>22.136700000000001</v>
      </c>
      <c r="O234" s="52">
        <v>120.62</v>
      </c>
      <c r="P234" s="46" t="s">
        <v>814</v>
      </c>
      <c r="Q234" s="46" t="s">
        <v>360</v>
      </c>
    </row>
    <row r="235" spans="1:17" ht="14.4" customHeight="1" x14ac:dyDescent="0.3">
      <c r="A235" s="46" t="s">
        <v>787</v>
      </c>
      <c r="B235" s="53">
        <v>46149</v>
      </c>
      <c r="C235" s="46">
        <v>649</v>
      </c>
      <c r="D235" s="52">
        <v>2</v>
      </c>
      <c r="E235" s="46">
        <v>1</v>
      </c>
      <c r="F235" s="147">
        <v>3.5017999999999998</v>
      </c>
      <c r="G235" s="147" t="s">
        <v>257</v>
      </c>
      <c r="H235" s="147">
        <v>9.0520999999999994</v>
      </c>
      <c r="I235" s="147" t="s">
        <v>257</v>
      </c>
      <c r="J235" s="147">
        <v>40439.445299999999</v>
      </c>
      <c r="K235" s="147">
        <v>1994.1804</v>
      </c>
      <c r="L235" s="147">
        <v>5982.9668000000001</v>
      </c>
      <c r="M235" s="147">
        <v>131.7749</v>
      </c>
      <c r="N235" s="147">
        <v>21.662700000000001</v>
      </c>
      <c r="O235" s="52">
        <v>120.55</v>
      </c>
      <c r="P235" s="46" t="s">
        <v>814</v>
      </c>
      <c r="Q235" s="46" t="s">
        <v>360</v>
      </c>
    </row>
    <row r="236" spans="1:17" ht="14.4" customHeight="1" x14ac:dyDescent="0.3">
      <c r="A236" s="46" t="s">
        <v>787</v>
      </c>
      <c r="B236" s="53">
        <v>46149</v>
      </c>
      <c r="C236" s="46">
        <v>650</v>
      </c>
      <c r="D236" s="52">
        <v>2</v>
      </c>
      <c r="E236" s="46">
        <v>2</v>
      </c>
      <c r="F236" s="147">
        <v>4.6566999999999998</v>
      </c>
      <c r="G236" s="147" t="s">
        <v>257</v>
      </c>
      <c r="H236" s="147">
        <v>8.3545999999999996</v>
      </c>
      <c r="I236" s="147" t="s">
        <v>257</v>
      </c>
      <c r="J236" s="147">
        <v>40486.406199999998</v>
      </c>
      <c r="K236" s="147">
        <v>1961.3045999999999</v>
      </c>
      <c r="L236" s="147">
        <v>7078.2318999999998</v>
      </c>
      <c r="M236" s="147">
        <v>137.78</v>
      </c>
      <c r="N236" s="147">
        <v>22.526800000000001</v>
      </c>
      <c r="O236" s="52">
        <v>120.46</v>
      </c>
      <c r="P236" s="46" t="s">
        <v>814</v>
      </c>
      <c r="Q236" s="46" t="s">
        <v>360</v>
      </c>
    </row>
    <row r="237" spans="1:17" ht="14.4" customHeight="1" x14ac:dyDescent="0.3">
      <c r="A237" s="46" t="s">
        <v>787</v>
      </c>
      <c r="B237" s="53">
        <v>46149</v>
      </c>
      <c r="C237" s="46">
        <v>651</v>
      </c>
      <c r="D237" s="52">
        <v>2.5</v>
      </c>
      <c r="E237" s="46">
        <v>1</v>
      </c>
      <c r="F237" s="147">
        <v>3.5893000000000002</v>
      </c>
      <c r="G237" s="147" t="s">
        <v>257</v>
      </c>
      <c r="H237" s="147">
        <v>5.5533000000000001</v>
      </c>
      <c r="I237" s="147" t="s">
        <v>257</v>
      </c>
      <c r="J237" s="147">
        <v>35841.468800000002</v>
      </c>
      <c r="K237" s="147">
        <v>623.22739999999999</v>
      </c>
      <c r="L237" s="147">
        <v>5200.9247999999998</v>
      </c>
      <c r="M237" s="147">
        <v>79.667900000000003</v>
      </c>
      <c r="N237" s="147">
        <v>16.0076</v>
      </c>
      <c r="O237" s="52">
        <v>120.6</v>
      </c>
      <c r="P237" s="46" t="s">
        <v>814</v>
      </c>
      <c r="Q237" s="46" t="s">
        <v>360</v>
      </c>
    </row>
    <row r="238" spans="1:17" ht="14.4" customHeight="1" x14ac:dyDescent="0.3">
      <c r="A238" s="46" t="s">
        <v>787</v>
      </c>
      <c r="B238" s="53">
        <v>46149</v>
      </c>
      <c r="C238" s="46">
        <v>652</v>
      </c>
      <c r="D238" s="52">
        <v>2.5</v>
      </c>
      <c r="E238" s="46">
        <v>2</v>
      </c>
      <c r="F238" s="147" t="s">
        <v>257</v>
      </c>
      <c r="G238" s="147" t="s">
        <v>257</v>
      </c>
      <c r="H238" s="147">
        <v>5.6262999999999996</v>
      </c>
      <c r="I238" s="147" t="s">
        <v>257</v>
      </c>
      <c r="J238" s="147">
        <v>35729.097699999998</v>
      </c>
      <c r="K238" s="147">
        <v>632.93910000000005</v>
      </c>
      <c r="L238" s="147">
        <v>5229.8510999999999</v>
      </c>
      <c r="M238" s="147">
        <v>70.5107</v>
      </c>
      <c r="N238" s="147">
        <v>13.289099999999999</v>
      </c>
      <c r="O238" s="52">
        <v>120.32</v>
      </c>
      <c r="P238" s="46" t="s">
        <v>814</v>
      </c>
      <c r="Q238" s="46" t="s">
        <v>360</v>
      </c>
    </row>
    <row r="239" spans="1:17" ht="14.4" customHeight="1" x14ac:dyDescent="0.3">
      <c r="A239" s="46" t="s">
        <v>787</v>
      </c>
      <c r="B239" s="53">
        <v>46149</v>
      </c>
      <c r="C239" s="46">
        <v>653</v>
      </c>
      <c r="D239" s="52">
        <v>3</v>
      </c>
      <c r="E239" s="46">
        <v>1</v>
      </c>
      <c r="F239" s="147">
        <v>3.7995000000000001</v>
      </c>
      <c r="G239" s="147" t="s">
        <v>257</v>
      </c>
      <c r="H239" s="147">
        <v>10.3726</v>
      </c>
      <c r="I239" s="147" t="s">
        <v>257</v>
      </c>
      <c r="J239" s="147">
        <v>36036.078099999999</v>
      </c>
      <c r="K239" s="147">
        <v>791.86810000000003</v>
      </c>
      <c r="L239" s="147">
        <v>7180.5815000000002</v>
      </c>
      <c r="M239" s="147">
        <v>92.447800000000001</v>
      </c>
      <c r="N239" s="147">
        <v>26.863399999999999</v>
      </c>
      <c r="O239" s="52">
        <v>120.54</v>
      </c>
      <c r="P239" s="46" t="s">
        <v>814</v>
      </c>
      <c r="Q239" s="46" t="s">
        <v>360</v>
      </c>
    </row>
    <row r="240" spans="1:17" ht="14.4" customHeight="1" x14ac:dyDescent="0.3">
      <c r="A240" s="46" t="s">
        <v>787</v>
      </c>
      <c r="B240" s="53">
        <v>46149</v>
      </c>
      <c r="C240" s="46">
        <v>654</v>
      </c>
      <c r="D240" s="52">
        <v>3</v>
      </c>
      <c r="E240" s="46">
        <v>2</v>
      </c>
      <c r="F240" s="147">
        <v>6.4907000000000004</v>
      </c>
      <c r="G240" s="147" t="s">
        <v>257</v>
      </c>
      <c r="H240" s="147">
        <v>8.0477000000000007</v>
      </c>
      <c r="I240" s="147" t="s">
        <v>257</v>
      </c>
      <c r="J240" s="147">
        <v>37633.621099999997</v>
      </c>
      <c r="K240" s="147">
        <v>963.90009999999995</v>
      </c>
      <c r="L240" s="147">
        <v>7074.3964999999998</v>
      </c>
      <c r="M240" s="147">
        <v>94.340400000000002</v>
      </c>
      <c r="N240" s="147">
        <v>25.166699999999999</v>
      </c>
      <c r="O240" s="52">
        <v>120.39</v>
      </c>
      <c r="P240" s="46" t="s">
        <v>814</v>
      </c>
      <c r="Q240" s="46" t="s">
        <v>360</v>
      </c>
    </row>
    <row r="241" spans="1:17" ht="14.4" customHeight="1" x14ac:dyDescent="0.3">
      <c r="A241" s="46" t="s">
        <v>787</v>
      </c>
      <c r="B241" s="53">
        <v>46149</v>
      </c>
      <c r="C241" s="46">
        <v>655</v>
      </c>
      <c r="D241" s="52">
        <v>3.5</v>
      </c>
      <c r="E241" s="46">
        <v>1</v>
      </c>
      <c r="F241" s="147">
        <v>4.5929000000000002</v>
      </c>
      <c r="G241" s="147" t="s">
        <v>257</v>
      </c>
      <c r="H241" s="147">
        <v>7.8068999999999997</v>
      </c>
      <c r="I241" s="147" t="s">
        <v>257</v>
      </c>
      <c r="J241" s="147">
        <v>32537.662100000001</v>
      </c>
      <c r="K241" s="147">
        <v>562.64469999999994</v>
      </c>
      <c r="L241" s="147">
        <v>6996.8999000000003</v>
      </c>
      <c r="M241" s="147">
        <v>107.5894</v>
      </c>
      <c r="N241" s="147">
        <v>18.667999999999999</v>
      </c>
      <c r="O241" s="52">
        <v>120.67</v>
      </c>
      <c r="P241" s="46" t="s">
        <v>814</v>
      </c>
      <c r="Q241" s="46" t="s">
        <v>360</v>
      </c>
    </row>
    <row r="242" spans="1:17" ht="14.4" customHeight="1" x14ac:dyDescent="0.3">
      <c r="A242" s="46" t="s">
        <v>787</v>
      </c>
      <c r="B242" s="53">
        <v>46149</v>
      </c>
      <c r="C242" s="46">
        <v>656</v>
      </c>
      <c r="D242" s="52">
        <v>3.5</v>
      </c>
      <c r="E242" s="46">
        <v>2</v>
      </c>
      <c r="F242" s="147">
        <v>5.1188000000000002</v>
      </c>
      <c r="G242" s="147" t="s">
        <v>257</v>
      </c>
      <c r="H242" s="147">
        <v>10.105499999999999</v>
      </c>
      <c r="I242" s="147" t="s">
        <v>257</v>
      </c>
      <c r="J242" s="147">
        <v>33870.363299999997</v>
      </c>
      <c r="K242" s="147">
        <v>655.87570000000005</v>
      </c>
      <c r="L242" s="147">
        <v>7268.7905000000001</v>
      </c>
      <c r="M242" s="147">
        <v>116.1193</v>
      </c>
      <c r="N242" s="147">
        <v>21.687899999999999</v>
      </c>
      <c r="O242" s="52">
        <v>125.74</v>
      </c>
      <c r="P242" s="46" t="s">
        <v>814</v>
      </c>
      <c r="Q242" s="46" t="s">
        <v>360</v>
      </c>
    </row>
    <row r="243" spans="1:17" ht="14.4" customHeight="1" x14ac:dyDescent="0.3">
      <c r="A243" s="46" t="s">
        <v>787</v>
      </c>
      <c r="B243" s="53">
        <v>46149</v>
      </c>
      <c r="C243" s="46">
        <v>657</v>
      </c>
      <c r="D243" s="52">
        <v>4</v>
      </c>
      <c r="E243" s="46">
        <v>1</v>
      </c>
      <c r="F243" s="147" t="s">
        <v>257</v>
      </c>
      <c r="G243" s="147" t="s">
        <v>257</v>
      </c>
      <c r="H243" s="147">
        <v>5.0286999999999997</v>
      </c>
      <c r="I243" s="147" t="s">
        <v>257</v>
      </c>
      <c r="J243" s="147">
        <v>43059.066400000003</v>
      </c>
      <c r="K243" s="147">
        <v>1054.528</v>
      </c>
      <c r="L243" s="147">
        <v>1728.316</v>
      </c>
      <c r="M243" s="147">
        <v>93.868099999999998</v>
      </c>
      <c r="N243" s="147">
        <v>13.569100000000001</v>
      </c>
      <c r="O243" s="52">
        <v>120.08</v>
      </c>
      <c r="P243" s="46" t="s">
        <v>814</v>
      </c>
      <c r="Q243" s="46" t="s">
        <v>360</v>
      </c>
    </row>
    <row r="244" spans="1:17" ht="14.4" customHeight="1" x14ac:dyDescent="0.3">
      <c r="A244" s="46" t="s">
        <v>787</v>
      </c>
      <c r="B244" s="53">
        <v>46149</v>
      </c>
      <c r="C244" s="46">
        <v>658</v>
      </c>
      <c r="D244" s="52">
        <v>4</v>
      </c>
      <c r="E244" s="46">
        <v>2</v>
      </c>
      <c r="F244" s="147" t="s">
        <v>257</v>
      </c>
      <c r="G244" s="147" t="s">
        <v>257</v>
      </c>
      <c r="H244" s="147">
        <v>5.1993</v>
      </c>
      <c r="I244" s="147" t="s">
        <v>257</v>
      </c>
      <c r="J244" s="147">
        <v>42852.910199999998</v>
      </c>
      <c r="K244" s="147">
        <v>1126.6458</v>
      </c>
      <c r="L244" s="147">
        <v>3268.9229</v>
      </c>
      <c r="M244" s="147">
        <v>93.082899999999995</v>
      </c>
      <c r="N244" s="147">
        <v>15.698600000000001</v>
      </c>
      <c r="O244" s="52">
        <v>120.55</v>
      </c>
      <c r="P244" s="46" t="s">
        <v>814</v>
      </c>
      <c r="Q244" s="46" t="s">
        <v>360</v>
      </c>
    </row>
    <row r="245" spans="1:17" ht="14.4" customHeight="1" x14ac:dyDescent="0.3">
      <c r="A245" s="49" t="s">
        <v>788</v>
      </c>
      <c r="B245" s="54">
        <v>46150</v>
      </c>
      <c r="C245" s="49">
        <v>664</v>
      </c>
      <c r="D245" s="51">
        <v>0</v>
      </c>
      <c r="E245" s="49">
        <v>1</v>
      </c>
      <c r="F245" s="148">
        <v>5.1214000000000004</v>
      </c>
      <c r="G245" s="148">
        <v>59.982700000000001</v>
      </c>
      <c r="H245" s="148">
        <v>6.9486999999999997</v>
      </c>
      <c r="I245" s="148">
        <v>26.396999999999998</v>
      </c>
      <c r="J245" s="148">
        <v>24932.291000000001</v>
      </c>
      <c r="K245" s="148">
        <v>330.41149999999999</v>
      </c>
      <c r="L245" s="148">
        <v>1379.8088</v>
      </c>
      <c r="M245" s="148">
        <v>25.3111</v>
      </c>
      <c r="N245" s="148">
        <v>17.0124</v>
      </c>
      <c r="O245" s="51">
        <v>120.44</v>
      </c>
      <c r="P245" s="49" t="s">
        <v>814</v>
      </c>
      <c r="Q245" s="49" t="s">
        <v>360</v>
      </c>
    </row>
    <row r="246" spans="1:17" ht="14.4" customHeight="1" x14ac:dyDescent="0.3">
      <c r="A246" s="49" t="s">
        <v>788</v>
      </c>
      <c r="B246" s="54">
        <v>46150</v>
      </c>
      <c r="C246" s="49">
        <v>665</v>
      </c>
      <c r="D246" s="51">
        <v>0</v>
      </c>
      <c r="E246" s="49">
        <v>2</v>
      </c>
      <c r="F246" s="148" t="s">
        <v>257</v>
      </c>
      <c r="G246" s="148">
        <v>49.922699999999999</v>
      </c>
      <c r="H246" s="148">
        <v>8.9672000000000001</v>
      </c>
      <c r="I246" s="148">
        <v>22.412600000000001</v>
      </c>
      <c r="J246" s="148">
        <v>25338.218799999999</v>
      </c>
      <c r="K246" s="148">
        <v>351.85899999999998</v>
      </c>
      <c r="L246" s="148">
        <v>1413.5708999999999</v>
      </c>
      <c r="M246" s="148">
        <v>27.322800000000001</v>
      </c>
      <c r="N246" s="148">
        <v>22.508299999999998</v>
      </c>
      <c r="O246" s="51">
        <v>120</v>
      </c>
      <c r="P246" s="49" t="s">
        <v>814</v>
      </c>
      <c r="Q246" s="49" t="s">
        <v>360</v>
      </c>
    </row>
    <row r="247" spans="1:17" ht="14.4" customHeight="1" x14ac:dyDescent="0.3">
      <c r="A247" s="49" t="s">
        <v>788</v>
      </c>
      <c r="B247" s="54">
        <v>46150</v>
      </c>
      <c r="C247" s="49">
        <v>666</v>
      </c>
      <c r="D247" s="51">
        <v>0.5</v>
      </c>
      <c r="E247" s="49">
        <v>1</v>
      </c>
      <c r="F247" s="148" t="s">
        <v>257</v>
      </c>
      <c r="G247" s="148">
        <v>3.4859</v>
      </c>
      <c r="H247" s="148">
        <v>6.5114999999999998</v>
      </c>
      <c r="I247" s="148" t="s">
        <v>257</v>
      </c>
      <c r="J247" s="148">
        <v>34248.550799999997</v>
      </c>
      <c r="K247" s="148">
        <v>522.85580000000004</v>
      </c>
      <c r="L247" s="148">
        <v>806.5027</v>
      </c>
      <c r="M247" s="148">
        <v>54.252899999999997</v>
      </c>
      <c r="N247" s="148">
        <v>9.4887999999999995</v>
      </c>
      <c r="O247" s="51">
        <v>120.4</v>
      </c>
      <c r="P247" s="49" t="s">
        <v>814</v>
      </c>
      <c r="Q247" s="49" t="s">
        <v>360</v>
      </c>
    </row>
    <row r="248" spans="1:17" ht="14.4" customHeight="1" x14ac:dyDescent="0.3">
      <c r="A248" s="49" t="s">
        <v>788</v>
      </c>
      <c r="B248" s="54">
        <v>46150</v>
      </c>
      <c r="C248" s="49">
        <v>667</v>
      </c>
      <c r="D248" s="51">
        <v>0.5</v>
      </c>
      <c r="E248" s="49">
        <v>2</v>
      </c>
      <c r="F248" s="148" t="s">
        <v>257</v>
      </c>
      <c r="G248" s="148">
        <v>4.8083999999999998</v>
      </c>
      <c r="H248" s="148">
        <v>6.2186000000000003</v>
      </c>
      <c r="I248" s="148" t="s">
        <v>257</v>
      </c>
      <c r="J248" s="148">
        <v>34088.894500000002</v>
      </c>
      <c r="K248" s="148">
        <v>507.9384</v>
      </c>
      <c r="L248" s="148">
        <v>706.9778</v>
      </c>
      <c r="M248" s="148">
        <v>50.305799999999998</v>
      </c>
      <c r="N248" s="148">
        <v>10.0519</v>
      </c>
      <c r="O248" s="51">
        <v>120.57</v>
      </c>
      <c r="P248" s="49" t="s">
        <v>814</v>
      </c>
      <c r="Q248" s="49" t="s">
        <v>360</v>
      </c>
    </row>
    <row r="249" spans="1:17" ht="14.4" customHeight="1" x14ac:dyDescent="0.3">
      <c r="A249" s="49" t="s">
        <v>788</v>
      </c>
      <c r="B249" s="54">
        <v>46150</v>
      </c>
      <c r="C249" s="49">
        <v>668</v>
      </c>
      <c r="D249" s="51">
        <v>1</v>
      </c>
      <c r="E249" s="49">
        <v>1</v>
      </c>
      <c r="F249" s="148" t="s">
        <v>257</v>
      </c>
      <c r="G249" s="148" t="s">
        <v>257</v>
      </c>
      <c r="H249" s="148">
        <v>6.7103999999999999</v>
      </c>
      <c r="I249" s="148" t="s">
        <v>257</v>
      </c>
      <c r="J249" s="148">
        <v>44078.289100000002</v>
      </c>
      <c r="K249" s="148">
        <v>669.24220000000003</v>
      </c>
      <c r="L249" s="148">
        <v>679.76930000000004</v>
      </c>
      <c r="M249" s="148">
        <v>43.2547</v>
      </c>
      <c r="N249" s="148">
        <v>4.7195999999999998</v>
      </c>
      <c r="O249" s="51">
        <v>126.2</v>
      </c>
      <c r="P249" s="49" t="s">
        <v>814</v>
      </c>
      <c r="Q249" s="49" t="s">
        <v>360</v>
      </c>
    </row>
    <row r="250" spans="1:17" ht="14.4" customHeight="1" x14ac:dyDescent="0.3">
      <c r="A250" s="49" t="s">
        <v>788</v>
      </c>
      <c r="B250" s="54">
        <v>46150</v>
      </c>
      <c r="C250" s="49">
        <v>669</v>
      </c>
      <c r="D250" s="51">
        <v>1</v>
      </c>
      <c r="E250" s="49">
        <v>2</v>
      </c>
      <c r="F250" s="148" t="s">
        <v>257</v>
      </c>
      <c r="G250" s="148" t="s">
        <v>257</v>
      </c>
      <c r="H250" s="148">
        <v>7.3863000000000003</v>
      </c>
      <c r="I250" s="148" t="s">
        <v>257</v>
      </c>
      <c r="J250" s="148">
        <v>42386.945299999999</v>
      </c>
      <c r="K250" s="148">
        <v>646.7867</v>
      </c>
      <c r="L250" s="148">
        <v>660.13070000000005</v>
      </c>
      <c r="M250" s="148">
        <v>46.408799999999999</v>
      </c>
      <c r="N250" s="148">
        <v>13.462400000000001</v>
      </c>
      <c r="O250" s="51">
        <v>120.45</v>
      </c>
      <c r="P250" s="49" t="s">
        <v>814</v>
      </c>
      <c r="Q250" s="49" t="s">
        <v>360</v>
      </c>
    </row>
    <row r="251" spans="1:17" ht="14.4" customHeight="1" x14ac:dyDescent="0.3">
      <c r="A251" s="49" t="s">
        <v>788</v>
      </c>
      <c r="B251" s="54">
        <v>46150</v>
      </c>
      <c r="C251" s="49">
        <v>670</v>
      </c>
      <c r="D251" s="51">
        <v>1.5</v>
      </c>
      <c r="E251" s="49">
        <v>1</v>
      </c>
      <c r="F251" s="148" t="s">
        <v>257</v>
      </c>
      <c r="G251" s="148" t="s">
        <v>257</v>
      </c>
      <c r="H251" s="148">
        <v>8.5825999999999993</v>
      </c>
      <c r="I251" s="148" t="s">
        <v>257</v>
      </c>
      <c r="J251" s="148">
        <v>43778.699200000003</v>
      </c>
      <c r="K251" s="148">
        <v>693.48299999999995</v>
      </c>
      <c r="L251" s="148">
        <v>612.54049999999995</v>
      </c>
      <c r="M251" s="148">
        <v>43.315100000000001</v>
      </c>
      <c r="N251" s="148">
        <v>11.6793</v>
      </c>
      <c r="O251" s="51">
        <v>120.6</v>
      </c>
      <c r="P251" s="49" t="s">
        <v>814</v>
      </c>
      <c r="Q251" s="49" t="s">
        <v>360</v>
      </c>
    </row>
    <row r="252" spans="1:17" ht="14.4" customHeight="1" x14ac:dyDescent="0.3">
      <c r="A252" s="49" t="s">
        <v>788</v>
      </c>
      <c r="B252" s="54">
        <v>46150</v>
      </c>
      <c r="C252" s="49">
        <v>671</v>
      </c>
      <c r="D252" s="51">
        <v>1.5</v>
      </c>
      <c r="E252" s="49">
        <v>2</v>
      </c>
      <c r="F252" s="148" t="s">
        <v>257</v>
      </c>
      <c r="G252" s="148" t="s">
        <v>257</v>
      </c>
      <c r="H252" s="148">
        <v>8.4060000000000006</v>
      </c>
      <c r="I252" s="148" t="s">
        <v>257</v>
      </c>
      <c r="J252" s="148">
        <v>43236.058599999997</v>
      </c>
      <c r="K252" s="148">
        <v>697.19039999999995</v>
      </c>
      <c r="L252" s="148">
        <v>714.58939999999996</v>
      </c>
      <c r="M252" s="148">
        <v>42.267299999999999</v>
      </c>
      <c r="N252" s="148">
        <v>10.469799999999999</v>
      </c>
      <c r="O252" s="51">
        <v>120.53</v>
      </c>
      <c r="P252" s="49" t="s">
        <v>814</v>
      </c>
      <c r="Q252" s="49" t="s">
        <v>360</v>
      </c>
    </row>
    <row r="253" spans="1:17" ht="14.4" customHeight="1" x14ac:dyDescent="0.3">
      <c r="A253" s="49" t="s">
        <v>788</v>
      </c>
      <c r="B253" s="54">
        <v>46150</v>
      </c>
      <c r="C253" s="49">
        <v>672</v>
      </c>
      <c r="D253" s="51">
        <v>2</v>
      </c>
      <c r="E253" s="49">
        <v>1</v>
      </c>
      <c r="F253" s="148">
        <v>9.8185000000000002</v>
      </c>
      <c r="G253" s="148" t="s">
        <v>257</v>
      </c>
      <c r="H253" s="148">
        <v>6.9238999999999997</v>
      </c>
      <c r="I253" s="148" t="s">
        <v>257</v>
      </c>
      <c r="J253" s="148">
        <v>42132.039100000002</v>
      </c>
      <c r="K253" s="148">
        <v>779.96579999999994</v>
      </c>
      <c r="L253" s="148">
        <v>755.04290000000003</v>
      </c>
      <c r="M253" s="148">
        <v>44.061599999999999</v>
      </c>
      <c r="N253" s="148">
        <v>12.132</v>
      </c>
      <c r="O253" s="51">
        <v>120.71</v>
      </c>
      <c r="P253" s="49" t="s">
        <v>814</v>
      </c>
      <c r="Q253" s="49" t="s">
        <v>360</v>
      </c>
    </row>
    <row r="254" spans="1:17" ht="14.4" customHeight="1" x14ac:dyDescent="0.3">
      <c r="A254" s="49" t="s">
        <v>788</v>
      </c>
      <c r="B254" s="54">
        <v>46150</v>
      </c>
      <c r="C254" s="49">
        <v>673</v>
      </c>
      <c r="D254" s="51">
        <v>2</v>
      </c>
      <c r="E254" s="49">
        <v>2</v>
      </c>
      <c r="F254" s="148">
        <v>7.218</v>
      </c>
      <c r="G254" s="148" t="s">
        <v>257</v>
      </c>
      <c r="H254" s="148">
        <v>7.1798999999999999</v>
      </c>
      <c r="I254" s="148" t="s">
        <v>257</v>
      </c>
      <c r="J254" s="148">
        <v>48027.152300000002</v>
      </c>
      <c r="K254" s="148">
        <v>1294.3489999999999</v>
      </c>
      <c r="L254" s="148">
        <v>747.61429999999996</v>
      </c>
      <c r="M254" s="148">
        <v>39.454000000000001</v>
      </c>
      <c r="N254" s="148">
        <v>7.7747000000000002</v>
      </c>
      <c r="O254" s="51">
        <v>120.39</v>
      </c>
      <c r="P254" s="49" t="s">
        <v>814</v>
      </c>
      <c r="Q254" s="49" t="s">
        <v>360</v>
      </c>
    </row>
    <row r="255" spans="1:17" ht="14.4" customHeight="1" x14ac:dyDescent="0.3">
      <c r="A255" s="49" t="s">
        <v>788</v>
      </c>
      <c r="B255" s="54">
        <v>46150</v>
      </c>
      <c r="C255" s="49">
        <v>674</v>
      </c>
      <c r="D255" s="51">
        <v>2.5</v>
      </c>
      <c r="E255" s="49">
        <v>1</v>
      </c>
      <c r="F255" s="148">
        <v>3.1097999999999999</v>
      </c>
      <c r="G255" s="148" t="s">
        <v>257</v>
      </c>
      <c r="H255" s="148">
        <v>7.1828000000000003</v>
      </c>
      <c r="I255" s="148" t="s">
        <v>257</v>
      </c>
      <c r="J255" s="148">
        <v>38805.007799999999</v>
      </c>
      <c r="K255" s="148">
        <v>592.90920000000006</v>
      </c>
      <c r="L255" s="148">
        <v>465.9477</v>
      </c>
      <c r="M255" s="148">
        <v>44.577399999999997</v>
      </c>
      <c r="N255" s="148">
        <v>9.2553999999999998</v>
      </c>
      <c r="O255" s="51">
        <v>126.12</v>
      </c>
      <c r="P255" s="49" t="s">
        <v>814</v>
      </c>
      <c r="Q255" s="49" t="s">
        <v>360</v>
      </c>
    </row>
    <row r="256" spans="1:17" ht="14.4" customHeight="1" x14ac:dyDescent="0.3">
      <c r="A256" s="49" t="s">
        <v>788</v>
      </c>
      <c r="B256" s="54">
        <v>46150</v>
      </c>
      <c r="C256" s="49">
        <v>675</v>
      </c>
      <c r="D256" s="51">
        <v>2.5</v>
      </c>
      <c r="E256" s="49">
        <v>2</v>
      </c>
      <c r="F256" s="148">
        <v>2.4266999999999999</v>
      </c>
      <c r="G256" s="148" t="s">
        <v>257</v>
      </c>
      <c r="H256" s="148">
        <v>7.4588000000000001</v>
      </c>
      <c r="I256" s="148" t="s">
        <v>257</v>
      </c>
      <c r="J256" s="148">
        <v>37992.960899999998</v>
      </c>
      <c r="K256" s="148">
        <v>617.05650000000003</v>
      </c>
      <c r="L256" s="148">
        <v>295.61630000000002</v>
      </c>
      <c r="M256" s="148">
        <v>41.568800000000003</v>
      </c>
      <c r="N256" s="148">
        <v>11.57</v>
      </c>
      <c r="O256" s="51">
        <v>126.19</v>
      </c>
      <c r="P256" s="49" t="s">
        <v>814</v>
      </c>
      <c r="Q256" s="49" t="s">
        <v>360</v>
      </c>
    </row>
    <row r="257" spans="1:17" ht="14.4" customHeight="1" x14ac:dyDescent="0.3">
      <c r="A257" s="49" t="s">
        <v>788</v>
      </c>
      <c r="B257" s="54">
        <v>46150</v>
      </c>
      <c r="C257" s="49">
        <v>676</v>
      </c>
      <c r="D257" s="51">
        <v>3</v>
      </c>
      <c r="E257" s="49">
        <v>1</v>
      </c>
      <c r="F257" s="148" t="s">
        <v>257</v>
      </c>
      <c r="G257" s="148" t="s">
        <v>257</v>
      </c>
      <c r="H257" s="148">
        <v>7.2336</v>
      </c>
      <c r="I257" s="148" t="s">
        <v>257</v>
      </c>
      <c r="J257" s="148">
        <v>36725.808599999997</v>
      </c>
      <c r="K257" s="148">
        <v>553.48180000000002</v>
      </c>
      <c r="L257" s="148">
        <v>382.72789999999998</v>
      </c>
      <c r="M257" s="148">
        <v>37.594799999999999</v>
      </c>
      <c r="N257" s="148">
        <v>13.372199999999999</v>
      </c>
      <c r="O257" s="51">
        <v>125.83</v>
      </c>
      <c r="P257" s="49" t="s">
        <v>814</v>
      </c>
      <c r="Q257" s="49" t="s">
        <v>360</v>
      </c>
    </row>
    <row r="258" spans="1:17" ht="14.4" customHeight="1" x14ac:dyDescent="0.3">
      <c r="A258" s="49" t="s">
        <v>788</v>
      </c>
      <c r="B258" s="54">
        <v>46150</v>
      </c>
      <c r="C258" s="49">
        <v>677</v>
      </c>
      <c r="D258" s="51">
        <v>3</v>
      </c>
      <c r="E258" s="49">
        <v>2</v>
      </c>
      <c r="F258" s="148" t="s">
        <v>257</v>
      </c>
      <c r="G258" s="148">
        <v>1.3508</v>
      </c>
      <c r="H258" s="148">
        <v>7.1401000000000003</v>
      </c>
      <c r="I258" s="148" t="s">
        <v>257</v>
      </c>
      <c r="J258" s="148">
        <v>36695.414100000002</v>
      </c>
      <c r="K258" s="148">
        <v>591.75549999999998</v>
      </c>
      <c r="L258" s="148">
        <v>367.82850000000002</v>
      </c>
      <c r="M258" s="148">
        <v>39.936</v>
      </c>
      <c r="N258" s="148">
        <v>11.457700000000001</v>
      </c>
      <c r="O258" s="51">
        <v>120.1</v>
      </c>
      <c r="P258" s="49" t="s">
        <v>814</v>
      </c>
      <c r="Q258" s="49" t="s">
        <v>360</v>
      </c>
    </row>
    <row r="259" spans="1:17" ht="14.4" customHeight="1" x14ac:dyDescent="0.3">
      <c r="A259" s="49" t="s">
        <v>788</v>
      </c>
      <c r="B259" s="54">
        <v>46150</v>
      </c>
      <c r="C259" s="49">
        <v>678</v>
      </c>
      <c r="D259" s="51">
        <v>3.5</v>
      </c>
      <c r="E259" s="49">
        <v>1</v>
      </c>
      <c r="F259" s="148" t="s">
        <v>257</v>
      </c>
      <c r="G259" s="148" t="s">
        <v>257</v>
      </c>
      <c r="H259" s="148">
        <v>5.8316999999999997</v>
      </c>
      <c r="I259" s="148" t="s">
        <v>257</v>
      </c>
      <c r="J259" s="148">
        <v>38295.761700000003</v>
      </c>
      <c r="K259" s="148">
        <v>551.52329999999995</v>
      </c>
      <c r="L259" s="148">
        <v>1232.7212999999999</v>
      </c>
      <c r="M259" s="148">
        <v>37.177999999999997</v>
      </c>
      <c r="N259" s="148">
        <v>7.2899000000000003</v>
      </c>
      <c r="O259" s="51">
        <v>126.28</v>
      </c>
      <c r="P259" s="49" t="s">
        <v>814</v>
      </c>
      <c r="Q259" s="49" t="s">
        <v>360</v>
      </c>
    </row>
    <row r="260" spans="1:17" ht="14.4" customHeight="1" x14ac:dyDescent="0.3">
      <c r="A260" s="49" t="s">
        <v>788</v>
      </c>
      <c r="B260" s="54">
        <v>46150</v>
      </c>
      <c r="C260" s="49">
        <v>679</v>
      </c>
      <c r="D260" s="51">
        <v>3.5</v>
      </c>
      <c r="E260" s="49">
        <v>2</v>
      </c>
      <c r="F260" s="148" t="s">
        <v>257</v>
      </c>
      <c r="G260" s="148" t="s">
        <v>257</v>
      </c>
      <c r="H260" s="148">
        <v>7.8989000000000003</v>
      </c>
      <c r="I260" s="148" t="s">
        <v>257</v>
      </c>
      <c r="J260" s="148">
        <v>38720.015599999999</v>
      </c>
      <c r="K260" s="148">
        <v>546.34699999999998</v>
      </c>
      <c r="L260" s="148">
        <v>1360.174</v>
      </c>
      <c r="M260" s="148">
        <v>33.646099999999997</v>
      </c>
      <c r="N260" s="148">
        <v>4.7222999999999997</v>
      </c>
      <c r="O260" s="51">
        <v>126.21</v>
      </c>
      <c r="P260" s="49" t="s">
        <v>814</v>
      </c>
      <c r="Q260" s="49" t="s">
        <v>360</v>
      </c>
    </row>
    <row r="261" spans="1:17" ht="14.4" customHeight="1" x14ac:dyDescent="0.3">
      <c r="A261" s="49" t="s">
        <v>788</v>
      </c>
      <c r="B261" s="54">
        <v>46150</v>
      </c>
      <c r="C261" s="49">
        <v>680</v>
      </c>
      <c r="D261" s="51">
        <v>4</v>
      </c>
      <c r="E261" s="49">
        <v>1</v>
      </c>
      <c r="F261" s="148">
        <v>2.7294999999999998</v>
      </c>
      <c r="G261" s="148" t="s">
        <v>257</v>
      </c>
      <c r="H261" s="148">
        <v>6.4241999999999999</v>
      </c>
      <c r="I261" s="148" t="s">
        <v>257</v>
      </c>
      <c r="J261" s="148">
        <v>36682.531199999998</v>
      </c>
      <c r="K261" s="148">
        <v>496.47179999999997</v>
      </c>
      <c r="L261" s="148">
        <v>1872.8382999999999</v>
      </c>
      <c r="M261" s="148">
        <v>37.592199999999998</v>
      </c>
      <c r="N261" s="148">
        <v>12.302899999999999</v>
      </c>
      <c r="O261" s="51">
        <v>120.01</v>
      </c>
      <c r="P261" s="49" t="s">
        <v>814</v>
      </c>
      <c r="Q261" s="49" t="s">
        <v>360</v>
      </c>
    </row>
    <row r="262" spans="1:17" ht="14.4" customHeight="1" x14ac:dyDescent="0.3">
      <c r="A262" s="49" t="s">
        <v>788</v>
      </c>
      <c r="B262" s="54">
        <v>46150</v>
      </c>
      <c r="C262" s="49">
        <v>681</v>
      </c>
      <c r="D262" s="51">
        <v>4</v>
      </c>
      <c r="E262" s="49">
        <v>2</v>
      </c>
      <c r="F262" s="148" t="s">
        <v>257</v>
      </c>
      <c r="G262" s="148" t="s">
        <v>257</v>
      </c>
      <c r="H262" s="148">
        <v>5.7935999999999996</v>
      </c>
      <c r="I262" s="148" t="s">
        <v>257</v>
      </c>
      <c r="J262" s="148">
        <v>36601.121099999997</v>
      </c>
      <c r="K262" s="148">
        <v>517.40899999999999</v>
      </c>
      <c r="L262" s="148">
        <v>1704.4079999999999</v>
      </c>
      <c r="M262" s="148">
        <v>34.412999999999997</v>
      </c>
      <c r="N262" s="148">
        <v>10.331799999999999</v>
      </c>
      <c r="O262" s="51">
        <v>120.49</v>
      </c>
      <c r="P262" s="49" t="s">
        <v>814</v>
      </c>
      <c r="Q262" s="49" t="s">
        <v>360</v>
      </c>
    </row>
    <row r="263" spans="1:17" ht="14.4" customHeight="1" x14ac:dyDescent="0.3">
      <c r="A263" s="46" t="s">
        <v>792</v>
      </c>
      <c r="B263" s="53">
        <v>46150</v>
      </c>
      <c r="C263" s="46">
        <v>682</v>
      </c>
      <c r="D263" s="52">
        <v>0</v>
      </c>
      <c r="E263" s="46">
        <v>1</v>
      </c>
      <c r="F263" s="147" t="s">
        <v>257</v>
      </c>
      <c r="G263" s="147" t="s">
        <v>257</v>
      </c>
      <c r="H263" s="147">
        <v>6.1462000000000003</v>
      </c>
      <c r="I263" s="147" t="s">
        <v>257</v>
      </c>
      <c r="J263" s="147">
        <v>39578.292999999998</v>
      </c>
      <c r="K263" s="147">
        <v>838.07849999999996</v>
      </c>
      <c r="L263" s="147">
        <v>37934.164100000002</v>
      </c>
      <c r="M263" s="147">
        <v>46.22</v>
      </c>
      <c r="N263" s="147">
        <v>16.8094</v>
      </c>
      <c r="O263" s="52">
        <v>120.53</v>
      </c>
      <c r="P263" s="46" t="s">
        <v>814</v>
      </c>
      <c r="Q263" s="46" t="s">
        <v>360</v>
      </c>
    </row>
    <row r="264" spans="1:17" ht="14.4" customHeight="1" x14ac:dyDescent="0.3">
      <c r="A264" s="46" t="s">
        <v>792</v>
      </c>
      <c r="B264" s="53">
        <v>46150</v>
      </c>
      <c r="C264" s="46">
        <v>683</v>
      </c>
      <c r="D264" s="52">
        <v>0</v>
      </c>
      <c r="E264" s="46">
        <v>2</v>
      </c>
      <c r="F264" s="147" t="s">
        <v>257</v>
      </c>
      <c r="G264" s="147" t="s">
        <v>257</v>
      </c>
      <c r="H264" s="147">
        <v>6.5145999999999997</v>
      </c>
      <c r="I264" s="147" t="s">
        <v>257</v>
      </c>
      <c r="J264" s="147">
        <v>39212.324200000003</v>
      </c>
      <c r="K264" s="147">
        <v>820.59580000000005</v>
      </c>
      <c r="L264" s="147">
        <v>38343.394500000002</v>
      </c>
      <c r="M264" s="147">
        <v>44.996000000000002</v>
      </c>
      <c r="N264" s="147">
        <v>11.2531</v>
      </c>
      <c r="O264" s="52">
        <v>126.26</v>
      </c>
      <c r="P264" s="46" t="s">
        <v>814</v>
      </c>
      <c r="Q264" s="46" t="s">
        <v>360</v>
      </c>
    </row>
    <row r="265" spans="1:17" ht="14.4" customHeight="1" x14ac:dyDescent="0.3">
      <c r="A265" s="46" t="s">
        <v>792</v>
      </c>
      <c r="B265" s="53">
        <v>46150</v>
      </c>
      <c r="C265" s="46">
        <v>684</v>
      </c>
      <c r="D265" s="52">
        <v>0.5</v>
      </c>
      <c r="E265" s="46">
        <v>1</v>
      </c>
      <c r="F265" s="147" t="s">
        <v>257</v>
      </c>
      <c r="G265" s="147" t="s">
        <v>257</v>
      </c>
      <c r="H265" s="147">
        <v>7.7310999999999996</v>
      </c>
      <c r="I265" s="147" t="s">
        <v>257</v>
      </c>
      <c r="J265" s="147">
        <v>41726.902300000002</v>
      </c>
      <c r="K265" s="147">
        <v>951.06010000000003</v>
      </c>
      <c r="L265" s="147">
        <v>29205.484400000001</v>
      </c>
      <c r="M265" s="147">
        <v>53.527799999999999</v>
      </c>
      <c r="N265" s="147">
        <v>13.272</v>
      </c>
      <c r="O265" s="52">
        <v>126.11</v>
      </c>
      <c r="P265" s="46" t="s">
        <v>814</v>
      </c>
      <c r="Q265" s="46" t="s">
        <v>360</v>
      </c>
    </row>
    <row r="266" spans="1:17" ht="14.4" customHeight="1" x14ac:dyDescent="0.3">
      <c r="A266" s="46" t="s">
        <v>792</v>
      </c>
      <c r="B266" s="53">
        <v>46150</v>
      </c>
      <c r="C266" s="46">
        <v>685</v>
      </c>
      <c r="D266" s="52">
        <v>0.5</v>
      </c>
      <c r="E266" s="46">
        <v>2</v>
      </c>
      <c r="F266" s="147" t="s">
        <v>257</v>
      </c>
      <c r="G266" s="147" t="s">
        <v>257</v>
      </c>
      <c r="H266" s="147">
        <v>5.4433999999999996</v>
      </c>
      <c r="I266" s="147" t="s">
        <v>257</v>
      </c>
      <c r="J266" s="147">
        <v>41575.417999999998</v>
      </c>
      <c r="K266" s="147">
        <v>905.07569999999998</v>
      </c>
      <c r="L266" s="147">
        <v>29386.767599999999</v>
      </c>
      <c r="M266" s="147">
        <v>53.280200000000001</v>
      </c>
      <c r="N266" s="147">
        <v>16.696300000000001</v>
      </c>
      <c r="O266" s="52">
        <v>126.08</v>
      </c>
      <c r="P266" s="46" t="s">
        <v>814</v>
      </c>
      <c r="Q266" s="46" t="s">
        <v>360</v>
      </c>
    </row>
    <row r="267" spans="1:17" ht="14.4" customHeight="1" x14ac:dyDescent="0.3">
      <c r="A267" s="46" t="s">
        <v>792</v>
      </c>
      <c r="B267" s="53">
        <v>46150</v>
      </c>
      <c r="C267" s="46">
        <v>686</v>
      </c>
      <c r="D267" s="52">
        <v>1</v>
      </c>
      <c r="E267" s="46">
        <v>1</v>
      </c>
      <c r="F267" s="147" t="s">
        <v>257</v>
      </c>
      <c r="G267" s="147" t="s">
        <v>257</v>
      </c>
      <c r="H267" s="147">
        <v>6.2492999999999999</v>
      </c>
      <c r="I267" s="147" t="s">
        <v>257</v>
      </c>
      <c r="J267" s="147">
        <v>42633.238299999997</v>
      </c>
      <c r="K267" s="147">
        <v>857.7423</v>
      </c>
      <c r="L267" s="147">
        <v>20588.900399999999</v>
      </c>
      <c r="M267" s="147">
        <v>53.403500000000001</v>
      </c>
      <c r="N267" s="147">
        <v>9.0906000000000002</v>
      </c>
      <c r="O267" s="52">
        <v>120.71</v>
      </c>
      <c r="P267" s="46" t="s">
        <v>814</v>
      </c>
      <c r="Q267" s="46" t="s">
        <v>360</v>
      </c>
    </row>
    <row r="268" spans="1:17" ht="14.4" customHeight="1" x14ac:dyDescent="0.3">
      <c r="A268" s="46" t="s">
        <v>792</v>
      </c>
      <c r="B268" s="53">
        <v>46150</v>
      </c>
      <c r="C268" s="46">
        <v>687</v>
      </c>
      <c r="D268" s="52">
        <v>1</v>
      </c>
      <c r="E268" s="46">
        <v>2</v>
      </c>
      <c r="F268" s="147" t="s">
        <v>257</v>
      </c>
      <c r="G268" s="147" t="s">
        <v>257</v>
      </c>
      <c r="H268" s="147">
        <v>8.3482000000000003</v>
      </c>
      <c r="I268" s="147" t="s">
        <v>257</v>
      </c>
      <c r="J268" s="147">
        <v>41910.777300000002</v>
      </c>
      <c r="K268" s="147">
        <v>760.70439999999996</v>
      </c>
      <c r="L268" s="147">
        <v>20521.085899999998</v>
      </c>
      <c r="M268" s="147">
        <v>49.584099999999999</v>
      </c>
      <c r="N268" s="147">
        <v>9.4596999999999998</v>
      </c>
      <c r="O268" s="52">
        <v>125.8</v>
      </c>
      <c r="P268" s="46" t="s">
        <v>814</v>
      </c>
      <c r="Q268" s="46" t="s">
        <v>360</v>
      </c>
    </row>
    <row r="269" spans="1:17" ht="14.4" customHeight="1" x14ac:dyDescent="0.3">
      <c r="A269" s="46" t="s">
        <v>792</v>
      </c>
      <c r="B269" s="53">
        <v>46150</v>
      </c>
      <c r="C269" s="46">
        <v>688</v>
      </c>
      <c r="D269" s="52">
        <v>1.5</v>
      </c>
      <c r="E269" s="46">
        <v>1</v>
      </c>
      <c r="F269" s="147" t="s">
        <v>257</v>
      </c>
      <c r="G269" s="147" t="s">
        <v>257</v>
      </c>
      <c r="H269" s="147">
        <v>5.8658000000000001</v>
      </c>
      <c r="I269" s="147" t="s">
        <v>257</v>
      </c>
      <c r="J269" s="147">
        <v>40749.382799999999</v>
      </c>
      <c r="K269" s="147">
        <v>771.19410000000005</v>
      </c>
      <c r="L269" s="147">
        <v>15191.3701</v>
      </c>
      <c r="M269" s="147">
        <v>44.355400000000003</v>
      </c>
      <c r="N269" s="147">
        <v>6.9649000000000001</v>
      </c>
      <c r="O269" s="52">
        <v>126.2</v>
      </c>
      <c r="P269" s="46" t="s">
        <v>814</v>
      </c>
      <c r="Q269" s="46" t="s">
        <v>360</v>
      </c>
    </row>
    <row r="270" spans="1:17" ht="14.4" customHeight="1" x14ac:dyDescent="0.3">
      <c r="A270" s="46" t="s">
        <v>792</v>
      </c>
      <c r="B270" s="53">
        <v>46150</v>
      </c>
      <c r="C270" s="46">
        <v>689</v>
      </c>
      <c r="D270" s="52">
        <v>1.5</v>
      </c>
      <c r="E270" s="46">
        <v>2</v>
      </c>
      <c r="F270" s="147" t="s">
        <v>257</v>
      </c>
      <c r="G270" s="147" t="s">
        <v>257</v>
      </c>
      <c r="H270" s="147">
        <v>7.2328999999999999</v>
      </c>
      <c r="I270" s="147" t="s">
        <v>257</v>
      </c>
      <c r="J270" s="147">
        <v>40732.207000000002</v>
      </c>
      <c r="K270" s="147">
        <v>783.68740000000003</v>
      </c>
      <c r="L270" s="147">
        <v>15437.540999999999</v>
      </c>
      <c r="M270" s="147">
        <v>50.408900000000003</v>
      </c>
      <c r="N270" s="147">
        <v>13.742699999999999</v>
      </c>
      <c r="O270" s="52">
        <v>120.64</v>
      </c>
      <c r="P270" s="46" t="s">
        <v>814</v>
      </c>
      <c r="Q270" s="46" t="s">
        <v>360</v>
      </c>
    </row>
    <row r="271" spans="1:17" ht="14.4" customHeight="1" x14ac:dyDescent="0.3">
      <c r="A271" s="46" t="s">
        <v>792</v>
      </c>
      <c r="B271" s="53">
        <v>46150</v>
      </c>
      <c r="C271" s="46">
        <v>690</v>
      </c>
      <c r="D271" s="52">
        <v>2</v>
      </c>
      <c r="E271" s="46">
        <v>1</v>
      </c>
      <c r="F271" s="147" t="s">
        <v>257</v>
      </c>
      <c r="G271" s="147" t="s">
        <v>257</v>
      </c>
      <c r="H271" s="147">
        <v>8.4761000000000006</v>
      </c>
      <c r="I271" s="147" t="s">
        <v>257</v>
      </c>
      <c r="J271" s="147">
        <v>44568.804700000001</v>
      </c>
      <c r="K271" s="147">
        <v>809.04830000000004</v>
      </c>
      <c r="L271" s="147">
        <v>13364.4961</v>
      </c>
      <c r="M271" s="147">
        <v>55.063800000000001</v>
      </c>
      <c r="N271" s="147">
        <v>10.9513</v>
      </c>
      <c r="O271" s="52">
        <v>126.04</v>
      </c>
      <c r="P271" s="46" t="s">
        <v>814</v>
      </c>
      <c r="Q271" s="46" t="s">
        <v>360</v>
      </c>
    </row>
    <row r="272" spans="1:17" ht="14.4" customHeight="1" x14ac:dyDescent="0.3">
      <c r="A272" s="46" t="s">
        <v>792</v>
      </c>
      <c r="B272" s="53">
        <v>46150</v>
      </c>
      <c r="C272" s="46">
        <v>691</v>
      </c>
      <c r="D272" s="52">
        <v>2</v>
      </c>
      <c r="E272" s="46">
        <v>2</v>
      </c>
      <c r="F272" s="147" t="s">
        <v>257</v>
      </c>
      <c r="G272" s="147" t="s">
        <v>257</v>
      </c>
      <c r="H272" s="147">
        <v>6.9568000000000003</v>
      </c>
      <c r="I272" s="147" t="s">
        <v>257</v>
      </c>
      <c r="J272" s="147">
        <v>44119.578099999999</v>
      </c>
      <c r="K272" s="147">
        <v>803.09720000000004</v>
      </c>
      <c r="L272" s="147">
        <v>14236.309600000001</v>
      </c>
      <c r="M272" s="147">
        <v>57.921999999999997</v>
      </c>
      <c r="N272" s="147">
        <v>15.0518</v>
      </c>
      <c r="O272" s="52">
        <v>120.61</v>
      </c>
      <c r="P272" s="46" t="s">
        <v>814</v>
      </c>
      <c r="Q272" s="46" t="s">
        <v>360</v>
      </c>
    </row>
    <row r="273" spans="1:17" ht="14.4" customHeight="1" x14ac:dyDescent="0.3">
      <c r="A273" s="46" t="s">
        <v>792</v>
      </c>
      <c r="B273" s="53">
        <v>46150</v>
      </c>
      <c r="C273" s="46">
        <v>692</v>
      </c>
      <c r="D273" s="52">
        <v>2.5</v>
      </c>
      <c r="E273" s="46">
        <v>1</v>
      </c>
      <c r="F273" s="147" t="s">
        <v>257</v>
      </c>
      <c r="G273" s="147" t="s">
        <v>257</v>
      </c>
      <c r="H273" s="147">
        <v>6.18</v>
      </c>
      <c r="I273" s="147" t="s">
        <v>257</v>
      </c>
      <c r="J273" s="147">
        <v>40329.371099999997</v>
      </c>
      <c r="K273" s="147">
        <v>674.91319999999996</v>
      </c>
      <c r="L273" s="147">
        <v>8661.8065999999999</v>
      </c>
      <c r="M273" s="147">
        <v>44.696300000000001</v>
      </c>
      <c r="N273" s="147">
        <v>20.604099999999999</v>
      </c>
      <c r="O273" s="52">
        <v>125.9</v>
      </c>
      <c r="P273" s="46" t="s">
        <v>814</v>
      </c>
      <c r="Q273" s="46" t="s">
        <v>360</v>
      </c>
    </row>
    <row r="274" spans="1:17" ht="14.4" customHeight="1" x14ac:dyDescent="0.3">
      <c r="A274" s="46" t="s">
        <v>792</v>
      </c>
      <c r="B274" s="53">
        <v>46150</v>
      </c>
      <c r="C274" s="46">
        <v>693</v>
      </c>
      <c r="D274" s="52">
        <v>2.5</v>
      </c>
      <c r="E274" s="46">
        <v>2</v>
      </c>
      <c r="F274" s="147" t="s">
        <v>257</v>
      </c>
      <c r="G274" s="147" t="s">
        <v>257</v>
      </c>
      <c r="H274" s="147">
        <v>5.4958</v>
      </c>
      <c r="I274" s="147" t="s">
        <v>257</v>
      </c>
      <c r="J274" s="147">
        <v>40297.390599999999</v>
      </c>
      <c r="K274" s="147">
        <v>756.46939999999995</v>
      </c>
      <c r="L274" s="147">
        <v>9937.0928000000004</v>
      </c>
      <c r="M274" s="147">
        <v>44.908099999999997</v>
      </c>
      <c r="N274" s="147">
        <v>15.9512</v>
      </c>
      <c r="O274" s="52">
        <v>120.86</v>
      </c>
      <c r="P274" s="46" t="s">
        <v>814</v>
      </c>
      <c r="Q274" s="46" t="s">
        <v>360</v>
      </c>
    </row>
    <row r="275" spans="1:17" ht="14.4" customHeight="1" x14ac:dyDescent="0.3">
      <c r="A275" s="46" t="s">
        <v>792</v>
      </c>
      <c r="B275" s="53">
        <v>46150</v>
      </c>
      <c r="C275" s="46">
        <v>694</v>
      </c>
      <c r="D275" s="52">
        <v>3</v>
      </c>
      <c r="E275" s="46">
        <v>1</v>
      </c>
      <c r="F275" s="147" t="s">
        <v>257</v>
      </c>
      <c r="G275" s="147" t="s">
        <v>257</v>
      </c>
      <c r="H275" s="147">
        <v>4.8155000000000001</v>
      </c>
      <c r="I275" s="147" t="s">
        <v>257</v>
      </c>
      <c r="J275" s="147">
        <v>41565.281199999998</v>
      </c>
      <c r="K275" s="147">
        <v>758.54989999999998</v>
      </c>
      <c r="L275" s="147">
        <v>10459.4238</v>
      </c>
      <c r="M275" s="147">
        <v>48.823599999999999</v>
      </c>
      <c r="N275" s="147">
        <v>10.057600000000001</v>
      </c>
      <c r="O275" s="52">
        <v>120.5</v>
      </c>
      <c r="P275" s="46" t="s">
        <v>814</v>
      </c>
      <c r="Q275" s="46" t="s">
        <v>360</v>
      </c>
    </row>
    <row r="276" spans="1:17" ht="14.4" customHeight="1" x14ac:dyDescent="0.3">
      <c r="A276" s="46" t="s">
        <v>792</v>
      </c>
      <c r="B276" s="53">
        <v>46150</v>
      </c>
      <c r="C276" s="46">
        <v>695</v>
      </c>
      <c r="D276" s="52">
        <v>3</v>
      </c>
      <c r="E276" s="46">
        <v>2</v>
      </c>
      <c r="F276" s="147" t="s">
        <v>257</v>
      </c>
      <c r="G276" s="147" t="s">
        <v>257</v>
      </c>
      <c r="H276" s="147">
        <v>5.5162000000000004</v>
      </c>
      <c r="I276" s="147" t="s">
        <v>257</v>
      </c>
      <c r="J276" s="147">
        <v>41586.316400000003</v>
      </c>
      <c r="K276" s="147">
        <v>775.37390000000005</v>
      </c>
      <c r="L276" s="147">
        <v>10465.752899999999</v>
      </c>
      <c r="M276" s="147">
        <v>50.767099999999999</v>
      </c>
      <c r="N276" s="147">
        <v>11.4726</v>
      </c>
      <c r="O276" s="52">
        <v>120.4</v>
      </c>
      <c r="P276" s="46" t="s">
        <v>814</v>
      </c>
      <c r="Q276" s="46" t="s">
        <v>360</v>
      </c>
    </row>
    <row r="277" spans="1:17" ht="14.4" customHeight="1" x14ac:dyDescent="0.3">
      <c r="A277" s="46" t="s">
        <v>792</v>
      </c>
      <c r="B277" s="53">
        <v>46150</v>
      </c>
      <c r="C277" s="46">
        <v>696</v>
      </c>
      <c r="D277" s="52">
        <v>3.5</v>
      </c>
      <c r="E277" s="46">
        <v>1</v>
      </c>
      <c r="F277" s="147" t="s">
        <v>257</v>
      </c>
      <c r="G277" s="147" t="s">
        <v>257</v>
      </c>
      <c r="H277" s="147">
        <v>4.8493000000000004</v>
      </c>
      <c r="I277" s="147" t="s">
        <v>257</v>
      </c>
      <c r="J277" s="147">
        <v>36359.0625</v>
      </c>
      <c r="K277" s="147">
        <v>663.27290000000005</v>
      </c>
      <c r="L277" s="147">
        <v>8818.3446999999996</v>
      </c>
      <c r="M277" s="147">
        <v>35.664200000000001</v>
      </c>
      <c r="N277" s="147">
        <v>6.3212000000000002</v>
      </c>
      <c r="O277" s="52">
        <v>120.23</v>
      </c>
      <c r="P277" s="46" t="s">
        <v>814</v>
      </c>
      <c r="Q277" s="46" t="s">
        <v>360</v>
      </c>
    </row>
    <row r="278" spans="1:17" ht="14.4" customHeight="1" x14ac:dyDescent="0.3">
      <c r="A278" s="46" t="s">
        <v>792</v>
      </c>
      <c r="B278" s="53">
        <v>46150</v>
      </c>
      <c r="C278" s="46">
        <v>697</v>
      </c>
      <c r="D278" s="52">
        <v>3.5</v>
      </c>
      <c r="E278" s="46">
        <v>2</v>
      </c>
      <c r="F278" s="147" t="s">
        <v>257</v>
      </c>
      <c r="G278" s="147" t="s">
        <v>257</v>
      </c>
      <c r="H278" s="147">
        <v>5.5288000000000004</v>
      </c>
      <c r="I278" s="147" t="s">
        <v>257</v>
      </c>
      <c r="J278" s="147">
        <v>35823.679700000001</v>
      </c>
      <c r="K278" s="147">
        <v>638.53229999999996</v>
      </c>
      <c r="L278" s="147">
        <v>8628.0067999999992</v>
      </c>
      <c r="M278" s="147">
        <v>35.071100000000001</v>
      </c>
      <c r="N278" s="147">
        <v>6.5751999999999997</v>
      </c>
      <c r="O278" s="52">
        <v>120.5</v>
      </c>
      <c r="P278" s="46" t="s">
        <v>814</v>
      </c>
      <c r="Q278" s="46" t="s">
        <v>360</v>
      </c>
    </row>
    <row r="279" spans="1:17" ht="14.4" customHeight="1" x14ac:dyDescent="0.3">
      <c r="A279" s="46" t="s">
        <v>792</v>
      </c>
      <c r="B279" s="53">
        <v>46150</v>
      </c>
      <c r="C279" s="46">
        <v>698</v>
      </c>
      <c r="D279" s="52">
        <v>4</v>
      </c>
      <c r="E279" s="46">
        <v>1</v>
      </c>
      <c r="F279" s="147" t="s">
        <v>257</v>
      </c>
      <c r="G279" s="147" t="s">
        <v>257</v>
      </c>
      <c r="H279" s="147">
        <v>5.7676999999999996</v>
      </c>
      <c r="I279" s="147" t="s">
        <v>257</v>
      </c>
      <c r="J279" s="147">
        <v>37461.621099999997</v>
      </c>
      <c r="K279" s="147">
        <v>666.82489999999996</v>
      </c>
      <c r="L279" s="147">
        <v>6114.0239000000001</v>
      </c>
      <c r="M279" s="147">
        <v>43.185400000000001</v>
      </c>
      <c r="N279" s="147">
        <v>5.0875000000000004</v>
      </c>
      <c r="O279" s="52">
        <v>120.65</v>
      </c>
      <c r="P279" s="46" t="s">
        <v>814</v>
      </c>
      <c r="Q279" s="46" t="s">
        <v>360</v>
      </c>
    </row>
    <row r="280" spans="1:17" ht="14.4" customHeight="1" x14ac:dyDescent="0.3">
      <c r="A280" s="46" t="s">
        <v>792</v>
      </c>
      <c r="B280" s="53">
        <v>46150</v>
      </c>
      <c r="C280" s="46">
        <v>699</v>
      </c>
      <c r="D280" s="52">
        <v>4</v>
      </c>
      <c r="E280" s="46">
        <v>2</v>
      </c>
      <c r="F280" s="147" t="s">
        <v>257</v>
      </c>
      <c r="G280" s="147" t="s">
        <v>257</v>
      </c>
      <c r="H280" s="147">
        <v>5.6307999999999998</v>
      </c>
      <c r="I280" s="147" t="s">
        <v>257</v>
      </c>
      <c r="J280" s="147">
        <v>37688.781199999998</v>
      </c>
      <c r="K280" s="147">
        <v>638.52189999999996</v>
      </c>
      <c r="L280" s="147">
        <v>6102.8109999999997</v>
      </c>
      <c r="M280" s="147">
        <v>40.1524</v>
      </c>
      <c r="N280" s="147">
        <v>5.2847</v>
      </c>
      <c r="O280" s="52">
        <v>126.05</v>
      </c>
      <c r="P280" s="46" t="s">
        <v>814</v>
      </c>
      <c r="Q280" s="46" t="s">
        <v>360</v>
      </c>
    </row>
    <row r="281" spans="1:17" ht="14.4" customHeight="1" x14ac:dyDescent="0.3">
      <c r="A281" s="49" t="s">
        <v>793</v>
      </c>
      <c r="B281" s="54">
        <v>46150</v>
      </c>
      <c r="C281" s="49">
        <v>700</v>
      </c>
      <c r="D281" s="51">
        <v>0</v>
      </c>
      <c r="E281" s="49">
        <v>1</v>
      </c>
      <c r="F281" s="148" t="s">
        <v>257</v>
      </c>
      <c r="G281" s="148" t="s">
        <v>257</v>
      </c>
      <c r="H281" s="148">
        <v>7.0579999999999998</v>
      </c>
      <c r="I281" s="148" t="s">
        <v>257</v>
      </c>
      <c r="J281" s="148">
        <v>43149.671900000001</v>
      </c>
      <c r="K281" s="148">
        <v>740.95920000000001</v>
      </c>
      <c r="L281" s="148">
        <v>1720.5295000000001</v>
      </c>
      <c r="M281" s="148">
        <v>49.970700000000001</v>
      </c>
      <c r="N281" s="148">
        <v>17.8627</v>
      </c>
      <c r="O281" s="51">
        <v>126.32</v>
      </c>
      <c r="P281" s="49" t="s">
        <v>814</v>
      </c>
      <c r="Q281" s="49" t="s">
        <v>360</v>
      </c>
    </row>
    <row r="282" spans="1:17" ht="14.4" customHeight="1" x14ac:dyDescent="0.3">
      <c r="A282" s="49" t="s">
        <v>793</v>
      </c>
      <c r="B282" s="54">
        <v>46150</v>
      </c>
      <c r="C282" s="49">
        <v>701</v>
      </c>
      <c r="D282" s="51">
        <v>0</v>
      </c>
      <c r="E282" s="49">
        <v>2</v>
      </c>
      <c r="F282" s="148" t="s">
        <v>257</v>
      </c>
      <c r="G282" s="148" t="s">
        <v>257</v>
      </c>
      <c r="H282" s="148">
        <v>6.3452000000000002</v>
      </c>
      <c r="I282" s="148" t="s">
        <v>257</v>
      </c>
      <c r="J282" s="148">
        <v>39250.925799999997</v>
      </c>
      <c r="K282" s="148">
        <v>665.56089999999995</v>
      </c>
      <c r="L282" s="148">
        <v>1990.4935</v>
      </c>
      <c r="M282" s="148">
        <v>43.191200000000002</v>
      </c>
      <c r="N282" s="148">
        <v>9.4816000000000003</v>
      </c>
      <c r="O282" s="51">
        <v>120.41</v>
      </c>
      <c r="P282" s="49" t="s">
        <v>814</v>
      </c>
      <c r="Q282" s="49" t="s">
        <v>360</v>
      </c>
    </row>
    <row r="283" spans="1:17" ht="14.4" customHeight="1" x14ac:dyDescent="0.3">
      <c r="A283" s="49" t="s">
        <v>793</v>
      </c>
      <c r="B283" s="54">
        <v>46150</v>
      </c>
      <c r="C283" s="49">
        <v>702</v>
      </c>
      <c r="D283" s="51">
        <v>0.5</v>
      </c>
      <c r="E283" s="49">
        <v>1</v>
      </c>
      <c r="F283" s="148" t="s">
        <v>257</v>
      </c>
      <c r="G283" s="148" t="s">
        <v>257</v>
      </c>
      <c r="H283" s="148">
        <v>5.1189999999999998</v>
      </c>
      <c r="I283" s="148" t="s">
        <v>257</v>
      </c>
      <c r="J283" s="148">
        <v>39364.847699999998</v>
      </c>
      <c r="K283" s="148">
        <v>693.59609999999998</v>
      </c>
      <c r="L283" s="148">
        <v>2424.3069</v>
      </c>
      <c r="M283" s="148">
        <v>47.856999999999999</v>
      </c>
      <c r="N283" s="148">
        <v>9.5177999999999994</v>
      </c>
      <c r="O283" s="51">
        <v>125.97</v>
      </c>
      <c r="P283" s="49" t="s">
        <v>814</v>
      </c>
      <c r="Q283" s="49" t="s">
        <v>360</v>
      </c>
    </row>
    <row r="284" spans="1:17" ht="14.4" customHeight="1" x14ac:dyDescent="0.3">
      <c r="A284" s="49" t="s">
        <v>793</v>
      </c>
      <c r="B284" s="54">
        <v>46150</v>
      </c>
      <c r="C284" s="49">
        <v>703</v>
      </c>
      <c r="D284" s="51">
        <v>0.5</v>
      </c>
      <c r="E284" s="49">
        <v>2</v>
      </c>
      <c r="F284" s="148" t="s">
        <v>257</v>
      </c>
      <c r="G284" s="148" t="s">
        <v>257</v>
      </c>
      <c r="H284" s="148">
        <v>5.8129</v>
      </c>
      <c r="I284" s="148" t="s">
        <v>257</v>
      </c>
      <c r="J284" s="148">
        <v>39160.882799999999</v>
      </c>
      <c r="K284" s="148">
        <v>668.62149999999997</v>
      </c>
      <c r="L284" s="148">
        <v>2381.0769</v>
      </c>
      <c r="M284" s="148">
        <v>48.442999999999998</v>
      </c>
      <c r="N284" s="148">
        <v>10.23</v>
      </c>
      <c r="O284" s="51">
        <v>120.51</v>
      </c>
      <c r="P284" s="49" t="s">
        <v>814</v>
      </c>
      <c r="Q284" s="49" t="s">
        <v>360</v>
      </c>
    </row>
    <row r="285" spans="1:17" ht="14.4" customHeight="1" x14ac:dyDescent="0.3">
      <c r="A285" s="49" t="s">
        <v>793</v>
      </c>
      <c r="B285" s="54">
        <v>46150</v>
      </c>
      <c r="C285" s="49">
        <v>704</v>
      </c>
      <c r="D285" s="51">
        <v>1</v>
      </c>
      <c r="E285" s="49">
        <v>1</v>
      </c>
      <c r="F285" s="148" t="s">
        <v>257</v>
      </c>
      <c r="G285" s="148" t="s">
        <v>257</v>
      </c>
      <c r="H285" s="148">
        <v>8.3202999999999996</v>
      </c>
      <c r="I285" s="148" t="s">
        <v>257</v>
      </c>
      <c r="J285" s="148">
        <v>43527.570299999999</v>
      </c>
      <c r="K285" s="148">
        <v>749.15340000000003</v>
      </c>
      <c r="L285" s="148">
        <v>3053.9749000000002</v>
      </c>
      <c r="M285" s="148">
        <v>56.911000000000001</v>
      </c>
      <c r="N285" s="148">
        <v>27.382999999999999</v>
      </c>
      <c r="O285" s="51">
        <v>126.05</v>
      </c>
      <c r="P285" s="49" t="s">
        <v>814</v>
      </c>
      <c r="Q285" s="49" t="s">
        <v>360</v>
      </c>
    </row>
    <row r="286" spans="1:17" ht="14.4" customHeight="1" x14ac:dyDescent="0.3">
      <c r="A286" s="49" t="s">
        <v>793</v>
      </c>
      <c r="B286" s="54">
        <v>46150</v>
      </c>
      <c r="C286" s="49">
        <v>705</v>
      </c>
      <c r="D286" s="51">
        <v>1</v>
      </c>
      <c r="E286" s="49">
        <v>2</v>
      </c>
      <c r="F286" s="148">
        <v>2.9851000000000001</v>
      </c>
      <c r="G286" s="148" t="s">
        <v>257</v>
      </c>
      <c r="H286" s="148">
        <v>9.4154999999999998</v>
      </c>
      <c r="I286" s="148" t="s">
        <v>257</v>
      </c>
      <c r="J286" s="148">
        <v>44011.726600000002</v>
      </c>
      <c r="K286" s="148">
        <v>741.34609999999998</v>
      </c>
      <c r="L286" s="148">
        <v>3298.5010000000002</v>
      </c>
      <c r="M286" s="148">
        <v>56.8416</v>
      </c>
      <c r="N286" s="148">
        <v>25.873100000000001</v>
      </c>
      <c r="O286" s="51">
        <v>120.77</v>
      </c>
      <c r="P286" s="49" t="s">
        <v>814</v>
      </c>
      <c r="Q286" s="49" t="s">
        <v>360</v>
      </c>
    </row>
    <row r="287" spans="1:17" ht="14.4" customHeight="1" x14ac:dyDescent="0.3">
      <c r="A287" s="49" t="s">
        <v>793</v>
      </c>
      <c r="B287" s="54">
        <v>46150</v>
      </c>
      <c r="C287" s="49">
        <v>706</v>
      </c>
      <c r="D287" s="51">
        <v>1.5</v>
      </c>
      <c r="E287" s="49">
        <v>1</v>
      </c>
      <c r="F287" s="148" t="s">
        <v>257</v>
      </c>
      <c r="G287" s="148" t="s">
        <v>257</v>
      </c>
      <c r="H287" s="148">
        <v>5.4172000000000002</v>
      </c>
      <c r="I287" s="148" t="s">
        <v>257</v>
      </c>
      <c r="J287" s="148">
        <v>38754.468800000002</v>
      </c>
      <c r="K287" s="148">
        <v>694.34140000000002</v>
      </c>
      <c r="L287" s="148">
        <v>2592.7195000000002</v>
      </c>
      <c r="M287" s="148">
        <v>49.058999999999997</v>
      </c>
      <c r="N287" s="148">
        <v>9.2355</v>
      </c>
      <c r="O287" s="51">
        <v>120.83</v>
      </c>
      <c r="P287" s="49" t="s">
        <v>814</v>
      </c>
      <c r="Q287" s="49" t="s">
        <v>360</v>
      </c>
    </row>
    <row r="288" spans="1:17" ht="14.4" customHeight="1" x14ac:dyDescent="0.3">
      <c r="A288" s="49" t="s">
        <v>793</v>
      </c>
      <c r="B288" s="54">
        <v>46150</v>
      </c>
      <c r="C288" s="49">
        <v>707</v>
      </c>
      <c r="D288" s="51">
        <v>1.5</v>
      </c>
      <c r="E288" s="49">
        <v>2</v>
      </c>
      <c r="F288" s="148" t="s">
        <v>257</v>
      </c>
      <c r="G288" s="148" t="s">
        <v>257</v>
      </c>
      <c r="H288" s="148">
        <v>7.1127000000000002</v>
      </c>
      <c r="I288" s="148" t="s">
        <v>257</v>
      </c>
      <c r="J288" s="148">
        <v>38608.531199999998</v>
      </c>
      <c r="K288" s="148">
        <v>708.49559999999997</v>
      </c>
      <c r="L288" s="148">
        <v>2520.2339000000002</v>
      </c>
      <c r="M288" s="148">
        <v>43.373100000000001</v>
      </c>
      <c r="N288" s="148">
        <v>5.6825000000000001</v>
      </c>
      <c r="O288" s="51">
        <v>120.46</v>
      </c>
      <c r="P288" s="49" t="s">
        <v>814</v>
      </c>
      <c r="Q288" s="49" t="s">
        <v>360</v>
      </c>
    </row>
    <row r="289" spans="1:17" ht="14.4" customHeight="1" x14ac:dyDescent="0.3">
      <c r="A289" s="49" t="s">
        <v>793</v>
      </c>
      <c r="B289" s="54">
        <v>46150</v>
      </c>
      <c r="C289" s="49">
        <v>708</v>
      </c>
      <c r="D289" s="51">
        <v>2</v>
      </c>
      <c r="E289" s="49">
        <v>1</v>
      </c>
      <c r="F289" s="148" t="s">
        <v>257</v>
      </c>
      <c r="G289" s="148" t="s">
        <v>257</v>
      </c>
      <c r="H289" s="148">
        <v>7.3522999999999996</v>
      </c>
      <c r="I289" s="148" t="s">
        <v>257</v>
      </c>
      <c r="J289" s="148">
        <v>42008.953099999999</v>
      </c>
      <c r="K289" s="148">
        <v>746.2124</v>
      </c>
      <c r="L289" s="148">
        <v>1954.7716</v>
      </c>
      <c r="M289" s="148">
        <v>51.316899999999997</v>
      </c>
      <c r="N289" s="148">
        <v>13.0929</v>
      </c>
      <c r="O289" s="51">
        <v>125.9</v>
      </c>
      <c r="P289" s="49" t="s">
        <v>814</v>
      </c>
      <c r="Q289" s="49" t="s">
        <v>360</v>
      </c>
    </row>
    <row r="290" spans="1:17" ht="14.4" customHeight="1" x14ac:dyDescent="0.3">
      <c r="A290" s="49" t="s">
        <v>793</v>
      </c>
      <c r="B290" s="54">
        <v>46150</v>
      </c>
      <c r="C290" s="49">
        <v>709</v>
      </c>
      <c r="D290" s="51">
        <v>2</v>
      </c>
      <c r="E290" s="49">
        <v>2</v>
      </c>
      <c r="F290" s="148" t="s">
        <v>257</v>
      </c>
      <c r="G290" s="148" t="s">
        <v>257</v>
      </c>
      <c r="H290" s="148">
        <v>7.4935</v>
      </c>
      <c r="I290" s="148" t="s">
        <v>257</v>
      </c>
      <c r="J290" s="148">
        <v>41686.585899999998</v>
      </c>
      <c r="K290" s="148">
        <v>757.69439999999997</v>
      </c>
      <c r="L290" s="148">
        <v>1839.3171</v>
      </c>
      <c r="M290" s="148">
        <v>48.604500000000002</v>
      </c>
      <c r="N290" s="148">
        <v>10.298400000000001</v>
      </c>
      <c r="O290" s="51">
        <v>120.71</v>
      </c>
      <c r="P290" s="49" t="s">
        <v>814</v>
      </c>
      <c r="Q290" s="49" t="s">
        <v>360</v>
      </c>
    </row>
    <row r="291" spans="1:17" ht="14.4" customHeight="1" x14ac:dyDescent="0.3">
      <c r="A291" s="49" t="s">
        <v>793</v>
      </c>
      <c r="B291" s="54">
        <v>46150</v>
      </c>
      <c r="C291" s="49">
        <v>710</v>
      </c>
      <c r="D291" s="51">
        <v>2.5</v>
      </c>
      <c r="E291" s="49">
        <v>1</v>
      </c>
      <c r="F291" s="148" t="s">
        <v>257</v>
      </c>
      <c r="G291" s="148" t="s">
        <v>257</v>
      </c>
      <c r="H291" s="148">
        <v>6.3749000000000002</v>
      </c>
      <c r="I291" s="148" t="s">
        <v>257</v>
      </c>
      <c r="J291" s="148">
        <v>40408.128900000003</v>
      </c>
      <c r="K291" s="148">
        <v>711.58190000000002</v>
      </c>
      <c r="L291" s="148">
        <v>1600.0988</v>
      </c>
      <c r="M291" s="148">
        <v>44.055999999999997</v>
      </c>
      <c r="N291" s="148">
        <v>13.498900000000001</v>
      </c>
      <c r="O291" s="51">
        <v>120.01</v>
      </c>
      <c r="P291" s="49" t="s">
        <v>814</v>
      </c>
      <c r="Q291" s="49" t="s">
        <v>360</v>
      </c>
    </row>
    <row r="292" spans="1:17" ht="14.4" customHeight="1" x14ac:dyDescent="0.3">
      <c r="A292" s="49" t="s">
        <v>793</v>
      </c>
      <c r="B292" s="54">
        <v>46150</v>
      </c>
      <c r="C292" s="49">
        <v>711</v>
      </c>
      <c r="D292" s="51">
        <v>2.5</v>
      </c>
      <c r="E292" s="49">
        <v>2</v>
      </c>
      <c r="F292" s="148" t="s">
        <v>257</v>
      </c>
      <c r="G292" s="148" t="s">
        <v>257</v>
      </c>
      <c r="H292" s="148">
        <v>5.2298999999999998</v>
      </c>
      <c r="I292" s="148" t="s">
        <v>257</v>
      </c>
      <c r="J292" s="148">
        <v>39578.835899999998</v>
      </c>
      <c r="K292" s="148">
        <v>739.09860000000003</v>
      </c>
      <c r="L292" s="148">
        <v>1520.9791</v>
      </c>
      <c r="M292" s="148">
        <v>47.123699999999999</v>
      </c>
      <c r="N292" s="148">
        <v>9.2401999999999997</v>
      </c>
      <c r="O292" s="51">
        <v>120.46</v>
      </c>
      <c r="P292" s="49" t="s">
        <v>814</v>
      </c>
      <c r="Q292" s="49" t="s">
        <v>360</v>
      </c>
    </row>
    <row r="293" spans="1:17" ht="14.4" customHeight="1" x14ac:dyDescent="0.3">
      <c r="A293" s="49" t="s">
        <v>793</v>
      </c>
      <c r="B293" s="54">
        <v>46150</v>
      </c>
      <c r="C293" s="49">
        <v>712</v>
      </c>
      <c r="D293" s="51">
        <v>3</v>
      </c>
      <c r="E293" s="49">
        <v>1</v>
      </c>
      <c r="F293" s="148" t="s">
        <v>257</v>
      </c>
      <c r="G293" s="148" t="s">
        <v>257</v>
      </c>
      <c r="H293" s="148">
        <v>5.5251000000000001</v>
      </c>
      <c r="I293" s="148" t="s">
        <v>257</v>
      </c>
      <c r="J293" s="148">
        <v>40503.363299999997</v>
      </c>
      <c r="K293" s="148">
        <v>683.6146</v>
      </c>
      <c r="L293" s="148">
        <v>2454.3881999999999</v>
      </c>
      <c r="M293" s="148">
        <v>47.631100000000004</v>
      </c>
      <c r="N293" s="148">
        <v>6.8132000000000001</v>
      </c>
      <c r="O293" s="51">
        <v>120.16</v>
      </c>
      <c r="P293" s="49" t="s">
        <v>814</v>
      </c>
      <c r="Q293" s="49" t="s">
        <v>360</v>
      </c>
    </row>
    <row r="294" spans="1:17" ht="14.4" customHeight="1" x14ac:dyDescent="0.3">
      <c r="A294" s="49" t="s">
        <v>793</v>
      </c>
      <c r="B294" s="54">
        <v>46150</v>
      </c>
      <c r="C294" s="49">
        <v>713</v>
      </c>
      <c r="D294" s="51">
        <v>3</v>
      </c>
      <c r="E294" s="49">
        <v>2</v>
      </c>
      <c r="F294" s="148" t="s">
        <v>257</v>
      </c>
      <c r="G294" s="148" t="s">
        <v>257</v>
      </c>
      <c r="H294" s="148">
        <v>4.0160999999999998</v>
      </c>
      <c r="I294" s="148" t="s">
        <v>257</v>
      </c>
      <c r="J294" s="148">
        <v>38172.167999999998</v>
      </c>
      <c r="K294" s="148">
        <v>668.21820000000002</v>
      </c>
      <c r="L294" s="148">
        <v>2630.8533000000002</v>
      </c>
      <c r="M294" s="148">
        <v>43.610100000000003</v>
      </c>
      <c r="N294" s="148">
        <v>7.7173999999999996</v>
      </c>
      <c r="O294" s="51">
        <v>120.62</v>
      </c>
      <c r="P294" s="49" t="s">
        <v>814</v>
      </c>
      <c r="Q294" s="49" t="s">
        <v>360</v>
      </c>
    </row>
    <row r="295" spans="1:17" ht="14.4" customHeight="1" x14ac:dyDescent="0.3">
      <c r="A295" s="49" t="s">
        <v>793</v>
      </c>
      <c r="B295" s="54">
        <v>46150</v>
      </c>
      <c r="C295" s="49">
        <v>714</v>
      </c>
      <c r="D295" s="51">
        <v>3.5</v>
      </c>
      <c r="E295" s="49">
        <v>1</v>
      </c>
      <c r="F295" s="148" t="s">
        <v>257</v>
      </c>
      <c r="G295" s="148" t="s">
        <v>257</v>
      </c>
      <c r="H295" s="148">
        <v>6.3228999999999997</v>
      </c>
      <c r="I295" s="148" t="s">
        <v>257</v>
      </c>
      <c r="J295" s="148">
        <v>44421.761700000003</v>
      </c>
      <c r="K295" s="148">
        <v>842.70309999999995</v>
      </c>
      <c r="L295" s="148">
        <v>3038.8269</v>
      </c>
      <c r="M295" s="148">
        <v>57.318600000000004</v>
      </c>
      <c r="N295" s="148">
        <v>18.330500000000001</v>
      </c>
      <c r="O295" s="51">
        <v>120.57</v>
      </c>
      <c r="P295" s="49" t="s">
        <v>814</v>
      </c>
      <c r="Q295" s="49" t="s">
        <v>360</v>
      </c>
    </row>
    <row r="296" spans="1:17" ht="14.4" customHeight="1" x14ac:dyDescent="0.3">
      <c r="A296" s="49" t="s">
        <v>793</v>
      </c>
      <c r="B296" s="54">
        <v>46150</v>
      </c>
      <c r="C296" s="49">
        <v>715</v>
      </c>
      <c r="D296" s="51">
        <v>3.5</v>
      </c>
      <c r="E296" s="49">
        <v>2</v>
      </c>
      <c r="F296" s="148" t="s">
        <v>257</v>
      </c>
      <c r="G296" s="148" t="s">
        <v>257</v>
      </c>
      <c r="H296" s="148">
        <v>7.0589000000000004</v>
      </c>
      <c r="I296" s="148" t="s">
        <v>257</v>
      </c>
      <c r="J296" s="148">
        <v>40277.105499999998</v>
      </c>
      <c r="K296" s="148">
        <v>690.71199999999999</v>
      </c>
      <c r="L296" s="148">
        <v>2901.8364000000001</v>
      </c>
      <c r="M296" s="148">
        <v>51.782200000000003</v>
      </c>
      <c r="N296" s="148">
        <v>13.1653</v>
      </c>
      <c r="O296" s="51">
        <v>120.4</v>
      </c>
      <c r="P296" s="49" t="s">
        <v>814</v>
      </c>
      <c r="Q296" s="49" t="s">
        <v>360</v>
      </c>
    </row>
    <row r="297" spans="1:17" ht="14.4" customHeight="1" x14ac:dyDescent="0.3">
      <c r="A297" s="49" t="s">
        <v>793</v>
      </c>
      <c r="B297" s="54">
        <v>46150</v>
      </c>
      <c r="C297" s="49">
        <v>716</v>
      </c>
      <c r="D297" s="51">
        <v>4</v>
      </c>
      <c r="E297" s="49">
        <v>1</v>
      </c>
      <c r="F297" s="148" t="s">
        <v>257</v>
      </c>
      <c r="G297" s="148" t="s">
        <v>257</v>
      </c>
      <c r="H297" s="148">
        <v>8.3644999999999996</v>
      </c>
      <c r="I297" s="148" t="s">
        <v>257</v>
      </c>
      <c r="J297" s="148">
        <v>40045.164100000002</v>
      </c>
      <c r="K297" s="148">
        <v>711.70529999999997</v>
      </c>
      <c r="L297" s="148">
        <v>3143.9385000000002</v>
      </c>
      <c r="M297" s="148">
        <v>44.704799999999999</v>
      </c>
      <c r="N297" s="148">
        <v>17.468699999999998</v>
      </c>
      <c r="O297" s="51">
        <v>120.76</v>
      </c>
      <c r="P297" s="49" t="s">
        <v>814</v>
      </c>
      <c r="Q297" s="49" t="s">
        <v>360</v>
      </c>
    </row>
    <row r="298" spans="1:17" ht="14.4" customHeight="1" x14ac:dyDescent="0.3">
      <c r="A298" s="49" t="s">
        <v>793</v>
      </c>
      <c r="B298" s="54">
        <v>46150</v>
      </c>
      <c r="C298" s="49">
        <v>717</v>
      </c>
      <c r="D298" s="51">
        <v>4</v>
      </c>
      <c r="E298" s="49">
        <v>2</v>
      </c>
      <c r="F298" s="148" t="s">
        <v>257</v>
      </c>
      <c r="G298" s="148" t="s">
        <v>257</v>
      </c>
      <c r="H298" s="148">
        <v>6.3766999999999996</v>
      </c>
      <c r="I298" s="148" t="s">
        <v>257</v>
      </c>
      <c r="J298" s="148">
        <v>39068.515599999999</v>
      </c>
      <c r="K298" s="148">
        <v>709.44029999999998</v>
      </c>
      <c r="L298" s="148">
        <v>3060.7384999999999</v>
      </c>
      <c r="M298" s="148">
        <v>44.695799999999998</v>
      </c>
      <c r="N298" s="148">
        <v>12.953799999999999</v>
      </c>
      <c r="O298" s="51">
        <v>120.47</v>
      </c>
      <c r="P298" s="49" t="s">
        <v>814</v>
      </c>
      <c r="Q298" s="49" t="s">
        <v>360</v>
      </c>
    </row>
    <row r="299" spans="1:17" ht="14.4" customHeight="1" x14ac:dyDescent="0.3">
      <c r="A299" s="46" t="s">
        <v>794</v>
      </c>
      <c r="B299" s="53">
        <v>46150</v>
      </c>
      <c r="C299" s="46">
        <v>718</v>
      </c>
      <c r="D299" s="52">
        <v>0</v>
      </c>
      <c r="E299" s="46">
        <v>1</v>
      </c>
      <c r="F299" s="147">
        <v>3.8405</v>
      </c>
      <c r="G299" s="147">
        <v>6.8437000000000001</v>
      </c>
      <c r="H299" s="147">
        <v>7.7114000000000003</v>
      </c>
      <c r="I299" s="147" t="s">
        <v>257</v>
      </c>
      <c r="J299" s="147">
        <v>71037.070300000007</v>
      </c>
      <c r="K299" s="147">
        <v>376.92869999999999</v>
      </c>
      <c r="L299" s="147">
        <v>27244.843799999999</v>
      </c>
      <c r="M299" s="147">
        <v>36.514699999999998</v>
      </c>
      <c r="N299" s="147">
        <v>7.4554999999999998</v>
      </c>
      <c r="O299" s="52">
        <v>120.76</v>
      </c>
      <c r="P299" s="46" t="s">
        <v>814</v>
      </c>
      <c r="Q299" s="46" t="s">
        <v>360</v>
      </c>
    </row>
    <row r="300" spans="1:17" ht="14.4" customHeight="1" x14ac:dyDescent="0.3">
      <c r="A300" s="46" t="s">
        <v>794</v>
      </c>
      <c r="B300" s="53">
        <v>46150</v>
      </c>
      <c r="C300" s="46">
        <v>719</v>
      </c>
      <c r="D300" s="52">
        <v>0</v>
      </c>
      <c r="E300" s="46">
        <v>2</v>
      </c>
      <c r="F300" s="147" t="s">
        <v>257</v>
      </c>
      <c r="G300" s="147">
        <v>7.4333</v>
      </c>
      <c r="H300" s="147">
        <v>9.9992000000000001</v>
      </c>
      <c r="I300" s="147" t="s">
        <v>257</v>
      </c>
      <c r="J300" s="147">
        <v>70451.960900000005</v>
      </c>
      <c r="K300" s="147">
        <v>379.92290000000003</v>
      </c>
      <c r="L300" s="147">
        <v>29168.347699999998</v>
      </c>
      <c r="M300" s="147">
        <v>36.414900000000003</v>
      </c>
      <c r="N300" s="147">
        <v>11.0951</v>
      </c>
      <c r="O300" s="52">
        <v>126.31</v>
      </c>
      <c r="P300" s="46" t="s">
        <v>814</v>
      </c>
      <c r="Q300" s="46" t="s">
        <v>360</v>
      </c>
    </row>
    <row r="301" spans="1:17" ht="14.4" customHeight="1" x14ac:dyDescent="0.3">
      <c r="A301" s="46" t="s">
        <v>794</v>
      </c>
      <c r="B301" s="53">
        <v>46150</v>
      </c>
      <c r="C301" s="46">
        <v>720</v>
      </c>
      <c r="D301" s="52">
        <v>0.5</v>
      </c>
      <c r="E301" s="46">
        <v>1</v>
      </c>
      <c r="F301" s="147">
        <v>4.8653000000000004</v>
      </c>
      <c r="G301" s="147">
        <v>2.4927999999999999</v>
      </c>
      <c r="H301" s="147">
        <v>9.8141999999999996</v>
      </c>
      <c r="I301" s="147" t="s">
        <v>257</v>
      </c>
      <c r="J301" s="147">
        <v>76735.718800000002</v>
      </c>
      <c r="K301" s="147">
        <v>526.26049999999998</v>
      </c>
      <c r="L301" s="147">
        <v>16580.710899999998</v>
      </c>
      <c r="M301" s="147">
        <v>45.341999999999999</v>
      </c>
      <c r="N301" s="147">
        <v>10.915699999999999</v>
      </c>
      <c r="O301" s="52">
        <v>126.09</v>
      </c>
      <c r="P301" s="46" t="s">
        <v>814</v>
      </c>
      <c r="Q301" s="46" t="s">
        <v>360</v>
      </c>
    </row>
    <row r="302" spans="1:17" ht="14.4" customHeight="1" x14ac:dyDescent="0.3">
      <c r="A302" s="46" t="s">
        <v>794</v>
      </c>
      <c r="B302" s="53">
        <v>46150</v>
      </c>
      <c r="C302" s="46">
        <v>721</v>
      </c>
      <c r="D302" s="52">
        <v>0.5</v>
      </c>
      <c r="E302" s="46">
        <v>2</v>
      </c>
      <c r="F302" s="147">
        <v>4.5449000000000002</v>
      </c>
      <c r="G302" s="147" t="s">
        <v>257</v>
      </c>
      <c r="H302" s="147">
        <v>10.662000000000001</v>
      </c>
      <c r="I302" s="147" t="s">
        <v>257</v>
      </c>
      <c r="J302" s="147">
        <v>71481.679699999993</v>
      </c>
      <c r="K302" s="147">
        <v>594.20420000000001</v>
      </c>
      <c r="L302" s="147">
        <v>18134.25</v>
      </c>
      <c r="M302" s="147">
        <v>53.095700000000001</v>
      </c>
      <c r="N302" s="147">
        <v>21.5974</v>
      </c>
      <c r="O302" s="52">
        <v>120.16</v>
      </c>
      <c r="P302" s="46" t="s">
        <v>814</v>
      </c>
      <c r="Q302" s="46" t="s">
        <v>360</v>
      </c>
    </row>
    <row r="303" spans="1:17" ht="14.4" customHeight="1" x14ac:dyDescent="0.3">
      <c r="A303" s="46" t="s">
        <v>794</v>
      </c>
      <c r="B303" s="53">
        <v>46150</v>
      </c>
      <c r="C303" s="46">
        <v>722</v>
      </c>
      <c r="D303" s="52">
        <v>1</v>
      </c>
      <c r="E303" s="46">
        <v>1</v>
      </c>
      <c r="F303" s="147">
        <v>4.6064999999999996</v>
      </c>
      <c r="G303" s="147">
        <v>1.9155</v>
      </c>
      <c r="H303" s="147">
        <v>8.9849999999999994</v>
      </c>
      <c r="I303" s="147" t="s">
        <v>257</v>
      </c>
      <c r="J303" s="147">
        <v>63788.843800000002</v>
      </c>
      <c r="K303" s="147">
        <v>764.86749999999995</v>
      </c>
      <c r="L303" s="147">
        <v>8216.8965000000007</v>
      </c>
      <c r="M303" s="147">
        <v>45.569699999999997</v>
      </c>
      <c r="N303" s="147">
        <v>11.1465</v>
      </c>
      <c r="O303" s="52">
        <v>120.65</v>
      </c>
      <c r="P303" s="46" t="s">
        <v>814</v>
      </c>
      <c r="Q303" s="46" t="s">
        <v>360</v>
      </c>
    </row>
    <row r="304" spans="1:17" ht="14.4" customHeight="1" x14ac:dyDescent="0.3">
      <c r="A304" s="46" t="s">
        <v>794</v>
      </c>
      <c r="B304" s="53">
        <v>46150</v>
      </c>
      <c r="C304" s="46">
        <v>723</v>
      </c>
      <c r="D304" s="52">
        <v>1</v>
      </c>
      <c r="E304" s="46">
        <v>2</v>
      </c>
      <c r="F304" s="147" t="s">
        <v>257</v>
      </c>
      <c r="G304" s="147">
        <v>3.0943999999999998</v>
      </c>
      <c r="H304" s="147">
        <v>8.0181000000000004</v>
      </c>
      <c r="I304" s="147" t="s">
        <v>257</v>
      </c>
      <c r="J304" s="147">
        <v>58439.097699999998</v>
      </c>
      <c r="K304" s="147">
        <v>739.80319999999995</v>
      </c>
      <c r="L304" s="147">
        <v>6801.0391</v>
      </c>
      <c r="M304" s="147">
        <v>49.6203</v>
      </c>
      <c r="N304" s="147">
        <v>11.8414</v>
      </c>
      <c r="O304" s="52">
        <v>120.47</v>
      </c>
      <c r="P304" s="46" t="s">
        <v>814</v>
      </c>
      <c r="Q304" s="46" t="s">
        <v>360</v>
      </c>
    </row>
    <row r="305" spans="1:17" ht="14.4" customHeight="1" x14ac:dyDescent="0.3">
      <c r="A305" s="46" t="s">
        <v>794</v>
      </c>
      <c r="B305" s="53">
        <v>46150</v>
      </c>
      <c r="C305" s="46">
        <v>724</v>
      </c>
      <c r="D305" s="52">
        <v>1.5</v>
      </c>
      <c r="E305" s="46">
        <v>1</v>
      </c>
      <c r="F305" s="147">
        <v>3.3214000000000001</v>
      </c>
      <c r="G305" s="147">
        <v>4.4219999999999997</v>
      </c>
      <c r="H305" s="147">
        <v>5.0823</v>
      </c>
      <c r="I305" s="147" t="s">
        <v>257</v>
      </c>
      <c r="J305" s="147">
        <v>55557.128900000003</v>
      </c>
      <c r="K305" s="147">
        <v>786.71849999999995</v>
      </c>
      <c r="L305" s="147">
        <v>4098.8926000000001</v>
      </c>
      <c r="M305" s="147">
        <v>47.847900000000003</v>
      </c>
      <c r="N305" s="147">
        <v>16.552700000000002</v>
      </c>
      <c r="O305" s="52">
        <v>120.43</v>
      </c>
      <c r="P305" s="46" t="s">
        <v>814</v>
      </c>
      <c r="Q305" s="46" t="s">
        <v>360</v>
      </c>
    </row>
    <row r="306" spans="1:17" ht="14.4" customHeight="1" x14ac:dyDescent="0.3">
      <c r="A306" s="46" t="s">
        <v>794</v>
      </c>
      <c r="B306" s="53">
        <v>46150</v>
      </c>
      <c r="C306" s="46">
        <v>725</v>
      </c>
      <c r="D306" s="52">
        <v>1.5</v>
      </c>
      <c r="E306" s="46">
        <v>2</v>
      </c>
      <c r="F306" s="147" t="s">
        <v>257</v>
      </c>
      <c r="G306" s="147">
        <v>2.4550000000000001</v>
      </c>
      <c r="H306" s="147">
        <v>8.9756999999999998</v>
      </c>
      <c r="I306" s="147" t="s">
        <v>257</v>
      </c>
      <c r="J306" s="147">
        <v>52890.066400000003</v>
      </c>
      <c r="K306" s="147">
        <v>697.08169999999996</v>
      </c>
      <c r="L306" s="147">
        <v>3909.6929</v>
      </c>
      <c r="M306" s="147">
        <v>49.012099999999997</v>
      </c>
      <c r="N306" s="147">
        <v>11.267899999999999</v>
      </c>
      <c r="O306" s="52">
        <v>120.27</v>
      </c>
      <c r="P306" s="46" t="s">
        <v>814</v>
      </c>
      <c r="Q306" s="46" t="s">
        <v>360</v>
      </c>
    </row>
    <row r="307" spans="1:17" ht="14.4" customHeight="1" x14ac:dyDescent="0.3">
      <c r="A307" s="46" t="s">
        <v>794</v>
      </c>
      <c r="B307" s="53">
        <v>46150</v>
      </c>
      <c r="C307" s="46">
        <v>726</v>
      </c>
      <c r="D307" s="52">
        <v>2</v>
      </c>
      <c r="E307" s="46">
        <v>1</v>
      </c>
      <c r="F307" s="147">
        <v>4.9705000000000004</v>
      </c>
      <c r="G307" s="147">
        <v>3.7585999999999999</v>
      </c>
      <c r="H307" s="147">
        <v>7.8655999999999997</v>
      </c>
      <c r="I307" s="147" t="s">
        <v>257</v>
      </c>
      <c r="J307" s="147">
        <v>51057.707000000002</v>
      </c>
      <c r="K307" s="147">
        <v>652.73720000000003</v>
      </c>
      <c r="L307" s="147">
        <v>3716.0535</v>
      </c>
      <c r="M307" s="147">
        <v>44.612699999999997</v>
      </c>
      <c r="N307" s="147">
        <v>21.7803</v>
      </c>
      <c r="O307" s="52">
        <v>120.18</v>
      </c>
      <c r="P307" s="46" t="s">
        <v>814</v>
      </c>
      <c r="Q307" s="46" t="s">
        <v>360</v>
      </c>
    </row>
    <row r="308" spans="1:17" ht="14.4" customHeight="1" x14ac:dyDescent="0.3">
      <c r="A308" s="46" t="s">
        <v>794</v>
      </c>
      <c r="B308" s="53">
        <v>46150</v>
      </c>
      <c r="C308" s="46">
        <v>727</v>
      </c>
      <c r="D308" s="52">
        <v>2</v>
      </c>
      <c r="E308" s="46">
        <v>2</v>
      </c>
      <c r="F308" s="147">
        <v>2.9613999999999998</v>
      </c>
      <c r="G308" s="147">
        <v>3.7265999999999999</v>
      </c>
      <c r="H308" s="147">
        <v>6.8014999999999999</v>
      </c>
      <c r="I308" s="147" t="s">
        <v>257</v>
      </c>
      <c r="J308" s="147">
        <v>51001.906199999998</v>
      </c>
      <c r="K308" s="147">
        <v>660.4348</v>
      </c>
      <c r="L308" s="147">
        <v>3821.4796999999999</v>
      </c>
      <c r="M308" s="147">
        <v>51.744199999999999</v>
      </c>
      <c r="N308" s="147">
        <v>27.063400000000001</v>
      </c>
      <c r="O308" s="52">
        <v>120.55</v>
      </c>
      <c r="P308" s="46" t="s">
        <v>814</v>
      </c>
      <c r="Q308" s="46" t="s">
        <v>360</v>
      </c>
    </row>
    <row r="309" spans="1:17" ht="14.4" customHeight="1" x14ac:dyDescent="0.3">
      <c r="A309" s="46" t="s">
        <v>794</v>
      </c>
      <c r="B309" s="53">
        <v>46150</v>
      </c>
      <c r="C309" s="46">
        <v>728</v>
      </c>
      <c r="D309" s="52">
        <v>2.5</v>
      </c>
      <c r="E309" s="46">
        <v>1</v>
      </c>
      <c r="F309" s="147" t="s">
        <v>257</v>
      </c>
      <c r="G309" s="147">
        <v>2.0630000000000002</v>
      </c>
      <c r="H309" s="147">
        <v>7.4066999999999998</v>
      </c>
      <c r="I309" s="147" t="s">
        <v>257</v>
      </c>
      <c r="J309" s="147">
        <v>51407.054700000001</v>
      </c>
      <c r="K309" s="147">
        <v>489.7056</v>
      </c>
      <c r="L309" s="147">
        <v>5917.6187</v>
      </c>
      <c r="M309" s="147">
        <v>39.019399999999997</v>
      </c>
      <c r="N309" s="147">
        <v>11.424099999999999</v>
      </c>
      <c r="O309" s="52">
        <v>120.72</v>
      </c>
      <c r="P309" s="46" t="s">
        <v>814</v>
      </c>
      <c r="Q309" s="46" t="s">
        <v>360</v>
      </c>
    </row>
    <row r="310" spans="1:17" ht="14.4" customHeight="1" x14ac:dyDescent="0.3">
      <c r="A310" s="46" t="s">
        <v>794</v>
      </c>
      <c r="B310" s="53">
        <v>46150</v>
      </c>
      <c r="C310" s="46">
        <v>730</v>
      </c>
      <c r="D310" s="52">
        <v>2.5</v>
      </c>
      <c r="E310" s="46">
        <v>2</v>
      </c>
      <c r="F310" s="147" t="s">
        <v>257</v>
      </c>
      <c r="G310" s="147">
        <v>1.2648999999999999</v>
      </c>
      <c r="H310" s="147">
        <v>6.7111999999999998</v>
      </c>
      <c r="I310" s="147" t="s">
        <v>257</v>
      </c>
      <c r="J310" s="147">
        <v>49732.132799999999</v>
      </c>
      <c r="K310" s="147">
        <v>439.31020000000001</v>
      </c>
      <c r="L310" s="147">
        <v>7652.3022000000001</v>
      </c>
      <c r="M310" s="147">
        <v>41.148699999999998</v>
      </c>
      <c r="N310" s="147">
        <v>8.5534999999999997</v>
      </c>
      <c r="O310" s="52">
        <v>120.19</v>
      </c>
      <c r="P310" s="46" t="s">
        <v>814</v>
      </c>
      <c r="Q310" s="46" t="s">
        <v>360</v>
      </c>
    </row>
    <row r="311" spans="1:17" ht="14.4" customHeight="1" x14ac:dyDescent="0.3">
      <c r="A311" s="46" t="s">
        <v>794</v>
      </c>
      <c r="B311" s="53">
        <v>46150</v>
      </c>
      <c r="C311" s="46">
        <v>731</v>
      </c>
      <c r="D311" s="52">
        <v>3</v>
      </c>
      <c r="E311" s="46">
        <v>1</v>
      </c>
      <c r="F311" s="147">
        <v>26.542200000000001</v>
      </c>
      <c r="G311" s="147">
        <v>3.2770000000000001</v>
      </c>
      <c r="H311" s="147">
        <v>7.9134000000000002</v>
      </c>
      <c r="I311" s="147" t="s">
        <v>257</v>
      </c>
      <c r="J311" s="147">
        <v>65078.570299999999</v>
      </c>
      <c r="K311" s="147">
        <v>511.92</v>
      </c>
      <c r="L311" s="147">
        <v>10039.679700000001</v>
      </c>
      <c r="M311" s="147">
        <v>48.014800000000001</v>
      </c>
      <c r="N311" s="147">
        <v>16.307700000000001</v>
      </c>
      <c r="O311" s="52">
        <v>120.32</v>
      </c>
      <c r="P311" s="46" t="s">
        <v>814</v>
      </c>
      <c r="Q311" s="46" t="s">
        <v>360</v>
      </c>
    </row>
    <row r="312" spans="1:17" ht="14.4" customHeight="1" x14ac:dyDescent="0.3">
      <c r="A312" s="46" t="s">
        <v>794</v>
      </c>
      <c r="B312" s="53">
        <v>46150</v>
      </c>
      <c r="C312" s="46">
        <v>732</v>
      </c>
      <c r="D312" s="52">
        <v>3</v>
      </c>
      <c r="E312" s="46">
        <v>2</v>
      </c>
      <c r="F312" s="147">
        <v>13.4244</v>
      </c>
      <c r="G312" s="147">
        <v>2.0882000000000001</v>
      </c>
      <c r="H312" s="147">
        <v>6.7224000000000004</v>
      </c>
      <c r="I312" s="147" t="s">
        <v>257</v>
      </c>
      <c r="J312" s="147">
        <v>64384.289100000002</v>
      </c>
      <c r="K312" s="147">
        <v>470.44200000000001</v>
      </c>
      <c r="L312" s="147">
        <v>9090.8809000000001</v>
      </c>
      <c r="M312" s="147">
        <v>43.9009</v>
      </c>
      <c r="N312" s="147">
        <v>14.6357</v>
      </c>
      <c r="O312" s="52">
        <v>126.33</v>
      </c>
      <c r="P312" s="46" t="s">
        <v>814</v>
      </c>
      <c r="Q312" s="46" t="s">
        <v>360</v>
      </c>
    </row>
    <row r="313" spans="1:17" ht="14.4" customHeight="1" x14ac:dyDescent="0.3">
      <c r="A313" s="46" t="s">
        <v>794</v>
      </c>
      <c r="B313" s="53">
        <v>46150</v>
      </c>
      <c r="C313" s="46">
        <v>733</v>
      </c>
      <c r="D313" s="52">
        <v>3</v>
      </c>
      <c r="E313" s="46">
        <v>3</v>
      </c>
      <c r="F313" s="147">
        <v>15.664199999999999</v>
      </c>
      <c r="G313" s="147">
        <v>3.0525000000000002</v>
      </c>
      <c r="H313" s="147">
        <v>6.9253</v>
      </c>
      <c r="I313" s="147" t="s">
        <v>257</v>
      </c>
      <c r="J313" s="147">
        <v>51665.011700000003</v>
      </c>
      <c r="K313" s="147">
        <v>522.75980000000004</v>
      </c>
      <c r="L313" s="147">
        <v>6317.9141</v>
      </c>
      <c r="M313" s="147">
        <v>39.299999999999997</v>
      </c>
      <c r="N313" s="147">
        <v>6.7899000000000003</v>
      </c>
      <c r="O313" s="52">
        <v>120.44</v>
      </c>
      <c r="P313" s="46" t="s">
        <v>814</v>
      </c>
      <c r="Q313" s="46" t="s">
        <v>360</v>
      </c>
    </row>
    <row r="314" spans="1:17" ht="14.4" customHeight="1" x14ac:dyDescent="0.3">
      <c r="A314" s="46" t="s">
        <v>794</v>
      </c>
      <c r="B314" s="53">
        <v>46150</v>
      </c>
      <c r="C314" s="46">
        <v>734</v>
      </c>
      <c r="D314" s="52">
        <v>3.5</v>
      </c>
      <c r="E314" s="46">
        <v>1</v>
      </c>
      <c r="F314" s="147">
        <v>33.762900000000002</v>
      </c>
      <c r="G314" s="147">
        <v>2.5468000000000002</v>
      </c>
      <c r="H314" s="147">
        <v>8.3414999999999999</v>
      </c>
      <c r="I314" s="147" t="s">
        <v>257</v>
      </c>
      <c r="J314" s="147">
        <v>80191.468800000002</v>
      </c>
      <c r="K314" s="147">
        <v>532.85829999999999</v>
      </c>
      <c r="L314" s="147">
        <v>6704.1270000000004</v>
      </c>
      <c r="M314" s="147">
        <v>52.710700000000003</v>
      </c>
      <c r="N314" s="147">
        <v>45.848399999999998</v>
      </c>
      <c r="O314" s="52">
        <v>120.94</v>
      </c>
      <c r="P314" s="46" t="s">
        <v>814</v>
      </c>
      <c r="Q314" s="46" t="s">
        <v>360</v>
      </c>
    </row>
    <row r="315" spans="1:17" ht="14.4" customHeight="1" x14ac:dyDescent="0.3">
      <c r="A315" s="46" t="s">
        <v>794</v>
      </c>
      <c r="B315" s="53">
        <v>46150</v>
      </c>
      <c r="C315" s="46">
        <v>735</v>
      </c>
      <c r="D315" s="52">
        <v>3.5</v>
      </c>
      <c r="E315" s="46">
        <v>2</v>
      </c>
      <c r="F315" s="147">
        <v>32.714199999999998</v>
      </c>
      <c r="G315" s="147">
        <v>4.8464</v>
      </c>
      <c r="H315" s="147">
        <v>6.0315000000000003</v>
      </c>
      <c r="I315" s="147" t="s">
        <v>257</v>
      </c>
      <c r="J315" s="147">
        <v>80806.757800000007</v>
      </c>
      <c r="K315" s="147">
        <v>509.14440000000002</v>
      </c>
      <c r="L315" s="147">
        <v>6782.6211000000003</v>
      </c>
      <c r="M315" s="147">
        <v>55.561599999999999</v>
      </c>
      <c r="N315" s="147">
        <v>39.139200000000002</v>
      </c>
      <c r="O315" s="52">
        <v>120.43</v>
      </c>
      <c r="P315" s="46" t="s">
        <v>814</v>
      </c>
      <c r="Q315" s="46" t="s">
        <v>360</v>
      </c>
    </row>
    <row r="316" spans="1:17" ht="14.4" customHeight="1" x14ac:dyDescent="0.3">
      <c r="A316" s="46" t="s">
        <v>794</v>
      </c>
      <c r="B316" s="53">
        <v>46150</v>
      </c>
      <c r="C316" s="46">
        <v>736</v>
      </c>
      <c r="D316" s="52">
        <v>4</v>
      </c>
      <c r="E316" s="46">
        <v>1</v>
      </c>
      <c r="F316" s="147">
        <v>5.7588999999999997</v>
      </c>
      <c r="G316" s="147">
        <v>6.7111000000000001</v>
      </c>
      <c r="H316" s="147">
        <v>9.2283000000000008</v>
      </c>
      <c r="I316" s="147" t="s">
        <v>257</v>
      </c>
      <c r="J316" s="147">
        <v>58311.449200000003</v>
      </c>
      <c r="K316" s="147">
        <v>645.57759999999996</v>
      </c>
      <c r="L316" s="147">
        <v>8496.1689000000006</v>
      </c>
      <c r="M316" s="147">
        <v>68.281199999999998</v>
      </c>
      <c r="N316" s="147">
        <v>17.402100000000001</v>
      </c>
      <c r="O316" s="52">
        <v>120.63</v>
      </c>
      <c r="P316" s="46" t="s">
        <v>814</v>
      </c>
      <c r="Q316" s="46" t="s">
        <v>360</v>
      </c>
    </row>
    <row r="317" spans="1:17" ht="14.4" customHeight="1" x14ac:dyDescent="0.3">
      <c r="A317" s="46" t="s">
        <v>794</v>
      </c>
      <c r="B317" s="53">
        <v>46150</v>
      </c>
      <c r="C317" s="46">
        <v>737</v>
      </c>
      <c r="D317" s="52">
        <v>4</v>
      </c>
      <c r="E317" s="46">
        <v>2</v>
      </c>
      <c r="F317" s="147">
        <v>2.9672000000000001</v>
      </c>
      <c r="G317" s="147">
        <v>4.0308999999999999</v>
      </c>
      <c r="H317" s="147">
        <v>10.8741</v>
      </c>
      <c r="I317" s="147" t="s">
        <v>257</v>
      </c>
      <c r="J317" s="147">
        <v>58318.523399999998</v>
      </c>
      <c r="K317" s="147">
        <v>627.91420000000005</v>
      </c>
      <c r="L317" s="147">
        <v>8736.9315999999999</v>
      </c>
      <c r="M317" s="147">
        <v>66.248999999999995</v>
      </c>
      <c r="N317" s="147">
        <v>20.215699999999998</v>
      </c>
      <c r="O317" s="52">
        <v>126.22</v>
      </c>
      <c r="P317" s="46" t="s">
        <v>814</v>
      </c>
      <c r="Q317" s="46" t="s">
        <v>360</v>
      </c>
    </row>
    <row r="318" spans="1:17" ht="14.4" customHeight="1" x14ac:dyDescent="0.3">
      <c r="A318" s="49" t="s">
        <v>796</v>
      </c>
      <c r="B318" s="54">
        <v>46150</v>
      </c>
      <c r="C318" s="49">
        <v>738</v>
      </c>
      <c r="D318" s="51">
        <v>0</v>
      </c>
      <c r="E318" s="49">
        <v>1</v>
      </c>
      <c r="F318" s="148" t="s">
        <v>257</v>
      </c>
      <c r="G318" s="148">
        <v>1.2424999999999999</v>
      </c>
      <c r="H318" s="148">
        <v>6.6444999999999999</v>
      </c>
      <c r="I318" s="148" t="s">
        <v>257</v>
      </c>
      <c r="J318" s="148">
        <v>34683.410199999998</v>
      </c>
      <c r="K318" s="148">
        <v>1481.6144999999999</v>
      </c>
      <c r="L318" s="148">
        <v>222.23179999999999</v>
      </c>
      <c r="M318" s="148">
        <v>73.825100000000006</v>
      </c>
      <c r="N318" s="148" t="s">
        <v>257</v>
      </c>
      <c r="O318" s="51">
        <v>120.77</v>
      </c>
      <c r="P318" s="49" t="s">
        <v>814</v>
      </c>
      <c r="Q318" s="49" t="s">
        <v>360</v>
      </c>
    </row>
    <row r="319" spans="1:17" ht="14.4" customHeight="1" x14ac:dyDescent="0.3">
      <c r="A319" s="49" t="s">
        <v>796</v>
      </c>
      <c r="B319" s="54">
        <v>46150</v>
      </c>
      <c r="C319" s="49">
        <v>739</v>
      </c>
      <c r="D319" s="51">
        <v>0</v>
      </c>
      <c r="E319" s="49">
        <v>2</v>
      </c>
      <c r="F319" s="148" t="s">
        <v>257</v>
      </c>
      <c r="G319" s="148" t="s">
        <v>257</v>
      </c>
      <c r="H319" s="148">
        <v>4.1097000000000001</v>
      </c>
      <c r="I319" s="148" t="s">
        <v>257</v>
      </c>
      <c r="J319" s="148">
        <v>31279.666000000001</v>
      </c>
      <c r="K319" s="148">
        <v>953.601</v>
      </c>
      <c r="L319" s="148">
        <v>320.3938</v>
      </c>
      <c r="M319" s="148">
        <v>61.368400000000001</v>
      </c>
      <c r="N319" s="148" t="s">
        <v>257</v>
      </c>
      <c r="O319" s="51">
        <v>120.45</v>
      </c>
      <c r="P319" s="49" t="s">
        <v>814</v>
      </c>
      <c r="Q319" s="49" t="s">
        <v>360</v>
      </c>
    </row>
    <row r="320" spans="1:17" ht="14.4" customHeight="1" x14ac:dyDescent="0.3">
      <c r="A320" s="49" t="s">
        <v>796</v>
      </c>
      <c r="B320" s="54">
        <v>46150</v>
      </c>
      <c r="C320" s="49">
        <v>740</v>
      </c>
      <c r="D320" s="51">
        <v>0.5</v>
      </c>
      <c r="E320" s="49">
        <v>1</v>
      </c>
      <c r="F320" s="148" t="s">
        <v>257</v>
      </c>
      <c r="G320" s="148">
        <v>8.2722999999999995</v>
      </c>
      <c r="H320" s="148">
        <v>6.7789999999999999</v>
      </c>
      <c r="I320" s="148" t="s">
        <v>257</v>
      </c>
      <c r="J320" s="148">
        <v>37160.843800000002</v>
      </c>
      <c r="K320" s="148">
        <v>793.13679999999999</v>
      </c>
      <c r="L320" s="148">
        <v>1365.1195</v>
      </c>
      <c r="M320" s="148">
        <v>50.969299999999997</v>
      </c>
      <c r="N320" s="148">
        <v>9.6582000000000008</v>
      </c>
      <c r="O320" s="51">
        <v>126.25</v>
      </c>
      <c r="P320" s="49" t="s">
        <v>814</v>
      </c>
      <c r="Q320" s="49" t="s">
        <v>360</v>
      </c>
    </row>
    <row r="321" spans="1:17" ht="14.4" customHeight="1" x14ac:dyDescent="0.3">
      <c r="A321" s="49" t="s">
        <v>796</v>
      </c>
      <c r="B321" s="54">
        <v>46150</v>
      </c>
      <c r="C321" s="49">
        <v>741</v>
      </c>
      <c r="D321" s="51">
        <v>0.5</v>
      </c>
      <c r="E321" s="49">
        <v>2</v>
      </c>
      <c r="F321" s="148" t="s">
        <v>257</v>
      </c>
      <c r="G321" s="148">
        <v>9.0343999999999998</v>
      </c>
      <c r="H321" s="148">
        <v>8.2484000000000002</v>
      </c>
      <c r="I321" s="148" t="s">
        <v>257</v>
      </c>
      <c r="J321" s="148">
        <v>38567.277300000002</v>
      </c>
      <c r="K321" s="148">
        <v>720.38459999999998</v>
      </c>
      <c r="L321" s="148">
        <v>1224.2474</v>
      </c>
      <c r="M321" s="148">
        <v>53.323399999999999</v>
      </c>
      <c r="N321" s="148">
        <v>9.2920999999999996</v>
      </c>
      <c r="O321" s="51">
        <v>120.77</v>
      </c>
      <c r="P321" s="49" t="s">
        <v>814</v>
      </c>
      <c r="Q321" s="49" t="s">
        <v>360</v>
      </c>
    </row>
    <row r="322" spans="1:17" ht="14.4" customHeight="1" x14ac:dyDescent="0.3">
      <c r="A322" s="49" t="s">
        <v>796</v>
      </c>
      <c r="B322" s="54">
        <v>46150</v>
      </c>
      <c r="C322" s="49">
        <v>742</v>
      </c>
      <c r="D322" s="51">
        <v>1</v>
      </c>
      <c r="E322" s="49">
        <v>1</v>
      </c>
      <c r="F322" s="148">
        <v>5.9543999999999997</v>
      </c>
      <c r="G322" s="148">
        <v>8.2903000000000002</v>
      </c>
      <c r="H322" s="148">
        <v>7.8</v>
      </c>
      <c r="I322" s="148" t="s">
        <v>257</v>
      </c>
      <c r="J322" s="148">
        <v>36423.867200000001</v>
      </c>
      <c r="K322" s="148">
        <v>537.01610000000005</v>
      </c>
      <c r="L322" s="148">
        <v>546.44749999999999</v>
      </c>
      <c r="M322" s="148">
        <v>41.98</v>
      </c>
      <c r="N322" s="148">
        <v>15.298500000000001</v>
      </c>
      <c r="O322" s="51">
        <v>126.4</v>
      </c>
      <c r="P322" s="49" t="s">
        <v>814</v>
      </c>
      <c r="Q322" s="49" t="s">
        <v>360</v>
      </c>
    </row>
    <row r="323" spans="1:17" ht="14.4" customHeight="1" x14ac:dyDescent="0.3">
      <c r="A323" s="49" t="s">
        <v>796</v>
      </c>
      <c r="B323" s="54">
        <v>46150</v>
      </c>
      <c r="C323" s="49">
        <v>743</v>
      </c>
      <c r="D323" s="51">
        <v>1</v>
      </c>
      <c r="E323" s="49">
        <v>2</v>
      </c>
      <c r="F323" s="148" t="s">
        <v>257</v>
      </c>
      <c r="G323" s="148">
        <v>6.5366</v>
      </c>
      <c r="H323" s="148">
        <v>8.0404999999999998</v>
      </c>
      <c r="I323" s="148" t="s">
        <v>257</v>
      </c>
      <c r="J323" s="148">
        <v>35304.132799999999</v>
      </c>
      <c r="K323" s="148">
        <v>529.18589999999995</v>
      </c>
      <c r="L323" s="148">
        <v>652.23770000000002</v>
      </c>
      <c r="M323" s="148">
        <v>41.970199999999998</v>
      </c>
      <c r="N323" s="148">
        <v>14.245699999999999</v>
      </c>
      <c r="O323" s="51">
        <v>120.67</v>
      </c>
      <c r="P323" s="49" t="s">
        <v>814</v>
      </c>
      <c r="Q323" s="49" t="s">
        <v>360</v>
      </c>
    </row>
    <row r="324" spans="1:17" ht="14.4" customHeight="1" x14ac:dyDescent="0.3">
      <c r="A324" s="49" t="s">
        <v>796</v>
      </c>
      <c r="B324" s="54">
        <v>46150</v>
      </c>
      <c r="C324" s="49">
        <v>744</v>
      </c>
      <c r="D324" s="51">
        <v>1.5</v>
      </c>
      <c r="E324" s="49">
        <v>1</v>
      </c>
      <c r="F324" s="148" t="s">
        <v>257</v>
      </c>
      <c r="G324" s="148">
        <v>3.9119999999999999</v>
      </c>
      <c r="H324" s="148">
        <v>7.6211000000000002</v>
      </c>
      <c r="I324" s="148" t="s">
        <v>257</v>
      </c>
      <c r="J324" s="148">
        <v>35981</v>
      </c>
      <c r="K324" s="148">
        <v>478.63580000000002</v>
      </c>
      <c r="L324" s="148">
        <v>391.68920000000003</v>
      </c>
      <c r="M324" s="148">
        <v>41.128799999999998</v>
      </c>
      <c r="N324" s="148">
        <v>7.1067999999999998</v>
      </c>
      <c r="O324" s="51">
        <v>120.69</v>
      </c>
      <c r="P324" s="49" t="s">
        <v>814</v>
      </c>
      <c r="Q324" s="49" t="s">
        <v>360</v>
      </c>
    </row>
    <row r="325" spans="1:17" ht="14.4" customHeight="1" x14ac:dyDescent="0.3">
      <c r="A325" s="49" t="s">
        <v>796</v>
      </c>
      <c r="B325" s="54">
        <v>46150</v>
      </c>
      <c r="C325" s="49">
        <v>745</v>
      </c>
      <c r="D325" s="51">
        <v>1.5</v>
      </c>
      <c r="E325" s="49">
        <v>2</v>
      </c>
      <c r="F325" s="148" t="s">
        <v>257</v>
      </c>
      <c r="G325" s="148">
        <v>4.3795999999999999</v>
      </c>
      <c r="H325" s="148">
        <v>5.5534999999999997</v>
      </c>
      <c r="I325" s="148" t="s">
        <v>257</v>
      </c>
      <c r="J325" s="148">
        <v>36107.695299999999</v>
      </c>
      <c r="K325" s="148">
        <v>512.27829999999994</v>
      </c>
      <c r="L325" s="148">
        <v>326.2038</v>
      </c>
      <c r="M325" s="148">
        <v>46.3566</v>
      </c>
      <c r="N325" s="148">
        <v>6.7232000000000003</v>
      </c>
      <c r="O325" s="51">
        <v>120.48</v>
      </c>
      <c r="P325" s="49" t="s">
        <v>814</v>
      </c>
      <c r="Q325" s="49" t="s">
        <v>360</v>
      </c>
    </row>
    <row r="326" spans="1:17" ht="14.4" customHeight="1" x14ac:dyDescent="0.3">
      <c r="A326" s="49" t="s">
        <v>796</v>
      </c>
      <c r="B326" s="54">
        <v>46150</v>
      </c>
      <c r="C326" s="49">
        <v>746</v>
      </c>
      <c r="D326" s="51">
        <v>2</v>
      </c>
      <c r="E326" s="49">
        <v>1</v>
      </c>
      <c r="F326" s="148" t="s">
        <v>257</v>
      </c>
      <c r="G326" s="148">
        <v>7.2084000000000001</v>
      </c>
      <c r="H326" s="148">
        <v>8.0905000000000005</v>
      </c>
      <c r="I326" s="148" t="s">
        <v>257</v>
      </c>
      <c r="J326" s="148">
        <v>35864.011700000003</v>
      </c>
      <c r="K326" s="148">
        <v>552.54390000000001</v>
      </c>
      <c r="L326" s="148">
        <v>706.25059999999996</v>
      </c>
      <c r="M326" s="148">
        <v>52.268999999999998</v>
      </c>
      <c r="N326" s="148">
        <v>11.908799999999999</v>
      </c>
      <c r="O326" s="51">
        <v>120.56</v>
      </c>
      <c r="P326" s="49" t="s">
        <v>814</v>
      </c>
      <c r="Q326" s="49" t="s">
        <v>360</v>
      </c>
    </row>
    <row r="327" spans="1:17" ht="14.4" customHeight="1" x14ac:dyDescent="0.3">
      <c r="A327" s="49" t="s">
        <v>796</v>
      </c>
      <c r="B327" s="54">
        <v>46150</v>
      </c>
      <c r="C327" s="49">
        <v>747</v>
      </c>
      <c r="D327" s="51">
        <v>2</v>
      </c>
      <c r="E327" s="49">
        <v>2</v>
      </c>
      <c r="F327" s="148" t="s">
        <v>257</v>
      </c>
      <c r="G327" s="148">
        <v>5.2516999999999996</v>
      </c>
      <c r="H327" s="148">
        <v>5.9626999999999999</v>
      </c>
      <c r="I327" s="148" t="s">
        <v>257</v>
      </c>
      <c r="J327" s="148">
        <v>35681.945299999999</v>
      </c>
      <c r="K327" s="148">
        <v>435.59739999999999</v>
      </c>
      <c r="L327" s="148">
        <v>446.28930000000003</v>
      </c>
      <c r="M327" s="148">
        <v>42.466900000000003</v>
      </c>
      <c r="N327" s="148">
        <v>9.3163999999999998</v>
      </c>
      <c r="O327" s="51">
        <v>120.08</v>
      </c>
      <c r="P327" s="49" t="s">
        <v>814</v>
      </c>
      <c r="Q327" s="49" t="s">
        <v>360</v>
      </c>
    </row>
    <row r="328" spans="1:17" ht="14.4" customHeight="1" x14ac:dyDescent="0.3">
      <c r="A328" s="49" t="s">
        <v>796</v>
      </c>
      <c r="B328" s="54">
        <v>46150</v>
      </c>
      <c r="C328" s="49">
        <v>748</v>
      </c>
      <c r="D328" s="51">
        <v>2.5</v>
      </c>
      <c r="E328" s="49">
        <v>1</v>
      </c>
      <c r="F328" s="148" t="s">
        <v>257</v>
      </c>
      <c r="G328" s="148" t="s">
        <v>257</v>
      </c>
      <c r="H328" s="148">
        <v>6.6218000000000004</v>
      </c>
      <c r="I328" s="148" t="s">
        <v>257</v>
      </c>
      <c r="J328" s="148">
        <v>34536.140599999999</v>
      </c>
      <c r="K328" s="148">
        <v>460.59679999999997</v>
      </c>
      <c r="L328" s="148">
        <v>331.57670000000002</v>
      </c>
      <c r="M328" s="148">
        <v>40.847900000000003</v>
      </c>
      <c r="N328" s="148" t="s">
        <v>257</v>
      </c>
      <c r="O328" s="51">
        <v>120.58</v>
      </c>
      <c r="P328" s="49" t="s">
        <v>814</v>
      </c>
      <c r="Q328" s="49" t="s">
        <v>360</v>
      </c>
    </row>
    <row r="329" spans="1:17" ht="14.4" customHeight="1" x14ac:dyDescent="0.3">
      <c r="A329" s="49" t="s">
        <v>796</v>
      </c>
      <c r="B329" s="54">
        <v>46150</v>
      </c>
      <c r="C329" s="49">
        <v>749</v>
      </c>
      <c r="D329" s="51">
        <v>2.5</v>
      </c>
      <c r="E329" s="49">
        <v>2</v>
      </c>
      <c r="F329" s="148" t="s">
        <v>257</v>
      </c>
      <c r="G329" s="148" t="s">
        <v>257</v>
      </c>
      <c r="H329" s="148">
        <v>5.5237999999999996</v>
      </c>
      <c r="I329" s="148" t="s">
        <v>257</v>
      </c>
      <c r="J329" s="148">
        <v>33633.886700000003</v>
      </c>
      <c r="K329" s="148">
        <v>484.7706</v>
      </c>
      <c r="L329" s="148">
        <v>372.56470000000002</v>
      </c>
      <c r="M329" s="148">
        <v>39.539700000000003</v>
      </c>
      <c r="N329" s="148">
        <v>7.4664999999999999</v>
      </c>
      <c r="O329" s="51">
        <v>120.3</v>
      </c>
      <c r="P329" s="49" t="s">
        <v>814</v>
      </c>
      <c r="Q329" s="49" t="s">
        <v>360</v>
      </c>
    </row>
    <row r="330" spans="1:17" ht="14.4" customHeight="1" x14ac:dyDescent="0.3">
      <c r="A330" s="49" t="s">
        <v>796</v>
      </c>
      <c r="B330" s="54">
        <v>46150</v>
      </c>
      <c r="C330" s="49">
        <v>750</v>
      </c>
      <c r="D330" s="51">
        <v>3</v>
      </c>
      <c r="E330" s="49">
        <v>1</v>
      </c>
      <c r="F330" s="148" t="s">
        <v>257</v>
      </c>
      <c r="G330" s="148" t="s">
        <v>257</v>
      </c>
      <c r="H330" s="148">
        <v>4.4581</v>
      </c>
      <c r="I330" s="148" t="s">
        <v>257</v>
      </c>
      <c r="J330" s="148">
        <v>33055.304700000001</v>
      </c>
      <c r="K330" s="148">
        <v>529.77290000000005</v>
      </c>
      <c r="L330" s="148">
        <v>375.13889999999998</v>
      </c>
      <c r="M330" s="148">
        <v>39.449399999999997</v>
      </c>
      <c r="N330" s="148" t="s">
        <v>257</v>
      </c>
      <c r="O330" s="51">
        <v>120.42</v>
      </c>
      <c r="P330" s="49" t="s">
        <v>814</v>
      </c>
      <c r="Q330" s="49" t="s">
        <v>360</v>
      </c>
    </row>
    <row r="331" spans="1:17" ht="14.4" customHeight="1" x14ac:dyDescent="0.3">
      <c r="A331" s="49" t="s">
        <v>796</v>
      </c>
      <c r="B331" s="54">
        <v>46150</v>
      </c>
      <c r="C331" s="49">
        <v>751</v>
      </c>
      <c r="D331" s="51">
        <v>3</v>
      </c>
      <c r="E331" s="49">
        <v>2</v>
      </c>
      <c r="F331" s="148" t="s">
        <v>257</v>
      </c>
      <c r="G331" s="148" t="s">
        <v>257</v>
      </c>
      <c r="H331" s="148">
        <v>5.7191999999999998</v>
      </c>
      <c r="I331" s="148" t="s">
        <v>257</v>
      </c>
      <c r="J331" s="148">
        <v>34737.800799999997</v>
      </c>
      <c r="K331" s="148">
        <v>469.26170000000002</v>
      </c>
      <c r="L331" s="148">
        <v>539.61400000000003</v>
      </c>
      <c r="M331" s="148">
        <v>50.220199999999998</v>
      </c>
      <c r="N331" s="148">
        <v>10.1448</v>
      </c>
      <c r="O331" s="51">
        <v>120.72</v>
      </c>
      <c r="P331" s="49" t="s">
        <v>814</v>
      </c>
      <c r="Q331" s="49" t="s">
        <v>360</v>
      </c>
    </row>
    <row r="332" spans="1:17" ht="14.4" customHeight="1" x14ac:dyDescent="0.3">
      <c r="A332" s="49" t="s">
        <v>796</v>
      </c>
      <c r="B332" s="54">
        <v>46150</v>
      </c>
      <c r="C332" s="49">
        <v>752</v>
      </c>
      <c r="D332" s="51">
        <v>3.5</v>
      </c>
      <c r="E332" s="49">
        <v>1</v>
      </c>
      <c r="F332" s="148">
        <v>2.9634999999999998</v>
      </c>
      <c r="G332" s="148" t="s">
        <v>257</v>
      </c>
      <c r="H332" s="148">
        <v>5.7591000000000001</v>
      </c>
      <c r="I332" s="148" t="s">
        <v>257</v>
      </c>
      <c r="J332" s="148">
        <v>34650.378900000003</v>
      </c>
      <c r="K332" s="148">
        <v>481.00599999999997</v>
      </c>
      <c r="L332" s="148">
        <v>296.52350000000001</v>
      </c>
      <c r="M332" s="148">
        <v>52.551400000000001</v>
      </c>
      <c r="N332" s="148">
        <v>7.2530000000000001</v>
      </c>
      <c r="O332" s="51">
        <v>126.22</v>
      </c>
      <c r="P332" s="49" t="s">
        <v>814</v>
      </c>
      <c r="Q332" s="49" t="s">
        <v>360</v>
      </c>
    </row>
    <row r="333" spans="1:17" ht="14.4" customHeight="1" x14ac:dyDescent="0.3">
      <c r="A333" s="49" t="s">
        <v>796</v>
      </c>
      <c r="B333" s="54">
        <v>46150</v>
      </c>
      <c r="C333" s="49">
        <v>753</v>
      </c>
      <c r="D333" s="51">
        <v>3.5</v>
      </c>
      <c r="E333" s="49">
        <v>2</v>
      </c>
      <c r="F333" s="148">
        <v>4.2350000000000003</v>
      </c>
      <c r="G333" s="148" t="s">
        <v>257</v>
      </c>
      <c r="H333" s="148">
        <v>6.1356000000000002</v>
      </c>
      <c r="I333" s="148" t="s">
        <v>257</v>
      </c>
      <c r="J333" s="148">
        <v>33188.761700000003</v>
      </c>
      <c r="K333" s="148">
        <v>527.81039999999996</v>
      </c>
      <c r="L333" s="148">
        <v>196.48410000000001</v>
      </c>
      <c r="M333" s="148">
        <v>45.366999999999997</v>
      </c>
      <c r="N333" s="148">
        <v>12.388500000000001</v>
      </c>
      <c r="O333" s="51">
        <v>120.65</v>
      </c>
      <c r="P333" s="49" t="s">
        <v>814</v>
      </c>
      <c r="Q333" s="49" t="s">
        <v>360</v>
      </c>
    </row>
    <row r="334" spans="1:17" ht="14.4" customHeight="1" x14ac:dyDescent="0.3">
      <c r="A334" s="49" t="s">
        <v>796</v>
      </c>
      <c r="B334" s="54">
        <v>46150</v>
      </c>
      <c r="C334" s="49">
        <v>754</v>
      </c>
      <c r="D334" s="51">
        <v>4</v>
      </c>
      <c r="E334" s="49">
        <v>1</v>
      </c>
      <c r="F334" s="148" t="s">
        <v>257</v>
      </c>
      <c r="G334" s="148" t="s">
        <v>257</v>
      </c>
      <c r="H334" s="148">
        <v>5.6642000000000001</v>
      </c>
      <c r="I334" s="148" t="s">
        <v>257</v>
      </c>
      <c r="J334" s="148">
        <v>42771.953099999999</v>
      </c>
      <c r="K334" s="148">
        <v>697.82740000000001</v>
      </c>
      <c r="L334" s="148">
        <v>129.7132</v>
      </c>
      <c r="M334" s="148">
        <v>28.750800000000002</v>
      </c>
      <c r="N334" s="148" t="s">
        <v>257</v>
      </c>
      <c r="O334" s="51">
        <v>120.57</v>
      </c>
      <c r="P334" s="49" t="s">
        <v>814</v>
      </c>
      <c r="Q334" s="49" t="s">
        <v>360</v>
      </c>
    </row>
    <row r="335" spans="1:17" ht="14.4" customHeight="1" x14ac:dyDescent="0.3">
      <c r="A335" s="49" t="s">
        <v>796</v>
      </c>
      <c r="B335" s="54">
        <v>46150</v>
      </c>
      <c r="C335" s="49">
        <v>755</v>
      </c>
      <c r="D335" s="51">
        <v>4</v>
      </c>
      <c r="E335" s="49">
        <v>2</v>
      </c>
      <c r="F335" s="148" t="s">
        <v>257</v>
      </c>
      <c r="G335" s="148">
        <v>2.2593000000000001</v>
      </c>
      <c r="H335" s="148" t="s">
        <v>257</v>
      </c>
      <c r="I335" s="148" t="s">
        <v>257</v>
      </c>
      <c r="J335" s="148">
        <v>44442.179700000001</v>
      </c>
      <c r="K335" s="148">
        <v>765.81119999999999</v>
      </c>
      <c r="L335" s="148" t="s">
        <v>257</v>
      </c>
      <c r="M335" s="148">
        <v>33.3538</v>
      </c>
      <c r="N335" s="148" t="s">
        <v>257</v>
      </c>
      <c r="O335" s="51">
        <v>125.98</v>
      </c>
      <c r="P335" s="49" t="s">
        <v>814</v>
      </c>
      <c r="Q335" s="49" t="s">
        <v>360</v>
      </c>
    </row>
    <row r="336" spans="1:17" ht="14.4" customHeight="1" x14ac:dyDescent="0.3">
      <c r="A336" s="46" t="s">
        <v>797</v>
      </c>
      <c r="B336" s="53">
        <v>46150</v>
      </c>
      <c r="C336" s="46">
        <v>786</v>
      </c>
      <c r="D336" s="52">
        <v>0</v>
      </c>
      <c r="E336" s="46">
        <v>1</v>
      </c>
      <c r="F336" s="147" t="s">
        <v>257</v>
      </c>
      <c r="G336" s="147" t="s">
        <v>257</v>
      </c>
      <c r="H336" s="147">
        <v>6.0088999999999997</v>
      </c>
      <c r="I336" s="147" t="s">
        <v>257</v>
      </c>
      <c r="J336" s="147">
        <v>42051.125</v>
      </c>
      <c r="K336" s="147">
        <v>951.89250000000004</v>
      </c>
      <c r="L336" s="147">
        <v>240.65170000000001</v>
      </c>
      <c r="M336" s="147">
        <v>42.139499999999998</v>
      </c>
      <c r="N336" s="147">
        <v>13.123699999999999</v>
      </c>
      <c r="O336" s="52">
        <v>120.47</v>
      </c>
      <c r="P336" s="46" t="s">
        <v>814</v>
      </c>
      <c r="Q336" s="46" t="s">
        <v>360</v>
      </c>
    </row>
    <row r="337" spans="1:17" ht="14.4" customHeight="1" x14ac:dyDescent="0.3">
      <c r="A337" s="46" t="s">
        <v>797</v>
      </c>
      <c r="B337" s="53">
        <v>46150</v>
      </c>
      <c r="C337" s="46">
        <v>787</v>
      </c>
      <c r="D337" s="52">
        <v>0</v>
      </c>
      <c r="E337" s="46">
        <v>2</v>
      </c>
      <c r="F337" s="147" t="s">
        <v>257</v>
      </c>
      <c r="G337" s="147" t="s">
        <v>257</v>
      </c>
      <c r="H337" s="147">
        <v>6.9652000000000003</v>
      </c>
      <c r="I337" s="147" t="s">
        <v>257</v>
      </c>
      <c r="J337" s="147">
        <v>39952.093800000002</v>
      </c>
      <c r="K337" s="147">
        <v>974.71730000000002</v>
      </c>
      <c r="L337" s="147">
        <v>292.45209999999997</v>
      </c>
      <c r="M337" s="147">
        <v>40.4726</v>
      </c>
      <c r="N337" s="147">
        <v>14.6318</v>
      </c>
      <c r="O337" s="52">
        <v>101.86</v>
      </c>
      <c r="P337" s="46" t="s">
        <v>814</v>
      </c>
      <c r="Q337" s="46" t="s">
        <v>360</v>
      </c>
    </row>
    <row r="338" spans="1:17" ht="14.4" customHeight="1" x14ac:dyDescent="0.3">
      <c r="A338" s="46" t="s">
        <v>797</v>
      </c>
      <c r="B338" s="53">
        <v>46150</v>
      </c>
      <c r="C338" s="46">
        <v>789</v>
      </c>
      <c r="D338" s="52">
        <v>0.5</v>
      </c>
      <c r="E338" s="46">
        <v>1</v>
      </c>
      <c r="F338" s="147" t="s">
        <v>257</v>
      </c>
      <c r="G338" s="147" t="s">
        <v>257</v>
      </c>
      <c r="H338" s="147">
        <v>4.5350999999999999</v>
      </c>
      <c r="I338" s="147" t="s">
        <v>257</v>
      </c>
      <c r="J338" s="147">
        <v>36538.359400000001</v>
      </c>
      <c r="K338" s="147">
        <v>1666.9706000000001</v>
      </c>
      <c r="L338" s="147">
        <v>409.17489999999998</v>
      </c>
      <c r="M338" s="147">
        <v>34.751300000000001</v>
      </c>
      <c r="N338" s="147">
        <v>15.5802</v>
      </c>
      <c r="O338" s="52">
        <v>120.51</v>
      </c>
      <c r="P338" s="46" t="s">
        <v>814</v>
      </c>
      <c r="Q338" s="46" t="s">
        <v>360</v>
      </c>
    </row>
    <row r="339" spans="1:17" ht="14.4" customHeight="1" x14ac:dyDescent="0.3">
      <c r="A339" s="46" t="s">
        <v>797</v>
      </c>
      <c r="B339" s="53">
        <v>46150</v>
      </c>
      <c r="C339" s="46">
        <v>790</v>
      </c>
      <c r="D339" s="52">
        <v>0.5</v>
      </c>
      <c r="E339" s="46">
        <v>2</v>
      </c>
      <c r="F339" s="147" t="s">
        <v>257</v>
      </c>
      <c r="G339" s="147" t="s">
        <v>257</v>
      </c>
      <c r="H339" s="147">
        <v>6.3990999999999998</v>
      </c>
      <c r="I339" s="147" t="s">
        <v>257</v>
      </c>
      <c r="J339" s="147">
        <v>36001.273399999998</v>
      </c>
      <c r="K339" s="147">
        <v>1580.1274000000001</v>
      </c>
      <c r="L339" s="147">
        <v>379.79180000000002</v>
      </c>
      <c r="M339" s="147">
        <v>32.2881</v>
      </c>
      <c r="N339" s="147">
        <v>14.5472</v>
      </c>
      <c r="O339" s="52">
        <v>126.1</v>
      </c>
      <c r="P339" s="46" t="s">
        <v>814</v>
      </c>
      <c r="Q339" s="46" t="s">
        <v>360</v>
      </c>
    </row>
    <row r="340" spans="1:17" ht="14.4" customHeight="1" x14ac:dyDescent="0.3">
      <c r="A340" s="46" t="s">
        <v>797</v>
      </c>
      <c r="B340" s="53">
        <v>46150</v>
      </c>
      <c r="C340" s="46">
        <v>791</v>
      </c>
      <c r="D340" s="52">
        <v>1</v>
      </c>
      <c r="E340" s="46">
        <v>1</v>
      </c>
      <c r="F340" s="147" t="s">
        <v>257</v>
      </c>
      <c r="G340" s="147" t="s">
        <v>257</v>
      </c>
      <c r="H340" s="147">
        <v>5.0147000000000004</v>
      </c>
      <c r="I340" s="147" t="s">
        <v>257</v>
      </c>
      <c r="J340" s="147">
        <v>34684.585899999998</v>
      </c>
      <c r="K340" s="147">
        <v>1731.9882</v>
      </c>
      <c r="L340" s="147">
        <v>298.1918</v>
      </c>
      <c r="M340" s="147">
        <v>32.043100000000003</v>
      </c>
      <c r="N340" s="147">
        <v>12.2341</v>
      </c>
      <c r="O340" s="52">
        <v>120.48</v>
      </c>
      <c r="P340" s="46" t="s">
        <v>814</v>
      </c>
      <c r="Q340" s="46" t="s">
        <v>360</v>
      </c>
    </row>
    <row r="341" spans="1:17" ht="14.4" customHeight="1" x14ac:dyDescent="0.3">
      <c r="A341" s="46" t="s">
        <v>797</v>
      </c>
      <c r="B341" s="53">
        <v>46150</v>
      </c>
      <c r="C341" s="46">
        <v>792</v>
      </c>
      <c r="D341" s="52">
        <v>1</v>
      </c>
      <c r="E341" s="46">
        <v>2</v>
      </c>
      <c r="F341" s="147" t="s">
        <v>257</v>
      </c>
      <c r="G341" s="147" t="s">
        <v>257</v>
      </c>
      <c r="H341" s="147">
        <v>4.899</v>
      </c>
      <c r="I341" s="147" t="s">
        <v>257</v>
      </c>
      <c r="J341" s="147">
        <v>35554.761700000003</v>
      </c>
      <c r="K341" s="147">
        <v>1425.6442</v>
      </c>
      <c r="L341" s="147">
        <v>311.20920000000001</v>
      </c>
      <c r="M341" s="147">
        <v>36.239600000000003</v>
      </c>
      <c r="N341" s="147">
        <v>13.202999999999999</v>
      </c>
      <c r="O341" s="52">
        <v>120.3</v>
      </c>
      <c r="P341" s="46" t="s">
        <v>814</v>
      </c>
      <c r="Q341" s="46" t="s">
        <v>360</v>
      </c>
    </row>
    <row r="342" spans="1:17" ht="14.4" customHeight="1" x14ac:dyDescent="0.3">
      <c r="A342" s="46" t="s">
        <v>797</v>
      </c>
      <c r="B342" s="53">
        <v>46150</v>
      </c>
      <c r="C342" s="46">
        <v>793</v>
      </c>
      <c r="D342" s="52">
        <v>1.5</v>
      </c>
      <c r="E342" s="46">
        <v>1</v>
      </c>
      <c r="F342" s="147" t="s">
        <v>257</v>
      </c>
      <c r="G342" s="147" t="s">
        <v>257</v>
      </c>
      <c r="H342" s="147">
        <v>6.9771000000000001</v>
      </c>
      <c r="I342" s="147" t="s">
        <v>257</v>
      </c>
      <c r="J342" s="147">
        <v>41336.664100000002</v>
      </c>
      <c r="K342" s="147">
        <v>1457.4752000000001</v>
      </c>
      <c r="L342" s="147">
        <v>335.99040000000002</v>
      </c>
      <c r="M342" s="147">
        <v>46.115099999999998</v>
      </c>
      <c r="N342" s="147">
        <v>21.472300000000001</v>
      </c>
      <c r="O342" s="52">
        <v>126.12</v>
      </c>
      <c r="P342" s="46" t="s">
        <v>814</v>
      </c>
      <c r="Q342" s="46" t="s">
        <v>360</v>
      </c>
    </row>
    <row r="343" spans="1:17" ht="14.4" customHeight="1" x14ac:dyDescent="0.3">
      <c r="A343" s="46" t="s">
        <v>797</v>
      </c>
      <c r="B343" s="53">
        <v>46150</v>
      </c>
      <c r="C343" s="46">
        <v>794</v>
      </c>
      <c r="D343" s="52">
        <v>1.5</v>
      </c>
      <c r="E343" s="46">
        <v>2</v>
      </c>
      <c r="F343" s="147" t="s">
        <v>257</v>
      </c>
      <c r="G343" s="147" t="s">
        <v>257</v>
      </c>
      <c r="H343" s="147">
        <v>7.3693999999999997</v>
      </c>
      <c r="I343" s="147" t="s">
        <v>257</v>
      </c>
      <c r="J343" s="147">
        <v>41173.601600000002</v>
      </c>
      <c r="K343" s="147">
        <v>1477.4054000000001</v>
      </c>
      <c r="L343" s="147">
        <v>383.30059999999997</v>
      </c>
      <c r="M343" s="147">
        <v>49.713900000000002</v>
      </c>
      <c r="N343" s="147">
        <v>23.5502</v>
      </c>
      <c r="O343" s="52">
        <v>120.54</v>
      </c>
      <c r="P343" s="46" t="s">
        <v>814</v>
      </c>
      <c r="Q343" s="46" t="s">
        <v>360</v>
      </c>
    </row>
    <row r="344" spans="1:17" ht="14.4" customHeight="1" x14ac:dyDescent="0.3">
      <c r="A344" s="46" t="s">
        <v>797</v>
      </c>
      <c r="B344" s="53">
        <v>46150</v>
      </c>
      <c r="C344" s="46">
        <v>795</v>
      </c>
      <c r="D344" s="52">
        <v>2</v>
      </c>
      <c r="E344" s="46">
        <v>1</v>
      </c>
      <c r="F344" s="147" t="s">
        <v>257</v>
      </c>
      <c r="G344" s="147" t="s">
        <v>257</v>
      </c>
      <c r="H344" s="147" t="s">
        <v>257</v>
      </c>
      <c r="I344" s="147" t="s">
        <v>257</v>
      </c>
      <c r="J344" s="147">
        <v>20.661799999999999</v>
      </c>
      <c r="K344" s="147">
        <v>624.00840000000005</v>
      </c>
      <c r="L344" s="147">
        <v>452.8229</v>
      </c>
      <c r="M344" s="147" t="s">
        <v>257</v>
      </c>
      <c r="N344" s="147" t="s">
        <v>257</v>
      </c>
      <c r="O344" s="52">
        <v>125.84</v>
      </c>
      <c r="P344" s="46" t="s">
        <v>814</v>
      </c>
      <c r="Q344" s="46" t="s">
        <v>360</v>
      </c>
    </row>
    <row r="345" spans="1:17" ht="14.4" customHeight="1" x14ac:dyDescent="0.3">
      <c r="A345" s="46" t="s">
        <v>797</v>
      </c>
      <c r="B345" s="53">
        <v>46150</v>
      </c>
      <c r="C345" s="46">
        <v>796</v>
      </c>
      <c r="D345" s="52">
        <v>2</v>
      </c>
      <c r="E345" s="46">
        <v>2</v>
      </c>
      <c r="F345" s="147" t="s">
        <v>257</v>
      </c>
      <c r="G345" s="147" t="s">
        <v>257</v>
      </c>
      <c r="H345" s="147">
        <v>4.7239000000000004</v>
      </c>
      <c r="I345" s="147" t="s">
        <v>257</v>
      </c>
      <c r="J345" s="147">
        <v>37282.914100000002</v>
      </c>
      <c r="K345" s="147">
        <v>1914.2991</v>
      </c>
      <c r="L345" s="147">
        <v>212.8587</v>
      </c>
      <c r="M345" s="147">
        <v>38.912799999999997</v>
      </c>
      <c r="N345" s="147">
        <v>23.521799999999999</v>
      </c>
      <c r="O345" s="52">
        <v>120.76</v>
      </c>
      <c r="P345" s="46" t="s">
        <v>814</v>
      </c>
      <c r="Q345" s="46" t="s">
        <v>360</v>
      </c>
    </row>
    <row r="346" spans="1:17" ht="14.4" customHeight="1" x14ac:dyDescent="0.3">
      <c r="A346" s="46" t="s">
        <v>797</v>
      </c>
      <c r="B346" s="53">
        <v>46150</v>
      </c>
      <c r="C346" s="46">
        <v>797</v>
      </c>
      <c r="D346" s="52">
        <v>2.5</v>
      </c>
      <c r="E346" s="46">
        <v>1</v>
      </c>
      <c r="F346" s="147" t="s">
        <v>257</v>
      </c>
      <c r="G346" s="147" t="s">
        <v>257</v>
      </c>
      <c r="H346" s="147">
        <v>6.0522999999999998</v>
      </c>
      <c r="I346" s="147" t="s">
        <v>257</v>
      </c>
      <c r="J346" s="147">
        <v>38755.871099999997</v>
      </c>
      <c r="K346" s="147">
        <v>1837.8887999999999</v>
      </c>
      <c r="L346" s="147">
        <v>275.46319999999997</v>
      </c>
      <c r="M346" s="147">
        <v>40.977899999999998</v>
      </c>
      <c r="N346" s="147">
        <v>13.9735</v>
      </c>
      <c r="O346" s="52">
        <v>120.59</v>
      </c>
      <c r="P346" s="46" t="s">
        <v>814</v>
      </c>
      <c r="Q346" s="46" t="s">
        <v>360</v>
      </c>
    </row>
    <row r="347" spans="1:17" ht="14.4" customHeight="1" x14ac:dyDescent="0.3">
      <c r="A347" s="46" t="s">
        <v>797</v>
      </c>
      <c r="B347" s="53">
        <v>46150</v>
      </c>
      <c r="C347" s="46">
        <v>798</v>
      </c>
      <c r="D347" s="52">
        <v>2.5</v>
      </c>
      <c r="E347" s="46">
        <v>2</v>
      </c>
      <c r="F347" s="147" t="s">
        <v>257</v>
      </c>
      <c r="G347" s="147" t="s">
        <v>257</v>
      </c>
      <c r="H347" s="147">
        <v>6.4744999999999999</v>
      </c>
      <c r="I347" s="147" t="s">
        <v>257</v>
      </c>
      <c r="J347" s="147">
        <v>38927.851600000002</v>
      </c>
      <c r="K347" s="147">
        <v>2746.2170000000001</v>
      </c>
      <c r="L347" s="147">
        <v>257.11219999999997</v>
      </c>
      <c r="M347" s="147">
        <v>43.903399999999998</v>
      </c>
      <c r="N347" s="147">
        <v>28.199000000000002</v>
      </c>
      <c r="O347" s="52">
        <v>125.97</v>
      </c>
      <c r="P347" s="46" t="s">
        <v>814</v>
      </c>
      <c r="Q347" s="46" t="s">
        <v>360</v>
      </c>
    </row>
    <row r="348" spans="1:17" ht="14.4" customHeight="1" x14ac:dyDescent="0.3">
      <c r="A348" s="46" t="s">
        <v>797</v>
      </c>
      <c r="B348" s="53">
        <v>46150</v>
      </c>
      <c r="C348" s="46">
        <v>799</v>
      </c>
      <c r="D348" s="52">
        <v>3</v>
      </c>
      <c r="E348" s="46">
        <v>1</v>
      </c>
      <c r="F348" s="147" t="s">
        <v>257</v>
      </c>
      <c r="G348" s="147" t="s">
        <v>257</v>
      </c>
      <c r="H348" s="147">
        <v>7.3243</v>
      </c>
      <c r="I348" s="147" t="s">
        <v>257</v>
      </c>
      <c r="J348" s="147">
        <v>37255.796900000001</v>
      </c>
      <c r="K348" s="147">
        <v>2199.1042000000002</v>
      </c>
      <c r="L348" s="147">
        <v>217.35480000000001</v>
      </c>
      <c r="M348" s="147">
        <v>39.594900000000003</v>
      </c>
      <c r="N348" s="147">
        <v>15.6326</v>
      </c>
      <c r="O348" s="52">
        <v>120.36</v>
      </c>
      <c r="P348" s="46" t="s">
        <v>814</v>
      </c>
      <c r="Q348" s="46" t="s">
        <v>360</v>
      </c>
    </row>
    <row r="349" spans="1:17" ht="14.4" customHeight="1" x14ac:dyDescent="0.3">
      <c r="A349" s="46" t="s">
        <v>797</v>
      </c>
      <c r="B349" s="53">
        <v>46150</v>
      </c>
      <c r="C349" s="46">
        <v>800</v>
      </c>
      <c r="D349" s="52">
        <v>3</v>
      </c>
      <c r="E349" s="46">
        <v>2</v>
      </c>
      <c r="F349" s="147" t="s">
        <v>257</v>
      </c>
      <c r="G349" s="147" t="s">
        <v>257</v>
      </c>
      <c r="H349" s="147">
        <v>7.1882999999999999</v>
      </c>
      <c r="I349" s="147" t="s">
        <v>257</v>
      </c>
      <c r="J349" s="147">
        <v>38066.531199999998</v>
      </c>
      <c r="K349" s="147">
        <v>2177.9816999999998</v>
      </c>
      <c r="L349" s="147">
        <v>251.51349999999999</v>
      </c>
      <c r="M349" s="147">
        <v>38.552300000000002</v>
      </c>
      <c r="N349" s="147">
        <v>18.846800000000002</v>
      </c>
      <c r="O349" s="52">
        <v>120.54</v>
      </c>
      <c r="P349" s="46" t="s">
        <v>814</v>
      </c>
      <c r="Q349" s="46" t="s">
        <v>360</v>
      </c>
    </row>
    <row r="350" spans="1:17" ht="14.4" customHeight="1" x14ac:dyDescent="0.3">
      <c r="A350" s="46" t="s">
        <v>797</v>
      </c>
      <c r="B350" s="53">
        <v>46150</v>
      </c>
      <c r="C350" s="46">
        <v>801</v>
      </c>
      <c r="D350" s="52">
        <v>3.5</v>
      </c>
      <c r="E350" s="46">
        <v>1</v>
      </c>
      <c r="F350" s="147" t="s">
        <v>257</v>
      </c>
      <c r="G350" s="147" t="s">
        <v>257</v>
      </c>
      <c r="H350" s="147">
        <v>6.2878999999999996</v>
      </c>
      <c r="I350" s="147" t="s">
        <v>257</v>
      </c>
      <c r="J350" s="147">
        <v>34712.742200000001</v>
      </c>
      <c r="K350" s="147">
        <v>2245.9477999999999</v>
      </c>
      <c r="L350" s="147">
        <v>244.30850000000001</v>
      </c>
      <c r="M350" s="147">
        <v>39.145499999999998</v>
      </c>
      <c r="N350" s="147">
        <v>43.741700000000002</v>
      </c>
      <c r="O350" s="52">
        <v>120.42</v>
      </c>
      <c r="P350" s="46" t="s">
        <v>814</v>
      </c>
      <c r="Q350" s="46" t="s">
        <v>360</v>
      </c>
    </row>
    <row r="351" spans="1:17" ht="14.4" customHeight="1" x14ac:dyDescent="0.3">
      <c r="A351" s="46" t="s">
        <v>797</v>
      </c>
      <c r="B351" s="53">
        <v>46150</v>
      </c>
      <c r="C351" s="46">
        <v>802</v>
      </c>
      <c r="D351" s="52">
        <v>3.5</v>
      </c>
      <c r="E351" s="46">
        <v>2</v>
      </c>
      <c r="F351" s="147" t="s">
        <v>257</v>
      </c>
      <c r="G351" s="147" t="s">
        <v>257</v>
      </c>
      <c r="H351" s="147">
        <v>6.5254000000000003</v>
      </c>
      <c r="I351" s="147" t="s">
        <v>257</v>
      </c>
      <c r="J351" s="147">
        <v>35842.226600000002</v>
      </c>
      <c r="K351" s="147">
        <v>2209.3407999999999</v>
      </c>
      <c r="L351" s="147">
        <v>261.99759999999998</v>
      </c>
      <c r="M351" s="147">
        <v>37.8127</v>
      </c>
      <c r="N351" s="147">
        <v>23.2468</v>
      </c>
      <c r="O351" s="52">
        <v>120.54</v>
      </c>
      <c r="P351" s="46" t="s">
        <v>814</v>
      </c>
      <c r="Q351" s="46" t="s">
        <v>360</v>
      </c>
    </row>
    <row r="352" spans="1:17" ht="14.4" customHeight="1" x14ac:dyDescent="0.3">
      <c r="A352" s="46" t="s">
        <v>797</v>
      </c>
      <c r="B352" s="53">
        <v>46150</v>
      </c>
      <c r="C352" s="46">
        <v>803</v>
      </c>
      <c r="D352" s="52">
        <v>4</v>
      </c>
      <c r="E352" s="46">
        <v>1</v>
      </c>
      <c r="F352" s="147" t="s">
        <v>257</v>
      </c>
      <c r="G352" s="147" t="s">
        <v>257</v>
      </c>
      <c r="H352" s="147">
        <v>7.6391999999999998</v>
      </c>
      <c r="I352" s="147" t="s">
        <v>257</v>
      </c>
      <c r="J352" s="147">
        <v>35843.601600000002</v>
      </c>
      <c r="K352" s="147">
        <v>1945.6280999999999</v>
      </c>
      <c r="L352" s="147">
        <v>193.19</v>
      </c>
      <c r="M352" s="147">
        <v>39.598500000000001</v>
      </c>
      <c r="N352" s="147">
        <v>22.831499999999998</v>
      </c>
      <c r="O352" s="52">
        <v>120.65</v>
      </c>
      <c r="P352" s="46" t="s">
        <v>814</v>
      </c>
      <c r="Q352" s="46" t="s">
        <v>360</v>
      </c>
    </row>
    <row r="353" spans="1:17" ht="14.4" customHeight="1" x14ac:dyDescent="0.3">
      <c r="A353" s="46" t="s">
        <v>797</v>
      </c>
      <c r="B353" s="53">
        <v>46150</v>
      </c>
      <c r="C353" s="46">
        <v>804</v>
      </c>
      <c r="D353" s="52">
        <v>4</v>
      </c>
      <c r="E353" s="46">
        <v>2</v>
      </c>
      <c r="F353" s="147" t="s">
        <v>257</v>
      </c>
      <c r="G353" s="147" t="s">
        <v>257</v>
      </c>
      <c r="H353" s="147">
        <v>5.8869999999999996</v>
      </c>
      <c r="I353" s="147" t="s">
        <v>257</v>
      </c>
      <c r="J353" s="147">
        <v>35730.007799999999</v>
      </c>
      <c r="K353" s="147">
        <v>2129.0922999999998</v>
      </c>
      <c r="L353" s="147">
        <v>225.7165</v>
      </c>
      <c r="M353" s="147">
        <v>41.122500000000002</v>
      </c>
      <c r="N353" s="147">
        <v>27.3216</v>
      </c>
      <c r="O353" s="52">
        <v>126.35</v>
      </c>
      <c r="P353" s="46" t="s">
        <v>814</v>
      </c>
      <c r="Q353" s="46" t="s">
        <v>360</v>
      </c>
    </row>
    <row r="354" spans="1:17" ht="14.4" customHeight="1" x14ac:dyDescent="0.3">
      <c r="A354" s="49" t="s">
        <v>798</v>
      </c>
      <c r="B354" s="54">
        <v>46150</v>
      </c>
      <c r="C354" s="49">
        <v>1729</v>
      </c>
      <c r="D354" s="51">
        <v>0</v>
      </c>
      <c r="E354" s="49">
        <v>1</v>
      </c>
      <c r="F354" s="148">
        <v>7.8798000000000004</v>
      </c>
      <c r="G354" s="148" t="s">
        <v>257</v>
      </c>
      <c r="H354" s="148" t="s">
        <v>257</v>
      </c>
      <c r="I354" s="148" t="s">
        <v>257</v>
      </c>
      <c r="J354" s="148">
        <v>191023.57810000001</v>
      </c>
      <c r="K354" s="148">
        <v>6714.1821</v>
      </c>
      <c r="L354" s="148">
        <v>22807.480500000001</v>
      </c>
      <c r="M354" s="148">
        <v>18.972100000000001</v>
      </c>
      <c r="N354" s="148" t="s">
        <v>257</v>
      </c>
      <c r="O354" s="51">
        <v>122.89</v>
      </c>
      <c r="P354" s="49" t="s">
        <v>814</v>
      </c>
      <c r="Q354" s="49" t="s">
        <v>258</v>
      </c>
    </row>
    <row r="355" spans="1:17" ht="14.4" customHeight="1" x14ac:dyDescent="0.3">
      <c r="A355" s="49" t="s">
        <v>798</v>
      </c>
      <c r="B355" s="54">
        <v>46150</v>
      </c>
      <c r="C355" s="49">
        <v>1730</v>
      </c>
      <c r="D355" s="51">
        <v>0</v>
      </c>
      <c r="E355" s="49">
        <v>2</v>
      </c>
      <c r="F355" s="148">
        <v>5.6360000000000001</v>
      </c>
      <c r="G355" s="148" t="s">
        <v>257</v>
      </c>
      <c r="H355" s="148" t="s">
        <v>257</v>
      </c>
      <c r="I355" s="148" t="s">
        <v>257</v>
      </c>
      <c r="J355" s="148">
        <v>195124.89060000001</v>
      </c>
      <c r="K355" s="148">
        <v>6769.4594999999999</v>
      </c>
      <c r="L355" s="148">
        <v>36946.121099999997</v>
      </c>
      <c r="M355" s="148">
        <v>11.997</v>
      </c>
      <c r="N355" s="148" t="s">
        <v>257</v>
      </c>
      <c r="O355" s="51">
        <v>122.86</v>
      </c>
      <c r="P355" s="49" t="s">
        <v>814</v>
      </c>
      <c r="Q355" s="49" t="s">
        <v>258</v>
      </c>
    </row>
    <row r="356" spans="1:17" ht="14.4" customHeight="1" x14ac:dyDescent="0.3">
      <c r="A356" s="49" t="s">
        <v>798</v>
      </c>
      <c r="B356" s="54">
        <v>46150</v>
      </c>
      <c r="C356" s="49">
        <v>1731</v>
      </c>
      <c r="D356" s="51">
        <v>0.5</v>
      </c>
      <c r="E356" s="49">
        <v>1</v>
      </c>
      <c r="F356" s="148">
        <v>7.7069999999999999</v>
      </c>
      <c r="G356" s="148" t="s">
        <v>257</v>
      </c>
      <c r="H356" s="148">
        <v>13.057600000000001</v>
      </c>
      <c r="I356" s="148" t="s">
        <v>257</v>
      </c>
      <c r="J356" s="148">
        <v>199992.14060000001</v>
      </c>
      <c r="K356" s="148">
        <v>8088.2826999999997</v>
      </c>
      <c r="L356" s="148">
        <v>2307.1948000000002</v>
      </c>
      <c r="M356" s="148">
        <v>14.367000000000001</v>
      </c>
      <c r="N356" s="148" t="s">
        <v>257</v>
      </c>
      <c r="O356" s="51">
        <v>123.04</v>
      </c>
      <c r="P356" s="49" t="s">
        <v>814</v>
      </c>
      <c r="Q356" s="49" t="s">
        <v>258</v>
      </c>
    </row>
    <row r="357" spans="1:17" ht="14.4" customHeight="1" x14ac:dyDescent="0.3">
      <c r="A357" s="49" t="s">
        <v>798</v>
      </c>
      <c r="B357" s="54">
        <v>46150</v>
      </c>
      <c r="C357" s="49">
        <v>1732</v>
      </c>
      <c r="D357" s="51">
        <v>0.5</v>
      </c>
      <c r="E357" s="49">
        <v>2</v>
      </c>
      <c r="F357" s="148">
        <v>8.7758000000000003</v>
      </c>
      <c r="G357" s="148" t="s">
        <v>257</v>
      </c>
      <c r="H357" s="148" t="s">
        <v>257</v>
      </c>
      <c r="I357" s="148" t="s">
        <v>257</v>
      </c>
      <c r="J357" s="148">
        <v>217016.14060000001</v>
      </c>
      <c r="K357" s="148">
        <v>8710.1942999999992</v>
      </c>
      <c r="L357" s="148">
        <v>7591.3896000000004</v>
      </c>
      <c r="M357" s="148">
        <v>18.5198</v>
      </c>
      <c r="N357" s="148" t="s">
        <v>257</v>
      </c>
      <c r="O357" s="51">
        <v>123.02</v>
      </c>
      <c r="P357" s="49" t="s">
        <v>814</v>
      </c>
      <c r="Q357" s="49" t="s">
        <v>258</v>
      </c>
    </row>
    <row r="358" spans="1:17" ht="14.4" customHeight="1" x14ac:dyDescent="0.3">
      <c r="A358" s="49" t="s">
        <v>798</v>
      </c>
      <c r="B358" s="54">
        <v>46150</v>
      </c>
      <c r="C358" s="49">
        <v>1733</v>
      </c>
      <c r="D358" s="51">
        <v>1</v>
      </c>
      <c r="E358" s="49">
        <v>1</v>
      </c>
      <c r="F358" s="148">
        <v>10.411099999999999</v>
      </c>
      <c r="G358" s="148" t="s">
        <v>257</v>
      </c>
      <c r="H358" s="148">
        <v>10.5198</v>
      </c>
      <c r="I358" s="148" t="s">
        <v>257</v>
      </c>
      <c r="J358" s="148">
        <v>261025.48439999999</v>
      </c>
      <c r="K358" s="148">
        <v>11568.1875</v>
      </c>
      <c r="L358" s="148">
        <v>6695.6484</v>
      </c>
      <c r="M358" s="148">
        <v>8.6489999999999991</v>
      </c>
      <c r="N358" s="148" t="s">
        <v>257</v>
      </c>
      <c r="O358" s="51">
        <v>120.32</v>
      </c>
      <c r="P358" s="49" t="s">
        <v>814</v>
      </c>
      <c r="Q358" s="49" t="s">
        <v>258</v>
      </c>
    </row>
    <row r="359" spans="1:17" ht="14.4" customHeight="1" x14ac:dyDescent="0.3">
      <c r="A359" s="49" t="s">
        <v>798</v>
      </c>
      <c r="B359" s="54">
        <v>46150</v>
      </c>
      <c r="C359" s="49">
        <v>1734</v>
      </c>
      <c r="D359" s="51">
        <v>1</v>
      </c>
      <c r="E359" s="49">
        <v>2</v>
      </c>
      <c r="F359" s="148">
        <v>9.6722000000000001</v>
      </c>
      <c r="G359" s="148" t="s">
        <v>257</v>
      </c>
      <c r="H359" s="148" t="s">
        <v>257</v>
      </c>
      <c r="I359" s="148" t="s">
        <v>257</v>
      </c>
      <c r="J359" s="148">
        <v>247619.64060000001</v>
      </c>
      <c r="K359" s="148">
        <v>11628.6777</v>
      </c>
      <c r="L359" s="148">
        <v>4273.2129000000004</v>
      </c>
      <c r="M359" s="148">
        <v>10.434200000000001</v>
      </c>
      <c r="N359" s="148" t="s">
        <v>257</v>
      </c>
      <c r="O359" s="51">
        <v>120.29</v>
      </c>
      <c r="P359" s="49" t="s">
        <v>814</v>
      </c>
      <c r="Q359" s="49" t="s">
        <v>258</v>
      </c>
    </row>
    <row r="360" spans="1:17" ht="14.4" customHeight="1" x14ac:dyDescent="0.3">
      <c r="A360" s="49" t="s">
        <v>798</v>
      </c>
      <c r="B360" s="54">
        <v>46150</v>
      </c>
      <c r="C360" s="49">
        <v>1735</v>
      </c>
      <c r="D360" s="51">
        <v>1.5</v>
      </c>
      <c r="E360" s="49">
        <v>1</v>
      </c>
      <c r="F360" s="148" t="s">
        <v>257</v>
      </c>
      <c r="G360" s="148" t="s">
        <v>257</v>
      </c>
      <c r="H360" s="148">
        <v>10.105600000000001</v>
      </c>
      <c r="I360" s="148" t="s">
        <v>257</v>
      </c>
      <c r="J360" s="148">
        <v>289658.8125</v>
      </c>
      <c r="K360" s="148">
        <v>12489.084999999999</v>
      </c>
      <c r="L360" s="148">
        <v>2696.9521</v>
      </c>
      <c r="M360" s="148" t="s">
        <v>257</v>
      </c>
      <c r="N360" s="148" t="s">
        <v>257</v>
      </c>
      <c r="O360" s="51">
        <v>122.96</v>
      </c>
      <c r="P360" s="49" t="s">
        <v>814</v>
      </c>
      <c r="Q360" s="49" t="s">
        <v>258</v>
      </c>
    </row>
    <row r="361" spans="1:17" ht="14.4" customHeight="1" x14ac:dyDescent="0.3">
      <c r="A361" s="49" t="s">
        <v>798</v>
      </c>
      <c r="B361" s="54">
        <v>46150</v>
      </c>
      <c r="C361" s="49">
        <v>1736</v>
      </c>
      <c r="D361" s="51">
        <v>1.5</v>
      </c>
      <c r="E361" s="49">
        <v>2</v>
      </c>
      <c r="F361" s="148">
        <v>9.7431999999999999</v>
      </c>
      <c r="G361" s="148" t="s">
        <v>257</v>
      </c>
      <c r="H361" s="148">
        <v>9.8045000000000009</v>
      </c>
      <c r="I361" s="148" t="s">
        <v>257</v>
      </c>
      <c r="J361" s="148">
        <v>289294.46879999997</v>
      </c>
      <c r="K361" s="148">
        <v>12241.9326</v>
      </c>
      <c r="L361" s="148">
        <v>2722.6082000000001</v>
      </c>
      <c r="M361" s="148" t="s">
        <v>257</v>
      </c>
      <c r="N361" s="148" t="s">
        <v>257</v>
      </c>
      <c r="O361" s="51">
        <v>120.39</v>
      </c>
      <c r="P361" s="49" t="s">
        <v>814</v>
      </c>
      <c r="Q361" s="49" t="s">
        <v>258</v>
      </c>
    </row>
    <row r="362" spans="1:17" ht="14.4" customHeight="1" x14ac:dyDescent="0.3">
      <c r="A362" s="49" t="s">
        <v>798</v>
      </c>
      <c r="B362" s="54">
        <v>46150</v>
      </c>
      <c r="C362" s="49">
        <v>1737</v>
      </c>
      <c r="D362" s="51">
        <v>1.5</v>
      </c>
      <c r="E362" s="49">
        <v>3</v>
      </c>
      <c r="F362" s="148">
        <v>4.6115000000000004</v>
      </c>
      <c r="G362" s="148" t="s">
        <v>257</v>
      </c>
      <c r="H362" s="148" t="s">
        <v>257</v>
      </c>
      <c r="I362" s="148" t="s">
        <v>257</v>
      </c>
      <c r="J362" s="148">
        <v>259509.54689999999</v>
      </c>
      <c r="K362" s="148">
        <v>11492.963900000001</v>
      </c>
      <c r="L362" s="148">
        <v>2803.1372000000001</v>
      </c>
      <c r="M362" s="148">
        <v>7.9260999999999999</v>
      </c>
      <c r="N362" s="148" t="s">
        <v>257</v>
      </c>
      <c r="O362" s="51">
        <v>122.89</v>
      </c>
      <c r="P362" s="49" t="s">
        <v>814</v>
      </c>
      <c r="Q362" s="49" t="s">
        <v>258</v>
      </c>
    </row>
    <row r="363" spans="1:17" ht="14.4" customHeight="1" x14ac:dyDescent="0.3">
      <c r="A363" s="49" t="s">
        <v>798</v>
      </c>
      <c r="B363" s="54">
        <v>46150</v>
      </c>
      <c r="C363" s="49">
        <v>1738</v>
      </c>
      <c r="D363" s="51">
        <v>2</v>
      </c>
      <c r="E363" s="49">
        <v>1</v>
      </c>
      <c r="F363" s="148">
        <v>17.759499999999999</v>
      </c>
      <c r="G363" s="148" t="s">
        <v>257</v>
      </c>
      <c r="H363" s="148">
        <v>11.6295</v>
      </c>
      <c r="I363" s="148" t="s">
        <v>257</v>
      </c>
      <c r="J363" s="148">
        <v>295742.65620000003</v>
      </c>
      <c r="K363" s="148">
        <v>13815.207</v>
      </c>
      <c r="L363" s="148">
        <v>2466.3899000000001</v>
      </c>
      <c r="M363" s="148">
        <v>18.923400000000001</v>
      </c>
      <c r="N363" s="148" t="s">
        <v>257</v>
      </c>
      <c r="O363" s="51">
        <v>122.96</v>
      </c>
      <c r="P363" s="49" t="s">
        <v>814</v>
      </c>
      <c r="Q363" s="49" t="s">
        <v>258</v>
      </c>
    </row>
    <row r="364" spans="1:17" ht="14.4" customHeight="1" x14ac:dyDescent="0.3">
      <c r="A364" s="49" t="s">
        <v>798</v>
      </c>
      <c r="B364" s="54">
        <v>46150</v>
      </c>
      <c r="C364" s="49">
        <v>1739</v>
      </c>
      <c r="D364" s="51">
        <v>2</v>
      </c>
      <c r="E364" s="49">
        <v>2</v>
      </c>
      <c r="F364" s="148">
        <v>10.0185</v>
      </c>
      <c r="G364" s="148" t="s">
        <v>257</v>
      </c>
      <c r="H364" s="148" t="s">
        <v>257</v>
      </c>
      <c r="I364" s="148" t="s">
        <v>257</v>
      </c>
      <c r="J364" s="148">
        <v>295558.5</v>
      </c>
      <c r="K364" s="148">
        <v>13879.109399999999</v>
      </c>
      <c r="L364" s="148">
        <v>2487.5873999999999</v>
      </c>
      <c r="M364" s="148">
        <v>9.6339000000000006</v>
      </c>
      <c r="N364" s="148" t="s">
        <v>257</v>
      </c>
      <c r="O364" s="51">
        <v>120.07</v>
      </c>
      <c r="P364" s="49" t="s">
        <v>814</v>
      </c>
      <c r="Q364" s="49" t="s">
        <v>258</v>
      </c>
    </row>
    <row r="365" spans="1:17" ht="14.4" customHeight="1" x14ac:dyDescent="0.3">
      <c r="A365" s="49" t="s">
        <v>798</v>
      </c>
      <c r="B365" s="54">
        <v>46150</v>
      </c>
      <c r="C365" s="49">
        <v>1741</v>
      </c>
      <c r="D365" s="51">
        <v>2.5</v>
      </c>
      <c r="E365" s="49">
        <v>1</v>
      </c>
      <c r="F365" s="148">
        <v>14.2928</v>
      </c>
      <c r="G365" s="148" t="s">
        <v>257</v>
      </c>
      <c r="H365" s="148" t="s">
        <v>257</v>
      </c>
      <c r="I365" s="148" t="s">
        <v>257</v>
      </c>
      <c r="J365" s="148">
        <v>292543.5</v>
      </c>
      <c r="K365" s="148">
        <v>12969.953100000001</v>
      </c>
      <c r="L365" s="148">
        <v>2428.6228000000001</v>
      </c>
      <c r="M365" s="148">
        <v>12.960800000000001</v>
      </c>
      <c r="N365" s="148" t="s">
        <v>257</v>
      </c>
      <c r="O365" s="51">
        <v>120.96</v>
      </c>
      <c r="P365" s="49" t="s">
        <v>814</v>
      </c>
      <c r="Q365" s="49" t="s">
        <v>258</v>
      </c>
    </row>
    <row r="366" spans="1:17" ht="14.4" customHeight="1" x14ac:dyDescent="0.3">
      <c r="A366" s="49" t="s">
        <v>798</v>
      </c>
      <c r="B366" s="54">
        <v>46150</v>
      </c>
      <c r="C366" s="49">
        <v>1742</v>
      </c>
      <c r="D366" s="51">
        <v>2.5</v>
      </c>
      <c r="E366" s="49">
        <v>2</v>
      </c>
      <c r="F366" s="148">
        <v>11.579499999999999</v>
      </c>
      <c r="G366" s="148" t="s">
        <v>257</v>
      </c>
      <c r="H366" s="148">
        <v>18.3096</v>
      </c>
      <c r="I366" s="148" t="s">
        <v>257</v>
      </c>
      <c r="J366" s="148">
        <v>284154.59379999997</v>
      </c>
      <c r="K366" s="148">
        <v>12417.957</v>
      </c>
      <c r="L366" s="148">
        <v>2460.0364</v>
      </c>
      <c r="M366" s="148">
        <v>16.608000000000001</v>
      </c>
      <c r="N366" s="148" t="s">
        <v>257</v>
      </c>
      <c r="O366" s="51">
        <v>123.22</v>
      </c>
      <c r="P366" s="49" t="s">
        <v>814</v>
      </c>
      <c r="Q366" s="49" t="s">
        <v>258</v>
      </c>
    </row>
    <row r="367" spans="1:17" ht="14.4" customHeight="1" x14ac:dyDescent="0.3">
      <c r="A367" s="49" t="s">
        <v>798</v>
      </c>
      <c r="B367" s="54">
        <v>46150</v>
      </c>
      <c r="C367" s="49">
        <v>1743</v>
      </c>
      <c r="D367" s="51">
        <v>3</v>
      </c>
      <c r="E367" s="49">
        <v>1</v>
      </c>
      <c r="F367" s="148">
        <v>10.5747</v>
      </c>
      <c r="G367" s="148" t="s">
        <v>257</v>
      </c>
      <c r="H367" s="148">
        <v>7.1151999999999997</v>
      </c>
      <c r="I367" s="148" t="s">
        <v>257</v>
      </c>
      <c r="J367" s="148">
        <v>247260</v>
      </c>
      <c r="K367" s="148">
        <v>10883.895500000001</v>
      </c>
      <c r="L367" s="148">
        <v>2832.3054000000002</v>
      </c>
      <c r="M367" s="148">
        <v>17.322600000000001</v>
      </c>
      <c r="N367" s="148" t="s">
        <v>257</v>
      </c>
      <c r="O367" s="51">
        <v>122.83</v>
      </c>
      <c r="P367" s="49" t="s">
        <v>814</v>
      </c>
      <c r="Q367" s="49" t="s">
        <v>258</v>
      </c>
    </row>
    <row r="368" spans="1:17" ht="14.4" customHeight="1" x14ac:dyDescent="0.3">
      <c r="A368" s="49" t="s">
        <v>798</v>
      </c>
      <c r="B368" s="54">
        <v>46150</v>
      </c>
      <c r="C368" s="49">
        <v>1744</v>
      </c>
      <c r="D368" s="51">
        <v>3</v>
      </c>
      <c r="E368" s="49">
        <v>2</v>
      </c>
      <c r="F368" s="148">
        <v>6.8769</v>
      </c>
      <c r="G368" s="148" t="s">
        <v>257</v>
      </c>
      <c r="H368" s="148">
        <v>10.3101</v>
      </c>
      <c r="I368" s="148" t="s">
        <v>257</v>
      </c>
      <c r="J368" s="148">
        <v>246282.125</v>
      </c>
      <c r="K368" s="148">
        <v>10695.147499999999</v>
      </c>
      <c r="L368" s="148">
        <v>2920.7429000000002</v>
      </c>
      <c r="M368" s="148" t="s">
        <v>257</v>
      </c>
      <c r="N368" s="148" t="s">
        <v>257</v>
      </c>
      <c r="O368" s="51">
        <v>123.23</v>
      </c>
      <c r="P368" s="49" t="s">
        <v>814</v>
      </c>
      <c r="Q368" s="49" t="s">
        <v>258</v>
      </c>
    </row>
    <row r="369" spans="1:17" ht="14.4" customHeight="1" x14ac:dyDescent="0.3">
      <c r="A369" s="49" t="s">
        <v>798</v>
      </c>
      <c r="B369" s="54">
        <v>46150</v>
      </c>
      <c r="C369" s="49">
        <v>1745</v>
      </c>
      <c r="D369" s="51">
        <v>3.5</v>
      </c>
      <c r="E369" s="49">
        <v>1</v>
      </c>
      <c r="F369" s="148">
        <v>9.8232999999999997</v>
      </c>
      <c r="G369" s="148" t="s">
        <v>257</v>
      </c>
      <c r="H369" s="148" t="s">
        <v>257</v>
      </c>
      <c r="I369" s="148" t="s">
        <v>257</v>
      </c>
      <c r="J369" s="148">
        <v>214771.5312</v>
      </c>
      <c r="K369" s="148">
        <v>9407.5830000000005</v>
      </c>
      <c r="L369" s="148">
        <v>2023.0255999999999</v>
      </c>
      <c r="M369" s="148">
        <v>8.1776</v>
      </c>
      <c r="N369" s="148" t="s">
        <v>257</v>
      </c>
      <c r="O369" s="51">
        <v>122.81</v>
      </c>
      <c r="P369" s="49" t="s">
        <v>814</v>
      </c>
      <c r="Q369" s="49" t="s">
        <v>258</v>
      </c>
    </row>
    <row r="370" spans="1:17" ht="14.4" customHeight="1" x14ac:dyDescent="0.3">
      <c r="A370" s="49" t="s">
        <v>798</v>
      </c>
      <c r="B370" s="54">
        <v>46150</v>
      </c>
      <c r="C370" s="49">
        <v>1746</v>
      </c>
      <c r="D370" s="51">
        <v>3.5</v>
      </c>
      <c r="E370" s="49">
        <v>2</v>
      </c>
      <c r="F370" s="148">
        <v>15.6685</v>
      </c>
      <c r="G370" s="148" t="s">
        <v>257</v>
      </c>
      <c r="H370" s="148">
        <v>5.5819000000000001</v>
      </c>
      <c r="I370" s="148" t="s">
        <v>257</v>
      </c>
      <c r="J370" s="148">
        <v>217016.10939999999</v>
      </c>
      <c r="K370" s="148">
        <v>9606.8145000000004</v>
      </c>
      <c r="L370" s="148">
        <v>2080.2460999999998</v>
      </c>
      <c r="M370" s="148">
        <v>8.4564000000000004</v>
      </c>
      <c r="N370" s="148" t="s">
        <v>257</v>
      </c>
      <c r="O370" s="51">
        <v>120.23</v>
      </c>
      <c r="P370" s="49" t="s">
        <v>814</v>
      </c>
      <c r="Q370" s="49" t="s">
        <v>258</v>
      </c>
    </row>
    <row r="371" spans="1:17" ht="14.4" customHeight="1" x14ac:dyDescent="0.3">
      <c r="A371" s="49" t="s">
        <v>798</v>
      </c>
      <c r="B371" s="54">
        <v>46150</v>
      </c>
      <c r="C371" s="49">
        <v>1747</v>
      </c>
      <c r="D371" s="51">
        <v>4</v>
      </c>
      <c r="E371" s="49">
        <v>1</v>
      </c>
      <c r="F371" s="148">
        <v>8.7399000000000004</v>
      </c>
      <c r="G371" s="148" t="s">
        <v>257</v>
      </c>
      <c r="H371" s="148">
        <v>12.0825</v>
      </c>
      <c r="I371" s="148" t="s">
        <v>257</v>
      </c>
      <c r="J371" s="148">
        <v>171763.54689999999</v>
      </c>
      <c r="K371" s="148">
        <v>6298.9556000000002</v>
      </c>
      <c r="L371" s="148">
        <v>3490.7898</v>
      </c>
      <c r="M371" s="148">
        <v>33.959600000000002</v>
      </c>
      <c r="N371" s="148" t="s">
        <v>257</v>
      </c>
      <c r="O371" s="51">
        <v>120.66</v>
      </c>
      <c r="P371" s="49" t="s">
        <v>814</v>
      </c>
      <c r="Q371" s="49" t="s">
        <v>258</v>
      </c>
    </row>
    <row r="372" spans="1:17" ht="14.4" customHeight="1" x14ac:dyDescent="0.3">
      <c r="A372" s="49" t="s">
        <v>798</v>
      </c>
      <c r="B372" s="54">
        <v>46150</v>
      </c>
      <c r="C372" s="49">
        <v>1748</v>
      </c>
      <c r="D372" s="51">
        <v>4</v>
      </c>
      <c r="E372" s="49">
        <v>2</v>
      </c>
      <c r="F372" s="148">
        <v>10.731</v>
      </c>
      <c r="G372" s="148" t="s">
        <v>257</v>
      </c>
      <c r="H372" s="148">
        <v>6.6580000000000004</v>
      </c>
      <c r="I372" s="148" t="s">
        <v>257</v>
      </c>
      <c r="J372" s="148">
        <v>182515.75</v>
      </c>
      <c r="K372" s="148">
        <v>7725.4341000000004</v>
      </c>
      <c r="L372" s="148">
        <v>1661.8670999999999</v>
      </c>
      <c r="M372" s="148">
        <v>34.031700000000001</v>
      </c>
      <c r="N372" s="148" t="s">
        <v>257</v>
      </c>
      <c r="O372" s="51">
        <v>120.15</v>
      </c>
      <c r="P372" s="49" t="s">
        <v>814</v>
      </c>
      <c r="Q372" s="49" t="s">
        <v>258</v>
      </c>
    </row>
    <row r="373" spans="1:17" ht="14.4" customHeight="1" x14ac:dyDescent="0.3">
      <c r="A373" s="46" t="s">
        <v>800</v>
      </c>
      <c r="B373" s="53">
        <v>46150</v>
      </c>
      <c r="C373" s="46">
        <v>1749</v>
      </c>
      <c r="D373" s="52">
        <v>0</v>
      </c>
      <c r="E373" s="46">
        <v>1</v>
      </c>
      <c r="F373" s="147" t="s">
        <v>257</v>
      </c>
      <c r="G373" s="147">
        <v>14.472200000000001</v>
      </c>
      <c r="H373" s="147">
        <v>3.4119999999999999</v>
      </c>
      <c r="I373" s="147">
        <v>16.669799999999999</v>
      </c>
      <c r="J373" s="147">
        <v>8610.0586000000003</v>
      </c>
      <c r="K373" s="147" t="s">
        <v>257</v>
      </c>
      <c r="L373" s="147">
        <v>11763.9521</v>
      </c>
      <c r="M373" s="147" t="s">
        <v>257</v>
      </c>
      <c r="N373" s="147" t="s">
        <v>257</v>
      </c>
      <c r="O373" s="52">
        <v>123.22</v>
      </c>
      <c r="P373" s="46" t="s">
        <v>814</v>
      </c>
      <c r="Q373" s="46" t="s">
        <v>258</v>
      </c>
    </row>
    <row r="374" spans="1:17" ht="14.4" customHeight="1" x14ac:dyDescent="0.3">
      <c r="A374" s="46" t="s">
        <v>800</v>
      </c>
      <c r="B374" s="53">
        <v>46150</v>
      </c>
      <c r="C374" s="46">
        <v>1750</v>
      </c>
      <c r="D374" s="52">
        <v>0</v>
      </c>
      <c r="E374" s="46">
        <v>2</v>
      </c>
      <c r="F374" s="147" t="s">
        <v>257</v>
      </c>
      <c r="G374" s="147">
        <v>13.998900000000001</v>
      </c>
      <c r="H374" s="147">
        <v>3.0202</v>
      </c>
      <c r="I374" s="147">
        <v>17.733899999999998</v>
      </c>
      <c r="J374" s="147">
        <v>9692.7538999999997</v>
      </c>
      <c r="K374" s="147" t="s">
        <v>257</v>
      </c>
      <c r="L374" s="147">
        <v>12178.640600000001</v>
      </c>
      <c r="M374" s="147" t="s">
        <v>257</v>
      </c>
      <c r="N374" s="147" t="s">
        <v>257</v>
      </c>
      <c r="O374" s="52">
        <v>120.55</v>
      </c>
      <c r="P374" s="46" t="s">
        <v>814</v>
      </c>
      <c r="Q374" s="46" t="s">
        <v>258</v>
      </c>
    </row>
    <row r="375" spans="1:17" ht="14.4" customHeight="1" x14ac:dyDescent="0.3">
      <c r="A375" s="46" t="s">
        <v>800</v>
      </c>
      <c r="B375" s="53">
        <v>46150</v>
      </c>
      <c r="C375" s="46">
        <v>1751</v>
      </c>
      <c r="D375" s="52">
        <v>0.5</v>
      </c>
      <c r="E375" s="46">
        <v>1</v>
      </c>
      <c r="F375" s="147" t="s">
        <v>257</v>
      </c>
      <c r="G375" s="147">
        <v>28.683299999999999</v>
      </c>
      <c r="H375" s="147">
        <v>6.0942999999999996</v>
      </c>
      <c r="I375" s="147">
        <v>15.5322</v>
      </c>
      <c r="J375" s="147">
        <v>6764.1566999999995</v>
      </c>
      <c r="K375" s="147" t="s">
        <v>257</v>
      </c>
      <c r="L375" s="147">
        <v>5475.9306999999999</v>
      </c>
      <c r="M375" s="147" t="s">
        <v>257</v>
      </c>
      <c r="N375" s="147" t="s">
        <v>257</v>
      </c>
      <c r="O375" s="52">
        <v>120.47</v>
      </c>
      <c r="P375" s="46" t="s">
        <v>814</v>
      </c>
      <c r="Q375" s="46" t="s">
        <v>258</v>
      </c>
    </row>
    <row r="376" spans="1:17" ht="14.4" customHeight="1" x14ac:dyDescent="0.3">
      <c r="A376" s="46" t="s">
        <v>800</v>
      </c>
      <c r="B376" s="53">
        <v>46150</v>
      </c>
      <c r="C376" s="46">
        <v>1752</v>
      </c>
      <c r="D376" s="52">
        <v>0.5</v>
      </c>
      <c r="E376" s="46">
        <v>2</v>
      </c>
      <c r="F376" s="147" t="s">
        <v>257</v>
      </c>
      <c r="G376" s="147">
        <v>30.7837</v>
      </c>
      <c r="H376" s="147">
        <v>5.9154999999999998</v>
      </c>
      <c r="I376" s="147">
        <v>14.838800000000001</v>
      </c>
      <c r="J376" s="147">
        <v>7697.6347999999998</v>
      </c>
      <c r="K376" s="147" t="s">
        <v>257</v>
      </c>
      <c r="L376" s="147">
        <v>5826.3091000000004</v>
      </c>
      <c r="M376" s="147" t="s">
        <v>257</v>
      </c>
      <c r="N376" s="147" t="s">
        <v>257</v>
      </c>
      <c r="O376" s="52">
        <v>123.01</v>
      </c>
      <c r="P376" s="46" t="s">
        <v>814</v>
      </c>
      <c r="Q376" s="46" t="s">
        <v>258</v>
      </c>
    </row>
    <row r="377" spans="1:17" ht="14.4" customHeight="1" x14ac:dyDescent="0.3">
      <c r="A377" s="46" t="s">
        <v>800</v>
      </c>
      <c r="B377" s="53">
        <v>46150</v>
      </c>
      <c r="C377" s="46">
        <v>1753</v>
      </c>
      <c r="D377" s="52">
        <v>1</v>
      </c>
      <c r="E377" s="46">
        <v>1</v>
      </c>
      <c r="F377" s="147" t="s">
        <v>257</v>
      </c>
      <c r="G377" s="147">
        <v>26.586600000000001</v>
      </c>
      <c r="H377" s="147">
        <v>5.5094000000000003</v>
      </c>
      <c r="I377" s="147">
        <v>12.698600000000001</v>
      </c>
      <c r="J377" s="147">
        <v>7880.0933000000005</v>
      </c>
      <c r="K377" s="147" t="s">
        <v>257</v>
      </c>
      <c r="L377" s="147">
        <v>8700.3847999999998</v>
      </c>
      <c r="M377" s="147" t="s">
        <v>257</v>
      </c>
      <c r="N377" s="147" t="s">
        <v>257</v>
      </c>
      <c r="O377" s="52">
        <v>122.94</v>
      </c>
      <c r="P377" s="46" t="s">
        <v>814</v>
      </c>
      <c r="Q377" s="46" t="s">
        <v>258</v>
      </c>
    </row>
    <row r="378" spans="1:17" ht="14.4" customHeight="1" x14ac:dyDescent="0.3">
      <c r="A378" s="46" t="s">
        <v>800</v>
      </c>
      <c r="B378" s="53">
        <v>46150</v>
      </c>
      <c r="C378" s="46">
        <v>1754</v>
      </c>
      <c r="D378" s="52">
        <v>1</v>
      </c>
      <c r="E378" s="46">
        <v>2</v>
      </c>
      <c r="F378" s="147" t="s">
        <v>257</v>
      </c>
      <c r="G378" s="147">
        <v>26.98</v>
      </c>
      <c r="H378" s="147">
        <v>5.0639000000000003</v>
      </c>
      <c r="I378" s="147">
        <v>14.8079</v>
      </c>
      <c r="J378" s="147">
        <v>7960.3931000000002</v>
      </c>
      <c r="K378" s="147" t="s">
        <v>257</v>
      </c>
      <c r="L378" s="147">
        <v>9242.2235999999994</v>
      </c>
      <c r="M378" s="147" t="s">
        <v>257</v>
      </c>
      <c r="N378" s="147" t="s">
        <v>257</v>
      </c>
      <c r="O378" s="52">
        <v>120.08</v>
      </c>
      <c r="P378" s="46" t="s">
        <v>814</v>
      </c>
      <c r="Q378" s="46" t="s">
        <v>258</v>
      </c>
    </row>
    <row r="379" spans="1:17" ht="14.4" customHeight="1" x14ac:dyDescent="0.3">
      <c r="A379" s="46" t="s">
        <v>800</v>
      </c>
      <c r="B379" s="53">
        <v>46150</v>
      </c>
      <c r="C379" s="46">
        <v>1755</v>
      </c>
      <c r="D379" s="52">
        <v>1.5</v>
      </c>
      <c r="E379" s="46">
        <v>1</v>
      </c>
      <c r="F379" s="147" t="s">
        <v>257</v>
      </c>
      <c r="G379" s="147">
        <v>22.154499999999999</v>
      </c>
      <c r="H379" s="147">
        <v>4.2465000000000002</v>
      </c>
      <c r="I379" s="147">
        <v>13.448600000000001</v>
      </c>
      <c r="J379" s="147">
        <v>8902.8291000000008</v>
      </c>
      <c r="K379" s="147" t="s">
        <v>257</v>
      </c>
      <c r="L379" s="147">
        <v>7610.9350999999997</v>
      </c>
      <c r="M379" s="147" t="s">
        <v>257</v>
      </c>
      <c r="N379" s="147" t="s">
        <v>257</v>
      </c>
      <c r="O379" s="52">
        <v>120.36</v>
      </c>
      <c r="P379" s="46" t="s">
        <v>814</v>
      </c>
      <c r="Q379" s="46" t="s">
        <v>258</v>
      </c>
    </row>
    <row r="380" spans="1:17" ht="14.4" customHeight="1" x14ac:dyDescent="0.3">
      <c r="A380" s="46" t="s">
        <v>800</v>
      </c>
      <c r="B380" s="53">
        <v>46150</v>
      </c>
      <c r="C380" s="46">
        <v>1756</v>
      </c>
      <c r="D380" s="52">
        <v>1.5</v>
      </c>
      <c r="E380" s="46">
        <v>2</v>
      </c>
      <c r="F380" s="147" t="s">
        <v>257</v>
      </c>
      <c r="G380" s="147">
        <v>20.630400000000002</v>
      </c>
      <c r="H380" s="147">
        <v>3.6629</v>
      </c>
      <c r="I380" s="147">
        <v>14.3856</v>
      </c>
      <c r="J380" s="147">
        <v>8994.7559000000001</v>
      </c>
      <c r="K380" s="147" t="s">
        <v>257</v>
      </c>
      <c r="L380" s="147">
        <v>7259.2983000000004</v>
      </c>
      <c r="M380" s="147" t="s">
        <v>257</v>
      </c>
      <c r="N380" s="147" t="s">
        <v>257</v>
      </c>
      <c r="O380" s="52">
        <v>120.55</v>
      </c>
      <c r="P380" s="46" t="s">
        <v>814</v>
      </c>
      <c r="Q380" s="46" t="s">
        <v>258</v>
      </c>
    </row>
    <row r="381" spans="1:17" ht="14.4" customHeight="1" x14ac:dyDescent="0.3">
      <c r="A381" s="46" t="s">
        <v>800</v>
      </c>
      <c r="B381" s="53">
        <v>46150</v>
      </c>
      <c r="C381" s="46">
        <v>1757</v>
      </c>
      <c r="D381" s="52">
        <v>2</v>
      </c>
      <c r="E381" s="46">
        <v>1</v>
      </c>
      <c r="F381" s="147">
        <v>6.2453000000000003</v>
      </c>
      <c r="G381" s="147">
        <v>22.480599999999999</v>
      </c>
      <c r="H381" s="147" t="s">
        <v>257</v>
      </c>
      <c r="I381" s="147">
        <v>14.144299999999999</v>
      </c>
      <c r="J381" s="147">
        <v>11232.3086</v>
      </c>
      <c r="K381" s="147" t="s">
        <v>257</v>
      </c>
      <c r="L381" s="147">
        <v>8789.7217000000001</v>
      </c>
      <c r="M381" s="147" t="s">
        <v>257</v>
      </c>
      <c r="N381" s="147" t="s">
        <v>257</v>
      </c>
      <c r="O381" s="52">
        <v>122.97</v>
      </c>
      <c r="P381" s="46" t="s">
        <v>814</v>
      </c>
      <c r="Q381" s="46" t="s">
        <v>258</v>
      </c>
    </row>
    <row r="382" spans="1:17" ht="14.4" customHeight="1" x14ac:dyDescent="0.3">
      <c r="A382" s="46" t="s">
        <v>800</v>
      </c>
      <c r="B382" s="53">
        <v>46150</v>
      </c>
      <c r="C382" s="46">
        <v>1758</v>
      </c>
      <c r="D382" s="52">
        <v>2</v>
      </c>
      <c r="E382" s="46">
        <v>2</v>
      </c>
      <c r="F382" s="147">
        <v>2.3527999999999998</v>
      </c>
      <c r="G382" s="147">
        <v>22.620799999999999</v>
      </c>
      <c r="H382" s="147">
        <v>3.2014999999999998</v>
      </c>
      <c r="I382" s="147">
        <v>11.955399999999999</v>
      </c>
      <c r="J382" s="147">
        <v>11064.7754</v>
      </c>
      <c r="K382" s="147" t="s">
        <v>257</v>
      </c>
      <c r="L382" s="147">
        <v>8788.5722999999998</v>
      </c>
      <c r="M382" s="147" t="s">
        <v>257</v>
      </c>
      <c r="N382" s="147" t="s">
        <v>257</v>
      </c>
      <c r="O382" s="52">
        <v>122.89</v>
      </c>
      <c r="P382" s="46" t="s">
        <v>814</v>
      </c>
      <c r="Q382" s="46" t="s">
        <v>258</v>
      </c>
    </row>
    <row r="383" spans="1:17" ht="14.4" customHeight="1" x14ac:dyDescent="0.3">
      <c r="A383" s="46" t="s">
        <v>800</v>
      </c>
      <c r="B383" s="53">
        <v>46150</v>
      </c>
      <c r="C383" s="46">
        <v>1759</v>
      </c>
      <c r="D383" s="52">
        <v>2</v>
      </c>
      <c r="E383" s="46">
        <v>3</v>
      </c>
      <c r="F383" s="147">
        <v>6.4063999999999997</v>
      </c>
      <c r="G383" s="147">
        <v>22.2012</v>
      </c>
      <c r="H383" s="147">
        <v>3.5015999999999998</v>
      </c>
      <c r="I383" s="147">
        <v>14.6128</v>
      </c>
      <c r="J383" s="147">
        <v>9900.2998000000007</v>
      </c>
      <c r="K383" s="147" t="s">
        <v>257</v>
      </c>
      <c r="L383" s="147">
        <v>6729.6977999999999</v>
      </c>
      <c r="M383" s="147" t="s">
        <v>257</v>
      </c>
      <c r="N383" s="147" t="s">
        <v>257</v>
      </c>
      <c r="O383" s="52">
        <v>122.98</v>
      </c>
      <c r="P383" s="46" t="s">
        <v>814</v>
      </c>
      <c r="Q383" s="46" t="s">
        <v>258</v>
      </c>
    </row>
    <row r="384" spans="1:17" ht="14.4" customHeight="1" x14ac:dyDescent="0.3">
      <c r="A384" s="46" t="s">
        <v>800</v>
      </c>
      <c r="B384" s="53">
        <v>46150</v>
      </c>
      <c r="C384" s="46">
        <v>1760</v>
      </c>
      <c r="D384" s="52">
        <v>2.5</v>
      </c>
      <c r="E384" s="46">
        <v>1</v>
      </c>
      <c r="F384" s="147" t="s">
        <v>257</v>
      </c>
      <c r="G384" s="147">
        <v>29.540099999999999</v>
      </c>
      <c r="H384" s="147">
        <v>4.3178000000000001</v>
      </c>
      <c r="I384" s="147">
        <v>21.500800000000002</v>
      </c>
      <c r="J384" s="147">
        <v>12560.386699999999</v>
      </c>
      <c r="K384" s="147" t="s">
        <v>257</v>
      </c>
      <c r="L384" s="147">
        <v>11891.0928</v>
      </c>
      <c r="M384" s="147" t="s">
        <v>257</v>
      </c>
      <c r="N384" s="147" t="s">
        <v>257</v>
      </c>
      <c r="O384" s="52">
        <v>122.71</v>
      </c>
      <c r="P384" s="46" t="s">
        <v>814</v>
      </c>
      <c r="Q384" s="46" t="s">
        <v>258</v>
      </c>
    </row>
    <row r="385" spans="1:17" ht="14.4" customHeight="1" x14ac:dyDescent="0.3">
      <c r="A385" s="46" t="s">
        <v>800</v>
      </c>
      <c r="B385" s="53">
        <v>46150</v>
      </c>
      <c r="C385" s="46">
        <v>1761</v>
      </c>
      <c r="D385" s="52">
        <v>2.5</v>
      </c>
      <c r="E385" s="46">
        <v>2</v>
      </c>
      <c r="F385" s="147" t="s">
        <v>257</v>
      </c>
      <c r="G385" s="147">
        <v>30.6754</v>
      </c>
      <c r="H385" s="147">
        <v>3.6737000000000002</v>
      </c>
      <c r="I385" s="147">
        <v>18.534700000000001</v>
      </c>
      <c r="J385" s="147">
        <v>12694.670899999999</v>
      </c>
      <c r="K385" s="147" t="s">
        <v>257</v>
      </c>
      <c r="L385" s="147">
        <v>11479.0371</v>
      </c>
      <c r="M385" s="147" t="s">
        <v>257</v>
      </c>
      <c r="N385" s="147" t="s">
        <v>257</v>
      </c>
      <c r="O385" s="52">
        <v>122.79</v>
      </c>
      <c r="P385" s="46" t="s">
        <v>814</v>
      </c>
      <c r="Q385" s="46" t="s">
        <v>258</v>
      </c>
    </row>
    <row r="386" spans="1:17" ht="14.4" customHeight="1" x14ac:dyDescent="0.3">
      <c r="A386" s="46" t="s">
        <v>800</v>
      </c>
      <c r="B386" s="53">
        <v>46150</v>
      </c>
      <c r="C386" s="46">
        <v>1762</v>
      </c>
      <c r="D386" s="52">
        <v>3</v>
      </c>
      <c r="E386" s="46">
        <v>1</v>
      </c>
      <c r="F386" s="147" t="s">
        <v>257</v>
      </c>
      <c r="G386" s="147">
        <v>30.985399999999998</v>
      </c>
      <c r="H386" s="147">
        <v>4.9489999999999998</v>
      </c>
      <c r="I386" s="147">
        <v>14.703099999999999</v>
      </c>
      <c r="J386" s="147">
        <v>12617.358399999999</v>
      </c>
      <c r="K386" s="147" t="s">
        <v>257</v>
      </c>
      <c r="L386" s="147">
        <v>12100.4941</v>
      </c>
      <c r="M386" s="147" t="s">
        <v>257</v>
      </c>
      <c r="N386" s="147" t="s">
        <v>257</v>
      </c>
      <c r="O386" s="52">
        <v>122.97</v>
      </c>
      <c r="P386" s="46" t="s">
        <v>814</v>
      </c>
      <c r="Q386" s="46" t="s">
        <v>258</v>
      </c>
    </row>
    <row r="387" spans="1:17" ht="14.4" customHeight="1" x14ac:dyDescent="0.3">
      <c r="A387" s="46" t="s">
        <v>800</v>
      </c>
      <c r="B387" s="53">
        <v>46150</v>
      </c>
      <c r="C387" s="46">
        <v>1764</v>
      </c>
      <c r="D387" s="52">
        <v>3</v>
      </c>
      <c r="E387" s="46">
        <v>2</v>
      </c>
      <c r="F387" s="147">
        <v>2.2837000000000001</v>
      </c>
      <c r="G387" s="147">
        <v>34.855499999999999</v>
      </c>
      <c r="H387" s="147">
        <v>4.6509</v>
      </c>
      <c r="I387" s="147">
        <v>10.7288</v>
      </c>
      <c r="J387" s="147">
        <v>12327.375</v>
      </c>
      <c r="K387" s="147" t="s">
        <v>257</v>
      </c>
      <c r="L387" s="147">
        <v>10940.713900000001</v>
      </c>
      <c r="M387" s="147" t="s">
        <v>257</v>
      </c>
      <c r="N387" s="147" t="s">
        <v>257</v>
      </c>
      <c r="O387" s="52">
        <v>122.98</v>
      </c>
      <c r="P387" s="46" t="s">
        <v>814</v>
      </c>
      <c r="Q387" s="46" t="s">
        <v>258</v>
      </c>
    </row>
    <row r="388" spans="1:17" ht="14.4" customHeight="1" x14ac:dyDescent="0.3">
      <c r="A388" s="46" t="s">
        <v>800</v>
      </c>
      <c r="B388" s="53">
        <v>46150</v>
      </c>
      <c r="C388" s="46">
        <v>1765</v>
      </c>
      <c r="D388" s="52">
        <v>3.5</v>
      </c>
      <c r="E388" s="46">
        <v>1</v>
      </c>
      <c r="F388" s="147">
        <v>5.0801999999999996</v>
      </c>
      <c r="G388" s="147">
        <v>46.8474</v>
      </c>
      <c r="H388" s="147">
        <v>3.6574</v>
      </c>
      <c r="I388" s="147">
        <v>22.072399999999998</v>
      </c>
      <c r="J388" s="147">
        <v>12405.9238</v>
      </c>
      <c r="K388" s="147" t="s">
        <v>257</v>
      </c>
      <c r="L388" s="147">
        <v>11199.7881</v>
      </c>
      <c r="M388" s="147" t="s">
        <v>257</v>
      </c>
      <c r="N388" s="147" t="s">
        <v>257</v>
      </c>
      <c r="O388" s="52">
        <v>122.96</v>
      </c>
      <c r="P388" s="46" t="s">
        <v>814</v>
      </c>
      <c r="Q388" s="46" t="s">
        <v>258</v>
      </c>
    </row>
    <row r="389" spans="1:17" ht="14.4" customHeight="1" x14ac:dyDescent="0.3">
      <c r="A389" s="46" t="s">
        <v>800</v>
      </c>
      <c r="B389" s="53">
        <v>46150</v>
      </c>
      <c r="C389" s="46">
        <v>1766</v>
      </c>
      <c r="D389" s="52">
        <v>3.5</v>
      </c>
      <c r="E389" s="46">
        <v>2</v>
      </c>
      <c r="F389" s="147">
        <v>5.5613999999999999</v>
      </c>
      <c r="G389" s="147">
        <v>52.914099999999998</v>
      </c>
      <c r="H389" s="147">
        <v>6.3914</v>
      </c>
      <c r="I389" s="147">
        <v>23.444900000000001</v>
      </c>
      <c r="J389" s="147">
        <v>13915.2744</v>
      </c>
      <c r="K389" s="147" t="s">
        <v>257</v>
      </c>
      <c r="L389" s="147">
        <v>10938.834999999999</v>
      </c>
      <c r="M389" s="147" t="s">
        <v>257</v>
      </c>
      <c r="N389" s="147" t="s">
        <v>257</v>
      </c>
      <c r="O389" s="52">
        <v>122.76</v>
      </c>
      <c r="P389" s="46" t="s">
        <v>814</v>
      </c>
      <c r="Q389" s="46" t="s">
        <v>258</v>
      </c>
    </row>
    <row r="390" spans="1:17" ht="14.4" customHeight="1" x14ac:dyDescent="0.3">
      <c r="A390" s="46" t="s">
        <v>800</v>
      </c>
      <c r="B390" s="53">
        <v>46150</v>
      </c>
      <c r="C390" s="46">
        <v>1767</v>
      </c>
      <c r="D390" s="52">
        <v>4</v>
      </c>
      <c r="E390" s="46">
        <v>1</v>
      </c>
      <c r="F390" s="147" t="s">
        <v>257</v>
      </c>
      <c r="G390" s="147">
        <v>55.704799999999999</v>
      </c>
      <c r="H390" s="147">
        <v>5.51</v>
      </c>
      <c r="I390" s="147">
        <v>17.547899999999998</v>
      </c>
      <c r="J390" s="147">
        <v>13903.6895</v>
      </c>
      <c r="K390" s="147" t="s">
        <v>257</v>
      </c>
      <c r="L390" s="147">
        <v>10983.179700000001</v>
      </c>
      <c r="M390" s="147" t="s">
        <v>257</v>
      </c>
      <c r="N390" s="147" t="s">
        <v>257</v>
      </c>
      <c r="O390" s="52">
        <v>122.94</v>
      </c>
      <c r="P390" s="46" t="s">
        <v>814</v>
      </c>
      <c r="Q390" s="46" t="s">
        <v>258</v>
      </c>
    </row>
    <row r="391" spans="1:17" ht="14.4" customHeight="1" x14ac:dyDescent="0.3">
      <c r="A391" s="46" t="s">
        <v>800</v>
      </c>
      <c r="B391" s="53">
        <v>46150</v>
      </c>
      <c r="C391" s="46">
        <v>1768</v>
      </c>
      <c r="D391" s="52">
        <v>4</v>
      </c>
      <c r="E391" s="46">
        <v>2</v>
      </c>
      <c r="F391" s="147">
        <v>2.2328999999999999</v>
      </c>
      <c r="G391" s="147">
        <v>51.098700000000001</v>
      </c>
      <c r="H391" s="147">
        <v>7.7805</v>
      </c>
      <c r="I391" s="147">
        <v>23.970800000000001</v>
      </c>
      <c r="J391" s="147">
        <v>13426.3848</v>
      </c>
      <c r="K391" s="147" t="s">
        <v>257</v>
      </c>
      <c r="L391" s="147">
        <v>11114.354499999999</v>
      </c>
      <c r="M391" s="147" t="s">
        <v>257</v>
      </c>
      <c r="N391" s="147" t="s">
        <v>257</v>
      </c>
      <c r="O391" s="52">
        <v>122.78</v>
      </c>
      <c r="P391" s="46" t="s">
        <v>814</v>
      </c>
      <c r="Q391" s="46" t="s">
        <v>258</v>
      </c>
    </row>
    <row r="392" spans="1:17" ht="14.4" customHeight="1" x14ac:dyDescent="0.3">
      <c r="A392" s="49" t="s">
        <v>801</v>
      </c>
      <c r="B392" s="54">
        <v>46150</v>
      </c>
      <c r="C392" s="49">
        <v>1769</v>
      </c>
      <c r="D392" s="51">
        <v>0</v>
      </c>
      <c r="E392" s="49">
        <v>1</v>
      </c>
      <c r="F392" s="148" t="s">
        <v>257</v>
      </c>
      <c r="G392" s="148" t="s">
        <v>257</v>
      </c>
      <c r="H392" s="148">
        <v>5.2244999999999999</v>
      </c>
      <c r="I392" s="148" t="s">
        <v>257</v>
      </c>
      <c r="J392" s="148">
        <v>36674.941400000003</v>
      </c>
      <c r="K392" s="148">
        <v>616.61850000000004</v>
      </c>
      <c r="L392" s="148">
        <v>940.03859999999997</v>
      </c>
      <c r="M392" s="148">
        <v>44.301299999999998</v>
      </c>
      <c r="N392" s="148">
        <v>24.4542</v>
      </c>
      <c r="O392" s="51">
        <v>122.8</v>
      </c>
      <c r="P392" s="49" t="s">
        <v>814</v>
      </c>
      <c r="Q392" s="49" t="s">
        <v>258</v>
      </c>
    </row>
    <row r="393" spans="1:17" ht="14.4" customHeight="1" x14ac:dyDescent="0.3">
      <c r="A393" s="49" t="s">
        <v>801</v>
      </c>
      <c r="B393" s="54">
        <v>46150</v>
      </c>
      <c r="C393" s="49">
        <v>1770</v>
      </c>
      <c r="D393" s="51">
        <v>0</v>
      </c>
      <c r="E393" s="49">
        <v>2</v>
      </c>
      <c r="F393" s="148" t="s">
        <v>257</v>
      </c>
      <c r="G393" s="148" t="s">
        <v>257</v>
      </c>
      <c r="H393" s="148">
        <v>4.4901999999999997</v>
      </c>
      <c r="I393" s="148" t="s">
        <v>257</v>
      </c>
      <c r="J393" s="148">
        <v>36567.515599999999</v>
      </c>
      <c r="K393" s="148">
        <v>561.0403</v>
      </c>
      <c r="L393" s="148">
        <v>809.90160000000003</v>
      </c>
      <c r="M393" s="148">
        <v>48.905099999999997</v>
      </c>
      <c r="N393" s="148">
        <v>23.168700000000001</v>
      </c>
      <c r="O393" s="51">
        <v>120.46</v>
      </c>
      <c r="P393" s="49" t="s">
        <v>814</v>
      </c>
      <c r="Q393" s="49" t="s">
        <v>258</v>
      </c>
    </row>
    <row r="394" spans="1:17" ht="14.4" customHeight="1" x14ac:dyDescent="0.3">
      <c r="A394" s="49" t="s">
        <v>801</v>
      </c>
      <c r="B394" s="54">
        <v>46150</v>
      </c>
      <c r="C394" s="49">
        <v>1771</v>
      </c>
      <c r="D394" s="51">
        <v>0.5</v>
      </c>
      <c r="E394" s="49">
        <v>1</v>
      </c>
      <c r="F394" s="148" t="s">
        <v>257</v>
      </c>
      <c r="G394" s="148" t="s">
        <v>257</v>
      </c>
      <c r="H394" s="148">
        <v>5.6333000000000002</v>
      </c>
      <c r="I394" s="148" t="s">
        <v>257</v>
      </c>
      <c r="J394" s="148">
        <v>36315.566400000003</v>
      </c>
      <c r="K394" s="148">
        <v>587.40070000000003</v>
      </c>
      <c r="L394" s="148">
        <v>711.50689999999997</v>
      </c>
      <c r="M394" s="148">
        <v>39.645800000000001</v>
      </c>
      <c r="N394" s="148">
        <v>12.5526</v>
      </c>
      <c r="O394" s="51">
        <v>122.96</v>
      </c>
      <c r="P394" s="49" t="s">
        <v>814</v>
      </c>
      <c r="Q394" s="49" t="s">
        <v>258</v>
      </c>
    </row>
    <row r="395" spans="1:17" ht="14.4" customHeight="1" x14ac:dyDescent="0.3">
      <c r="A395" s="49" t="s">
        <v>801</v>
      </c>
      <c r="B395" s="54">
        <v>46150</v>
      </c>
      <c r="C395" s="49">
        <v>1772</v>
      </c>
      <c r="D395" s="51">
        <v>0.5</v>
      </c>
      <c r="E395" s="49">
        <v>2</v>
      </c>
      <c r="F395" s="148" t="s">
        <v>257</v>
      </c>
      <c r="G395" s="148" t="s">
        <v>257</v>
      </c>
      <c r="H395" s="148">
        <v>6.0824999999999996</v>
      </c>
      <c r="I395" s="148" t="s">
        <v>257</v>
      </c>
      <c r="J395" s="148">
        <v>37224.214800000002</v>
      </c>
      <c r="K395" s="148">
        <v>618.73209999999995</v>
      </c>
      <c r="L395" s="148">
        <v>771.07380000000001</v>
      </c>
      <c r="M395" s="148">
        <v>45.868699999999997</v>
      </c>
      <c r="N395" s="148">
        <v>14.566000000000001</v>
      </c>
      <c r="O395" s="51">
        <v>120.57</v>
      </c>
      <c r="P395" s="49" t="s">
        <v>814</v>
      </c>
      <c r="Q395" s="49" t="s">
        <v>258</v>
      </c>
    </row>
    <row r="396" spans="1:17" ht="14.4" customHeight="1" x14ac:dyDescent="0.3">
      <c r="A396" s="49" t="s">
        <v>801</v>
      </c>
      <c r="B396" s="54">
        <v>46150</v>
      </c>
      <c r="C396" s="49">
        <v>1773</v>
      </c>
      <c r="D396" s="51">
        <v>1</v>
      </c>
      <c r="E396" s="49">
        <v>1</v>
      </c>
      <c r="F396" s="148" t="s">
        <v>257</v>
      </c>
      <c r="G396" s="148" t="s">
        <v>257</v>
      </c>
      <c r="H396" s="148">
        <v>3.4098999999999999</v>
      </c>
      <c r="I396" s="148" t="s">
        <v>257</v>
      </c>
      <c r="J396" s="148">
        <v>36557.558599999997</v>
      </c>
      <c r="K396" s="148">
        <v>577.98490000000004</v>
      </c>
      <c r="L396" s="148">
        <v>500.7004</v>
      </c>
      <c r="M396" s="148">
        <v>39.526000000000003</v>
      </c>
      <c r="N396" s="148">
        <v>17.6126</v>
      </c>
      <c r="O396" s="51">
        <v>122.81</v>
      </c>
      <c r="P396" s="49" t="s">
        <v>814</v>
      </c>
      <c r="Q396" s="49" t="s">
        <v>258</v>
      </c>
    </row>
    <row r="397" spans="1:17" ht="14.4" customHeight="1" x14ac:dyDescent="0.3">
      <c r="A397" s="49" t="s">
        <v>801</v>
      </c>
      <c r="B397" s="54">
        <v>46150</v>
      </c>
      <c r="C397" s="49">
        <v>1774</v>
      </c>
      <c r="D397" s="51">
        <v>1</v>
      </c>
      <c r="E397" s="49">
        <v>2</v>
      </c>
      <c r="F397" s="148" t="s">
        <v>257</v>
      </c>
      <c r="G397" s="148" t="s">
        <v>257</v>
      </c>
      <c r="H397" s="148">
        <v>3.8123999999999998</v>
      </c>
      <c r="I397" s="148" t="s">
        <v>257</v>
      </c>
      <c r="J397" s="148">
        <v>35126.765599999999</v>
      </c>
      <c r="K397" s="148">
        <v>556.00810000000001</v>
      </c>
      <c r="L397" s="148">
        <v>484.57249999999999</v>
      </c>
      <c r="M397" s="148">
        <v>38.521299999999997</v>
      </c>
      <c r="N397" s="148">
        <v>18.456499999999998</v>
      </c>
      <c r="O397" s="51">
        <v>122.88</v>
      </c>
      <c r="P397" s="49" t="s">
        <v>814</v>
      </c>
      <c r="Q397" s="49" t="s">
        <v>258</v>
      </c>
    </row>
    <row r="398" spans="1:17" ht="14.4" customHeight="1" x14ac:dyDescent="0.3">
      <c r="A398" s="49" t="s">
        <v>801</v>
      </c>
      <c r="B398" s="54">
        <v>46150</v>
      </c>
      <c r="C398" s="49">
        <v>1775</v>
      </c>
      <c r="D398" s="51">
        <v>1.5</v>
      </c>
      <c r="E398" s="49">
        <v>1</v>
      </c>
      <c r="F398" s="148" t="s">
        <v>257</v>
      </c>
      <c r="G398" s="148" t="s">
        <v>257</v>
      </c>
      <c r="H398" s="148">
        <v>3.2349999999999999</v>
      </c>
      <c r="I398" s="148" t="s">
        <v>257</v>
      </c>
      <c r="J398" s="148">
        <v>36082.882799999999</v>
      </c>
      <c r="K398" s="148">
        <v>591.0394</v>
      </c>
      <c r="L398" s="148">
        <v>359.71879999999999</v>
      </c>
      <c r="M398" s="148">
        <v>38.9467</v>
      </c>
      <c r="N398" s="148">
        <v>12.9109</v>
      </c>
      <c r="O398" s="51">
        <v>120.17</v>
      </c>
      <c r="P398" s="49" t="s">
        <v>814</v>
      </c>
      <c r="Q398" s="49" t="s">
        <v>258</v>
      </c>
    </row>
    <row r="399" spans="1:17" ht="14.4" customHeight="1" x14ac:dyDescent="0.3">
      <c r="A399" s="49" t="s">
        <v>801</v>
      </c>
      <c r="B399" s="54">
        <v>46150</v>
      </c>
      <c r="C399" s="49">
        <v>1776</v>
      </c>
      <c r="D399" s="51">
        <v>1.5</v>
      </c>
      <c r="E399" s="49">
        <v>2</v>
      </c>
      <c r="F399" s="148" t="s">
        <v>257</v>
      </c>
      <c r="G399" s="148" t="s">
        <v>257</v>
      </c>
      <c r="H399" s="148">
        <v>5.4718999999999998</v>
      </c>
      <c r="I399" s="148" t="s">
        <v>257</v>
      </c>
      <c r="J399" s="148">
        <v>35242.785199999998</v>
      </c>
      <c r="K399" s="148">
        <v>592.09690000000001</v>
      </c>
      <c r="L399" s="148">
        <v>399.87630000000001</v>
      </c>
      <c r="M399" s="148">
        <v>35.265300000000003</v>
      </c>
      <c r="N399" s="148">
        <v>11.143700000000001</v>
      </c>
      <c r="O399" s="51">
        <v>122.79</v>
      </c>
      <c r="P399" s="49" t="s">
        <v>814</v>
      </c>
      <c r="Q399" s="49" t="s">
        <v>258</v>
      </c>
    </row>
    <row r="400" spans="1:17" ht="14.4" customHeight="1" x14ac:dyDescent="0.3">
      <c r="A400" s="49" t="s">
        <v>801</v>
      </c>
      <c r="B400" s="54">
        <v>46150</v>
      </c>
      <c r="C400" s="49">
        <v>1777</v>
      </c>
      <c r="D400" s="51">
        <v>2</v>
      </c>
      <c r="E400" s="49">
        <v>1</v>
      </c>
      <c r="F400" s="148" t="s">
        <v>257</v>
      </c>
      <c r="G400" s="148" t="s">
        <v>257</v>
      </c>
      <c r="H400" s="148">
        <v>5.4187000000000003</v>
      </c>
      <c r="I400" s="148" t="s">
        <v>257</v>
      </c>
      <c r="J400" s="148">
        <v>38626.980499999998</v>
      </c>
      <c r="K400" s="148">
        <v>664.05740000000003</v>
      </c>
      <c r="L400" s="148">
        <v>430.99189999999999</v>
      </c>
      <c r="M400" s="148">
        <v>47.700800000000001</v>
      </c>
      <c r="N400" s="148">
        <v>13.6488</v>
      </c>
      <c r="O400" s="51">
        <v>120.57</v>
      </c>
      <c r="P400" s="49" t="s">
        <v>814</v>
      </c>
      <c r="Q400" s="49" t="s">
        <v>258</v>
      </c>
    </row>
    <row r="401" spans="1:17" ht="14.4" customHeight="1" x14ac:dyDescent="0.3">
      <c r="A401" s="49" t="s">
        <v>801</v>
      </c>
      <c r="B401" s="54">
        <v>46150</v>
      </c>
      <c r="C401" s="49">
        <v>1778</v>
      </c>
      <c r="D401" s="51">
        <v>2</v>
      </c>
      <c r="E401" s="49">
        <v>2</v>
      </c>
      <c r="F401" s="148" t="s">
        <v>257</v>
      </c>
      <c r="G401" s="148" t="s">
        <v>257</v>
      </c>
      <c r="H401" s="148">
        <v>4.2779999999999996</v>
      </c>
      <c r="I401" s="148" t="s">
        <v>257</v>
      </c>
      <c r="J401" s="148">
        <v>38501.375</v>
      </c>
      <c r="K401" s="148">
        <v>628.81920000000002</v>
      </c>
      <c r="L401" s="148">
        <v>299.02569999999997</v>
      </c>
      <c r="M401" s="148">
        <v>47.7776</v>
      </c>
      <c r="N401" s="148">
        <v>14.3004</v>
      </c>
      <c r="O401" s="51">
        <v>122.69</v>
      </c>
      <c r="P401" s="49" t="s">
        <v>814</v>
      </c>
      <c r="Q401" s="49" t="s">
        <v>258</v>
      </c>
    </row>
    <row r="402" spans="1:17" ht="14.4" customHeight="1" x14ac:dyDescent="0.3">
      <c r="A402" s="49" t="s">
        <v>801</v>
      </c>
      <c r="B402" s="54">
        <v>46150</v>
      </c>
      <c r="C402" s="49">
        <v>1779</v>
      </c>
      <c r="D402" s="51">
        <v>2.5</v>
      </c>
      <c r="E402" s="49">
        <v>1</v>
      </c>
      <c r="F402" s="148" t="s">
        <v>257</v>
      </c>
      <c r="G402" s="148" t="s">
        <v>257</v>
      </c>
      <c r="H402" s="148">
        <v>5.3897000000000004</v>
      </c>
      <c r="I402" s="148" t="s">
        <v>257</v>
      </c>
      <c r="J402" s="148">
        <v>36090.609400000001</v>
      </c>
      <c r="K402" s="148">
        <v>590.4742</v>
      </c>
      <c r="L402" s="148">
        <v>411.04919999999998</v>
      </c>
      <c r="M402" s="148">
        <v>39.581099999999999</v>
      </c>
      <c r="N402" s="148">
        <v>9.0200999999999993</v>
      </c>
      <c r="O402" s="51">
        <v>120.22</v>
      </c>
      <c r="P402" s="49" t="s">
        <v>814</v>
      </c>
      <c r="Q402" s="49" t="s">
        <v>258</v>
      </c>
    </row>
    <row r="403" spans="1:17" ht="14.4" customHeight="1" x14ac:dyDescent="0.3">
      <c r="A403" s="49" t="s">
        <v>801</v>
      </c>
      <c r="B403" s="54">
        <v>46150</v>
      </c>
      <c r="C403" s="49">
        <v>1780</v>
      </c>
      <c r="D403" s="51">
        <v>2.5</v>
      </c>
      <c r="E403" s="49">
        <v>2</v>
      </c>
      <c r="F403" s="148" t="s">
        <v>257</v>
      </c>
      <c r="G403" s="148" t="s">
        <v>257</v>
      </c>
      <c r="H403" s="148">
        <v>3.6999</v>
      </c>
      <c r="I403" s="148" t="s">
        <v>257</v>
      </c>
      <c r="J403" s="148">
        <v>36923.589800000002</v>
      </c>
      <c r="K403" s="148">
        <v>597.96469999999999</v>
      </c>
      <c r="L403" s="148">
        <v>533.08780000000002</v>
      </c>
      <c r="M403" s="148">
        <v>44.416200000000003</v>
      </c>
      <c r="N403" s="148">
        <v>8.9535</v>
      </c>
      <c r="O403" s="51">
        <v>120.18</v>
      </c>
      <c r="P403" s="49" t="s">
        <v>814</v>
      </c>
      <c r="Q403" s="49" t="s">
        <v>258</v>
      </c>
    </row>
    <row r="404" spans="1:17" ht="14.4" customHeight="1" x14ac:dyDescent="0.3">
      <c r="A404" s="49" t="s">
        <v>801</v>
      </c>
      <c r="B404" s="54">
        <v>46150</v>
      </c>
      <c r="C404" s="49">
        <v>1781</v>
      </c>
      <c r="D404" s="51">
        <v>3</v>
      </c>
      <c r="E404" s="49">
        <v>1</v>
      </c>
      <c r="F404" s="148" t="s">
        <v>257</v>
      </c>
      <c r="G404" s="148" t="s">
        <v>257</v>
      </c>
      <c r="H404" s="148" t="s">
        <v>257</v>
      </c>
      <c r="I404" s="148" t="s">
        <v>257</v>
      </c>
      <c r="J404" s="148">
        <v>34290.839800000002</v>
      </c>
      <c r="K404" s="148">
        <v>533.07190000000003</v>
      </c>
      <c r="L404" s="148">
        <v>385.6019</v>
      </c>
      <c r="M404" s="148">
        <v>30.214500000000001</v>
      </c>
      <c r="N404" s="148">
        <v>6.0418000000000003</v>
      </c>
      <c r="O404" s="51">
        <v>122.89</v>
      </c>
      <c r="P404" s="49" t="s">
        <v>814</v>
      </c>
      <c r="Q404" s="49" t="s">
        <v>258</v>
      </c>
    </row>
    <row r="405" spans="1:17" ht="14.4" customHeight="1" x14ac:dyDescent="0.3">
      <c r="A405" s="49" t="s">
        <v>801</v>
      </c>
      <c r="B405" s="54">
        <v>46150</v>
      </c>
      <c r="C405" s="49">
        <v>1782</v>
      </c>
      <c r="D405" s="51">
        <v>3</v>
      </c>
      <c r="E405" s="49">
        <v>2</v>
      </c>
      <c r="F405" s="148" t="s">
        <v>257</v>
      </c>
      <c r="G405" s="148" t="s">
        <v>257</v>
      </c>
      <c r="H405" s="148">
        <v>3.5767000000000002</v>
      </c>
      <c r="I405" s="148" t="s">
        <v>257</v>
      </c>
      <c r="J405" s="148">
        <v>33964.675799999997</v>
      </c>
      <c r="K405" s="148">
        <v>476.7799</v>
      </c>
      <c r="L405" s="148">
        <v>355.72770000000003</v>
      </c>
      <c r="M405" s="148">
        <v>29.3628</v>
      </c>
      <c r="N405" s="148">
        <v>7.3312999999999997</v>
      </c>
      <c r="O405" s="51">
        <v>120.42</v>
      </c>
      <c r="P405" s="49" t="s">
        <v>814</v>
      </c>
      <c r="Q405" s="49" t="s">
        <v>258</v>
      </c>
    </row>
    <row r="406" spans="1:17" ht="14.4" customHeight="1" x14ac:dyDescent="0.3">
      <c r="A406" s="49" t="s">
        <v>801</v>
      </c>
      <c r="B406" s="54">
        <v>46150</v>
      </c>
      <c r="C406" s="49">
        <v>1784</v>
      </c>
      <c r="D406" s="51">
        <v>3.5</v>
      </c>
      <c r="E406" s="49">
        <v>1</v>
      </c>
      <c r="F406" s="148" t="s">
        <v>257</v>
      </c>
      <c r="G406" s="148" t="s">
        <v>257</v>
      </c>
      <c r="H406" s="148">
        <v>5.5168999999999997</v>
      </c>
      <c r="I406" s="148" t="s">
        <v>257</v>
      </c>
      <c r="J406" s="148">
        <v>37604.644500000002</v>
      </c>
      <c r="K406" s="148">
        <v>616.36929999999995</v>
      </c>
      <c r="L406" s="148">
        <v>248.5848</v>
      </c>
      <c r="M406" s="148">
        <v>44.026800000000001</v>
      </c>
      <c r="N406" s="148">
        <v>9.1781000000000006</v>
      </c>
      <c r="O406" s="51">
        <v>123.14</v>
      </c>
      <c r="P406" s="49" t="s">
        <v>814</v>
      </c>
      <c r="Q406" s="49" t="s">
        <v>258</v>
      </c>
    </row>
    <row r="407" spans="1:17" ht="14.4" customHeight="1" x14ac:dyDescent="0.3">
      <c r="A407" s="49" t="s">
        <v>801</v>
      </c>
      <c r="B407" s="54">
        <v>46150</v>
      </c>
      <c r="C407" s="49">
        <v>1785</v>
      </c>
      <c r="D407" s="51">
        <v>3.5</v>
      </c>
      <c r="E407" s="49">
        <v>2</v>
      </c>
      <c r="F407" s="148" t="s">
        <v>257</v>
      </c>
      <c r="G407" s="148" t="s">
        <v>257</v>
      </c>
      <c r="H407" s="148">
        <v>5.8299000000000003</v>
      </c>
      <c r="I407" s="148" t="s">
        <v>257</v>
      </c>
      <c r="J407" s="148">
        <v>37578.691400000003</v>
      </c>
      <c r="K407" s="148">
        <v>577.47439999999995</v>
      </c>
      <c r="L407" s="148">
        <v>534.94960000000003</v>
      </c>
      <c r="M407" s="148">
        <v>42.312399999999997</v>
      </c>
      <c r="N407" s="148">
        <v>11.3515</v>
      </c>
      <c r="O407" s="51">
        <v>122.98</v>
      </c>
      <c r="P407" s="49" t="s">
        <v>814</v>
      </c>
      <c r="Q407" s="49" t="s">
        <v>258</v>
      </c>
    </row>
    <row r="408" spans="1:17" ht="14.4" customHeight="1" x14ac:dyDescent="0.3">
      <c r="A408" s="49" t="s">
        <v>801</v>
      </c>
      <c r="B408" s="54">
        <v>46150</v>
      </c>
      <c r="C408" s="49">
        <v>1786</v>
      </c>
      <c r="D408" s="51">
        <v>4</v>
      </c>
      <c r="E408" s="49">
        <v>1</v>
      </c>
      <c r="F408" s="148" t="s">
        <v>257</v>
      </c>
      <c r="G408" s="148" t="s">
        <v>257</v>
      </c>
      <c r="H408" s="148">
        <v>4.7957000000000001</v>
      </c>
      <c r="I408" s="148" t="s">
        <v>257</v>
      </c>
      <c r="J408" s="148">
        <v>36132.730499999998</v>
      </c>
      <c r="K408" s="148">
        <v>581.63940000000002</v>
      </c>
      <c r="L408" s="148">
        <v>363.94310000000002</v>
      </c>
      <c r="M408" s="148">
        <v>35.805799999999998</v>
      </c>
      <c r="N408" s="148">
        <v>10.8322</v>
      </c>
      <c r="O408" s="51">
        <v>120.48</v>
      </c>
      <c r="P408" s="49" t="s">
        <v>814</v>
      </c>
      <c r="Q408" s="49" t="s">
        <v>258</v>
      </c>
    </row>
    <row r="409" spans="1:17" ht="14.4" customHeight="1" x14ac:dyDescent="0.3">
      <c r="A409" s="49" t="s">
        <v>801</v>
      </c>
      <c r="B409" s="54">
        <v>46150</v>
      </c>
      <c r="C409" s="49">
        <v>1787</v>
      </c>
      <c r="D409" s="51">
        <v>4</v>
      </c>
      <c r="E409" s="49">
        <v>2</v>
      </c>
      <c r="F409" s="148" t="s">
        <v>257</v>
      </c>
      <c r="G409" s="148" t="s">
        <v>257</v>
      </c>
      <c r="H409" s="148">
        <v>5.8512000000000004</v>
      </c>
      <c r="I409" s="148" t="s">
        <v>257</v>
      </c>
      <c r="J409" s="148">
        <v>37059.535199999998</v>
      </c>
      <c r="K409" s="148">
        <v>599.1223</v>
      </c>
      <c r="L409" s="148">
        <v>365.66419999999999</v>
      </c>
      <c r="M409" s="148">
        <v>34.822800000000001</v>
      </c>
      <c r="N409" s="148">
        <v>7.5582000000000003</v>
      </c>
      <c r="O409" s="51">
        <v>120.67</v>
      </c>
      <c r="P409" s="49" t="s">
        <v>814</v>
      </c>
      <c r="Q409" s="49" t="s">
        <v>258</v>
      </c>
    </row>
    <row r="410" spans="1:17" ht="14.4" customHeight="1" x14ac:dyDescent="0.3">
      <c r="A410" s="46" t="s">
        <v>802</v>
      </c>
      <c r="B410" s="53">
        <v>46150</v>
      </c>
      <c r="C410" s="46">
        <v>1788</v>
      </c>
      <c r="D410" s="52">
        <v>0</v>
      </c>
      <c r="E410" s="46">
        <v>1</v>
      </c>
      <c r="F410" s="147">
        <v>32.378</v>
      </c>
      <c r="G410" s="147">
        <v>13.103</v>
      </c>
      <c r="H410" s="147">
        <v>3.9361000000000002</v>
      </c>
      <c r="I410" s="147" t="s">
        <v>257</v>
      </c>
      <c r="J410" s="147">
        <v>80284.414099999995</v>
      </c>
      <c r="K410" s="147">
        <v>876.14869999999996</v>
      </c>
      <c r="L410" s="147">
        <v>18352.517599999999</v>
      </c>
      <c r="M410" s="147">
        <v>51.526499999999999</v>
      </c>
      <c r="N410" s="147">
        <v>20.7271</v>
      </c>
      <c r="O410" s="52">
        <v>123.09</v>
      </c>
      <c r="P410" s="46" t="s">
        <v>814</v>
      </c>
      <c r="Q410" s="46" t="s">
        <v>258</v>
      </c>
    </row>
    <row r="411" spans="1:17" ht="14.4" customHeight="1" x14ac:dyDescent="0.3">
      <c r="A411" s="46" t="s">
        <v>802</v>
      </c>
      <c r="B411" s="53">
        <v>46150</v>
      </c>
      <c r="C411" s="46">
        <v>1789</v>
      </c>
      <c r="D411" s="52">
        <v>0</v>
      </c>
      <c r="E411" s="46">
        <v>2</v>
      </c>
      <c r="F411" s="147">
        <v>27.6997</v>
      </c>
      <c r="G411" s="147">
        <v>11.113</v>
      </c>
      <c r="H411" s="147" t="s">
        <v>257</v>
      </c>
      <c r="I411" s="147" t="s">
        <v>257</v>
      </c>
      <c r="J411" s="147">
        <v>71964.031199999998</v>
      </c>
      <c r="K411" s="147">
        <v>801.80100000000004</v>
      </c>
      <c r="L411" s="147">
        <v>15253.332</v>
      </c>
      <c r="M411" s="147">
        <v>46.635199999999998</v>
      </c>
      <c r="N411" s="147">
        <v>15.6838</v>
      </c>
      <c r="O411" s="52">
        <v>120.45</v>
      </c>
      <c r="P411" s="46" t="s">
        <v>814</v>
      </c>
      <c r="Q411" s="46" t="s">
        <v>258</v>
      </c>
    </row>
    <row r="412" spans="1:17" ht="14.4" customHeight="1" x14ac:dyDescent="0.3">
      <c r="A412" s="46" t="s">
        <v>802</v>
      </c>
      <c r="B412" s="53">
        <v>46150</v>
      </c>
      <c r="C412" s="46">
        <v>1790</v>
      </c>
      <c r="D412" s="52">
        <v>0.5</v>
      </c>
      <c r="E412" s="46">
        <v>1</v>
      </c>
      <c r="F412" s="147">
        <v>21.689499999999999</v>
      </c>
      <c r="G412" s="147">
        <v>5.0799000000000003</v>
      </c>
      <c r="H412" s="147">
        <v>7.7601000000000004</v>
      </c>
      <c r="I412" s="147" t="s">
        <v>257</v>
      </c>
      <c r="J412" s="147">
        <v>70340.242199999993</v>
      </c>
      <c r="K412" s="147">
        <v>463.48540000000003</v>
      </c>
      <c r="L412" s="147">
        <v>7699.1875</v>
      </c>
      <c r="M412" s="147">
        <v>42.521700000000003</v>
      </c>
      <c r="N412" s="147">
        <v>26.361699999999999</v>
      </c>
      <c r="O412" s="52">
        <v>120.12</v>
      </c>
      <c r="P412" s="46" t="s">
        <v>814</v>
      </c>
      <c r="Q412" s="46" t="s">
        <v>258</v>
      </c>
    </row>
    <row r="413" spans="1:17" ht="14.4" customHeight="1" x14ac:dyDescent="0.3">
      <c r="A413" s="46" t="s">
        <v>802</v>
      </c>
      <c r="B413" s="53">
        <v>46150</v>
      </c>
      <c r="C413" s="46">
        <v>1791</v>
      </c>
      <c r="D413" s="52">
        <v>0.5</v>
      </c>
      <c r="E413" s="46">
        <v>2</v>
      </c>
      <c r="F413" s="147">
        <v>17.768799999999999</v>
      </c>
      <c r="G413" s="147">
        <v>5.2784000000000004</v>
      </c>
      <c r="H413" s="147">
        <v>7.3076999999999996</v>
      </c>
      <c r="I413" s="147" t="s">
        <v>257</v>
      </c>
      <c r="J413" s="147">
        <v>63484.640599999999</v>
      </c>
      <c r="K413" s="147">
        <v>499.58010000000002</v>
      </c>
      <c r="L413" s="147">
        <v>5662.8002999999999</v>
      </c>
      <c r="M413" s="147">
        <v>49.1905</v>
      </c>
      <c r="N413" s="147">
        <v>19.781700000000001</v>
      </c>
      <c r="O413" s="52">
        <v>122.8</v>
      </c>
      <c r="P413" s="46" t="s">
        <v>814</v>
      </c>
      <c r="Q413" s="46" t="s">
        <v>258</v>
      </c>
    </row>
    <row r="414" spans="1:17" ht="14.4" customHeight="1" x14ac:dyDescent="0.3">
      <c r="A414" s="46" t="s">
        <v>802</v>
      </c>
      <c r="B414" s="53">
        <v>46150</v>
      </c>
      <c r="C414" s="46">
        <v>1792</v>
      </c>
      <c r="D414" s="52">
        <v>1</v>
      </c>
      <c r="E414" s="46">
        <v>1</v>
      </c>
      <c r="F414" s="147">
        <v>31.509899999999998</v>
      </c>
      <c r="G414" s="147">
        <v>7.0951000000000004</v>
      </c>
      <c r="H414" s="147">
        <v>5.0598000000000001</v>
      </c>
      <c r="I414" s="147" t="s">
        <v>257</v>
      </c>
      <c r="J414" s="147">
        <v>71146.976599999995</v>
      </c>
      <c r="K414" s="147">
        <v>774.15430000000003</v>
      </c>
      <c r="L414" s="147">
        <v>5246.6054999999997</v>
      </c>
      <c r="M414" s="147">
        <v>43.493899999999996</v>
      </c>
      <c r="N414" s="147">
        <v>19.102699999999999</v>
      </c>
      <c r="O414" s="52">
        <v>122.93</v>
      </c>
      <c r="P414" s="46" t="s">
        <v>814</v>
      </c>
      <c r="Q414" s="46" t="s">
        <v>258</v>
      </c>
    </row>
    <row r="415" spans="1:17" ht="14.4" customHeight="1" x14ac:dyDescent="0.3">
      <c r="A415" s="46" t="s">
        <v>802</v>
      </c>
      <c r="B415" s="53">
        <v>46150</v>
      </c>
      <c r="C415" s="46">
        <v>1793</v>
      </c>
      <c r="D415" s="52">
        <v>1</v>
      </c>
      <c r="E415" s="46">
        <v>2</v>
      </c>
      <c r="F415" s="147">
        <v>19.8474</v>
      </c>
      <c r="G415" s="147">
        <v>2.323</v>
      </c>
      <c r="H415" s="147">
        <v>5.5259</v>
      </c>
      <c r="I415" s="147" t="s">
        <v>257</v>
      </c>
      <c r="J415" s="147">
        <v>86279.132800000007</v>
      </c>
      <c r="K415" s="147">
        <v>617.72540000000004</v>
      </c>
      <c r="L415" s="147">
        <v>7585.0747000000001</v>
      </c>
      <c r="M415" s="147">
        <v>42.598300000000002</v>
      </c>
      <c r="N415" s="147">
        <v>29.553899999999999</v>
      </c>
      <c r="O415" s="52">
        <v>123.01</v>
      </c>
      <c r="P415" s="46" t="s">
        <v>814</v>
      </c>
      <c r="Q415" s="46" t="s">
        <v>258</v>
      </c>
    </row>
    <row r="416" spans="1:17" ht="14.4" customHeight="1" x14ac:dyDescent="0.3">
      <c r="A416" s="46" t="s">
        <v>802</v>
      </c>
      <c r="B416" s="53">
        <v>46150</v>
      </c>
      <c r="C416" s="46">
        <v>1794</v>
      </c>
      <c r="D416" s="52">
        <v>1</v>
      </c>
      <c r="E416" s="46">
        <v>3</v>
      </c>
      <c r="F416" s="147">
        <v>30.428799999999999</v>
      </c>
      <c r="G416" s="147">
        <v>6.6159999999999997</v>
      </c>
      <c r="H416" s="147">
        <v>6.3139000000000003</v>
      </c>
      <c r="I416" s="147" t="s">
        <v>257</v>
      </c>
      <c r="J416" s="147">
        <v>73113.039099999995</v>
      </c>
      <c r="K416" s="147">
        <v>788.27160000000003</v>
      </c>
      <c r="L416" s="147">
        <v>5534.8402999999998</v>
      </c>
      <c r="M416" s="147">
        <v>42.336500000000001</v>
      </c>
      <c r="N416" s="147">
        <v>22.482399999999998</v>
      </c>
      <c r="O416" s="52">
        <v>123.05</v>
      </c>
      <c r="P416" s="46" t="s">
        <v>814</v>
      </c>
      <c r="Q416" s="46" t="s">
        <v>258</v>
      </c>
    </row>
    <row r="417" spans="1:17" ht="14.4" customHeight="1" x14ac:dyDescent="0.3">
      <c r="A417" s="46" t="s">
        <v>802</v>
      </c>
      <c r="B417" s="53">
        <v>46150</v>
      </c>
      <c r="C417" s="46">
        <v>1795</v>
      </c>
      <c r="D417" s="52">
        <v>1.5</v>
      </c>
      <c r="E417" s="46">
        <v>1</v>
      </c>
      <c r="F417" s="147">
        <v>26.081800000000001</v>
      </c>
      <c r="G417" s="147">
        <v>3.7063000000000001</v>
      </c>
      <c r="H417" s="147">
        <v>5.0598000000000001</v>
      </c>
      <c r="I417" s="147" t="s">
        <v>257</v>
      </c>
      <c r="J417" s="147">
        <v>81679.765599999999</v>
      </c>
      <c r="K417" s="147">
        <v>629.62729999999999</v>
      </c>
      <c r="L417" s="147">
        <v>7345.3828000000003</v>
      </c>
      <c r="M417" s="147">
        <v>37.684699999999999</v>
      </c>
      <c r="N417" s="147">
        <v>34.3675</v>
      </c>
      <c r="O417" s="52">
        <v>122.91</v>
      </c>
      <c r="P417" s="46" t="s">
        <v>814</v>
      </c>
      <c r="Q417" s="46" t="s">
        <v>258</v>
      </c>
    </row>
    <row r="418" spans="1:17" ht="14.4" customHeight="1" x14ac:dyDescent="0.3">
      <c r="A418" s="46" t="s">
        <v>802</v>
      </c>
      <c r="B418" s="53">
        <v>46150</v>
      </c>
      <c r="C418" s="46">
        <v>1796</v>
      </c>
      <c r="D418" s="52">
        <v>1.5</v>
      </c>
      <c r="E418" s="46">
        <v>2</v>
      </c>
      <c r="F418" s="147">
        <v>22.028700000000001</v>
      </c>
      <c r="G418" s="147">
        <v>5.4222000000000001</v>
      </c>
      <c r="H418" s="147">
        <v>3.5497999999999998</v>
      </c>
      <c r="I418" s="147" t="s">
        <v>257</v>
      </c>
      <c r="J418" s="147">
        <v>67716.078099999999</v>
      </c>
      <c r="K418" s="147">
        <v>696.83780000000002</v>
      </c>
      <c r="L418" s="147">
        <v>6540.8627999999999</v>
      </c>
      <c r="M418" s="147">
        <v>40.644599999999997</v>
      </c>
      <c r="N418" s="147">
        <v>24.891500000000001</v>
      </c>
      <c r="O418" s="52">
        <v>120.71</v>
      </c>
      <c r="P418" s="46" t="s">
        <v>814</v>
      </c>
      <c r="Q418" s="46" t="s">
        <v>258</v>
      </c>
    </row>
    <row r="419" spans="1:17" ht="14.4" customHeight="1" x14ac:dyDescent="0.3">
      <c r="A419" s="46" t="s">
        <v>802</v>
      </c>
      <c r="B419" s="53">
        <v>46150</v>
      </c>
      <c r="C419" s="46">
        <v>1797</v>
      </c>
      <c r="D419" s="52">
        <v>2</v>
      </c>
      <c r="E419" s="46">
        <v>1</v>
      </c>
      <c r="F419" s="147">
        <v>24.746099999999998</v>
      </c>
      <c r="G419" s="147">
        <v>5.3148999999999997</v>
      </c>
      <c r="H419" s="147" t="s">
        <v>257</v>
      </c>
      <c r="I419" s="147" t="s">
        <v>257</v>
      </c>
      <c r="J419" s="147">
        <v>93282.039099999995</v>
      </c>
      <c r="K419" s="147">
        <v>666.51840000000004</v>
      </c>
      <c r="L419" s="147">
        <v>4880.0181000000002</v>
      </c>
      <c r="M419" s="147">
        <v>29.882300000000001</v>
      </c>
      <c r="N419" s="147">
        <v>18.9146</v>
      </c>
      <c r="O419" s="52">
        <v>122.87</v>
      </c>
      <c r="P419" s="46" t="s">
        <v>814</v>
      </c>
      <c r="Q419" s="46" t="s">
        <v>258</v>
      </c>
    </row>
    <row r="420" spans="1:17" ht="14.4" customHeight="1" x14ac:dyDescent="0.3">
      <c r="A420" s="46" t="s">
        <v>802</v>
      </c>
      <c r="B420" s="53">
        <v>46150</v>
      </c>
      <c r="C420" s="46">
        <v>1798</v>
      </c>
      <c r="D420" s="52">
        <v>2</v>
      </c>
      <c r="E420" s="46">
        <v>2</v>
      </c>
      <c r="F420" s="147">
        <v>21.156199999999998</v>
      </c>
      <c r="G420" s="147">
        <v>4.8014999999999999</v>
      </c>
      <c r="H420" s="147" t="s">
        <v>257</v>
      </c>
      <c r="I420" s="147" t="s">
        <v>257</v>
      </c>
      <c r="J420" s="147">
        <v>83396.398400000005</v>
      </c>
      <c r="K420" s="147">
        <v>689.30930000000001</v>
      </c>
      <c r="L420" s="147">
        <v>4935.8451999999997</v>
      </c>
      <c r="M420" s="147">
        <v>30.588699999999999</v>
      </c>
      <c r="N420" s="147">
        <v>17.771899999999999</v>
      </c>
      <c r="O420" s="52">
        <v>120.45</v>
      </c>
      <c r="P420" s="46" t="s">
        <v>814</v>
      </c>
      <c r="Q420" s="46" t="s">
        <v>258</v>
      </c>
    </row>
    <row r="421" spans="1:17" ht="14.4" customHeight="1" x14ac:dyDescent="0.3">
      <c r="A421" s="46" t="s">
        <v>802</v>
      </c>
      <c r="B421" s="53">
        <v>46150</v>
      </c>
      <c r="C421" s="46">
        <v>1799</v>
      </c>
      <c r="D421" s="52">
        <v>2.5</v>
      </c>
      <c r="E421" s="46">
        <v>1</v>
      </c>
      <c r="F421" s="147">
        <v>27.055099999999999</v>
      </c>
      <c r="G421" s="147">
        <v>5.3480999999999996</v>
      </c>
      <c r="H421" s="147" t="s">
        <v>257</v>
      </c>
      <c r="I421" s="147" t="s">
        <v>257</v>
      </c>
      <c r="J421" s="147">
        <v>77588.304699999993</v>
      </c>
      <c r="K421" s="147">
        <v>808.78380000000004</v>
      </c>
      <c r="L421" s="147">
        <v>8124.5796</v>
      </c>
      <c r="M421" s="147">
        <v>31.482199999999999</v>
      </c>
      <c r="N421" s="147">
        <v>12.9438</v>
      </c>
      <c r="O421" s="52">
        <v>122.8</v>
      </c>
      <c r="P421" s="46" t="s">
        <v>814</v>
      </c>
      <c r="Q421" s="46" t="s">
        <v>258</v>
      </c>
    </row>
    <row r="422" spans="1:17" ht="14.4" customHeight="1" x14ac:dyDescent="0.3">
      <c r="A422" s="46" t="s">
        <v>802</v>
      </c>
      <c r="B422" s="53">
        <v>46150</v>
      </c>
      <c r="C422" s="46">
        <v>1801</v>
      </c>
      <c r="D422" s="52">
        <v>2.5</v>
      </c>
      <c r="E422" s="46">
        <v>2</v>
      </c>
      <c r="F422" s="147">
        <v>30.167899999999999</v>
      </c>
      <c r="G422" s="147">
        <v>7.1523000000000003</v>
      </c>
      <c r="H422" s="147" t="s">
        <v>257</v>
      </c>
      <c r="I422" s="147" t="s">
        <v>257</v>
      </c>
      <c r="J422" s="147">
        <v>108164.5469</v>
      </c>
      <c r="K422" s="147">
        <v>988.76419999999996</v>
      </c>
      <c r="L422" s="147">
        <v>5277.2915000000003</v>
      </c>
      <c r="M422" s="147">
        <v>33.272399999999998</v>
      </c>
      <c r="N422" s="147">
        <v>11.853300000000001</v>
      </c>
      <c r="O422" s="52">
        <v>120.3</v>
      </c>
      <c r="P422" s="46" t="s">
        <v>814</v>
      </c>
      <c r="Q422" s="46" t="s">
        <v>258</v>
      </c>
    </row>
    <row r="423" spans="1:17" ht="14.4" customHeight="1" x14ac:dyDescent="0.3">
      <c r="A423" s="46" t="s">
        <v>802</v>
      </c>
      <c r="B423" s="53">
        <v>46150</v>
      </c>
      <c r="C423" s="46">
        <v>1802</v>
      </c>
      <c r="D423" s="52">
        <v>3</v>
      </c>
      <c r="E423" s="46">
        <v>1</v>
      </c>
      <c r="F423" s="147">
        <v>43.242899999999999</v>
      </c>
      <c r="G423" s="147">
        <v>6.0713999999999997</v>
      </c>
      <c r="H423" s="147">
        <v>7.9363000000000001</v>
      </c>
      <c r="I423" s="147" t="s">
        <v>257</v>
      </c>
      <c r="J423" s="147">
        <v>71430.218800000002</v>
      </c>
      <c r="K423" s="147">
        <v>670.68110000000001</v>
      </c>
      <c r="L423" s="147">
        <v>22217.543000000001</v>
      </c>
      <c r="M423" s="147">
        <v>40.145499999999998</v>
      </c>
      <c r="N423" s="147">
        <v>19.840399999999999</v>
      </c>
      <c r="O423" s="52">
        <v>123.04</v>
      </c>
      <c r="P423" s="46" t="s">
        <v>814</v>
      </c>
      <c r="Q423" s="46" t="s">
        <v>258</v>
      </c>
    </row>
    <row r="424" spans="1:17" ht="14.4" customHeight="1" x14ac:dyDescent="0.3">
      <c r="A424" s="46" t="s">
        <v>802</v>
      </c>
      <c r="B424" s="53">
        <v>46150</v>
      </c>
      <c r="C424" s="46">
        <v>1803</v>
      </c>
      <c r="D424" s="52">
        <v>3</v>
      </c>
      <c r="E424" s="46">
        <v>2</v>
      </c>
      <c r="F424" s="147">
        <v>55.543399999999998</v>
      </c>
      <c r="G424" s="147">
        <v>9.6034000000000006</v>
      </c>
      <c r="H424" s="147">
        <v>4.5208000000000004</v>
      </c>
      <c r="I424" s="147" t="s">
        <v>257</v>
      </c>
      <c r="J424" s="147">
        <v>81663.898400000005</v>
      </c>
      <c r="K424" s="147">
        <v>779.66060000000004</v>
      </c>
      <c r="L424" s="147">
        <v>21893.5723</v>
      </c>
      <c r="M424" s="147">
        <v>39.558399999999999</v>
      </c>
      <c r="N424" s="147">
        <v>24.131599999999999</v>
      </c>
      <c r="O424" s="52">
        <v>122.94</v>
      </c>
      <c r="P424" s="46" t="s">
        <v>814</v>
      </c>
      <c r="Q424" s="46" t="s">
        <v>258</v>
      </c>
    </row>
    <row r="425" spans="1:17" ht="14.4" customHeight="1" x14ac:dyDescent="0.3">
      <c r="A425" s="46" t="s">
        <v>802</v>
      </c>
      <c r="B425" s="53">
        <v>46150</v>
      </c>
      <c r="C425" s="46">
        <v>1805</v>
      </c>
      <c r="D425" s="52">
        <v>3.5</v>
      </c>
      <c r="E425" s="46">
        <v>1</v>
      </c>
      <c r="F425" s="147">
        <v>23.603100000000001</v>
      </c>
      <c r="G425" s="147">
        <v>1.6149</v>
      </c>
      <c r="H425" s="147">
        <v>5.3577000000000004</v>
      </c>
      <c r="I425" s="147" t="s">
        <v>257</v>
      </c>
      <c r="J425" s="147">
        <v>62191.566400000003</v>
      </c>
      <c r="K425" s="147">
        <v>652.42089999999996</v>
      </c>
      <c r="L425" s="147">
        <v>13900.828100000001</v>
      </c>
      <c r="M425" s="147">
        <v>29.424499999999998</v>
      </c>
      <c r="N425" s="147">
        <v>14.7637</v>
      </c>
      <c r="O425" s="52">
        <v>122.84</v>
      </c>
      <c r="P425" s="46" t="s">
        <v>814</v>
      </c>
      <c r="Q425" s="46" t="s">
        <v>258</v>
      </c>
    </row>
    <row r="426" spans="1:17" ht="14.4" customHeight="1" x14ac:dyDescent="0.3">
      <c r="A426" s="46" t="s">
        <v>802</v>
      </c>
      <c r="B426" s="53">
        <v>46150</v>
      </c>
      <c r="C426" s="46">
        <v>1806</v>
      </c>
      <c r="D426" s="52">
        <v>3.5</v>
      </c>
      <c r="E426" s="46">
        <v>2</v>
      </c>
      <c r="F426" s="147">
        <v>35.085099999999997</v>
      </c>
      <c r="G426" s="147">
        <v>2.5295999999999998</v>
      </c>
      <c r="H426" s="147">
        <v>4.2758000000000003</v>
      </c>
      <c r="I426" s="147" t="s">
        <v>257</v>
      </c>
      <c r="J426" s="147">
        <v>76357.843800000002</v>
      </c>
      <c r="K426" s="147">
        <v>787.20830000000001</v>
      </c>
      <c r="L426" s="147">
        <v>18966.7402</v>
      </c>
      <c r="M426" s="147">
        <v>32.689799999999998</v>
      </c>
      <c r="N426" s="147">
        <v>20.966999999999999</v>
      </c>
      <c r="O426" s="52">
        <v>122.98</v>
      </c>
      <c r="P426" s="46" t="s">
        <v>814</v>
      </c>
      <c r="Q426" s="46" t="s">
        <v>258</v>
      </c>
    </row>
    <row r="427" spans="1:17" ht="14.4" customHeight="1" x14ac:dyDescent="0.3">
      <c r="A427" s="46" t="s">
        <v>802</v>
      </c>
      <c r="B427" s="53">
        <v>46150</v>
      </c>
      <c r="C427" s="46">
        <v>1807</v>
      </c>
      <c r="D427" s="52">
        <v>4</v>
      </c>
      <c r="E427" s="46">
        <v>1</v>
      </c>
      <c r="F427" s="147">
        <v>74.043899999999994</v>
      </c>
      <c r="G427" s="147">
        <v>12.231400000000001</v>
      </c>
      <c r="H427" s="147" t="s">
        <v>257</v>
      </c>
      <c r="I427" s="147" t="s">
        <v>257</v>
      </c>
      <c r="J427" s="147">
        <v>120910.1094</v>
      </c>
      <c r="K427" s="147">
        <v>988.80859999999996</v>
      </c>
      <c r="L427" s="147">
        <v>24651.351600000002</v>
      </c>
      <c r="M427" s="147">
        <v>38.008299999999998</v>
      </c>
      <c r="N427" s="147">
        <v>19.782699999999998</v>
      </c>
      <c r="O427" s="52">
        <v>123.11</v>
      </c>
      <c r="P427" s="46" t="s">
        <v>814</v>
      </c>
      <c r="Q427" s="46" t="s">
        <v>258</v>
      </c>
    </row>
    <row r="428" spans="1:17" ht="14.4" customHeight="1" x14ac:dyDescent="0.3">
      <c r="A428" s="46" t="s">
        <v>802</v>
      </c>
      <c r="B428" s="53">
        <v>46150</v>
      </c>
      <c r="C428" s="46">
        <v>1808</v>
      </c>
      <c r="D428" s="52">
        <v>4</v>
      </c>
      <c r="E428" s="46">
        <v>2</v>
      </c>
      <c r="F428" s="147">
        <v>59.199199999999998</v>
      </c>
      <c r="G428" s="147">
        <v>8.2311999999999994</v>
      </c>
      <c r="H428" s="147" t="s">
        <v>257</v>
      </c>
      <c r="I428" s="147" t="s">
        <v>257</v>
      </c>
      <c r="J428" s="147">
        <v>102624.0938</v>
      </c>
      <c r="K428" s="147">
        <v>866.76610000000005</v>
      </c>
      <c r="L428" s="147">
        <v>24623.908200000002</v>
      </c>
      <c r="M428" s="147">
        <v>42.1434</v>
      </c>
      <c r="N428" s="147">
        <v>36.594000000000001</v>
      </c>
      <c r="O428" s="52">
        <v>122.88</v>
      </c>
      <c r="P428" s="46" t="s">
        <v>814</v>
      </c>
      <c r="Q428" s="46" t="s">
        <v>258</v>
      </c>
    </row>
    <row r="429" spans="1:17" ht="14.4" customHeight="1" x14ac:dyDescent="0.3">
      <c r="A429" s="49" t="s">
        <v>803</v>
      </c>
      <c r="B429" s="54">
        <v>46150</v>
      </c>
      <c r="C429" s="49">
        <v>1810</v>
      </c>
      <c r="D429" s="51">
        <v>0</v>
      </c>
      <c r="E429" s="49">
        <v>1</v>
      </c>
      <c r="F429" s="148" t="s">
        <v>257</v>
      </c>
      <c r="G429" s="148" t="s">
        <v>257</v>
      </c>
      <c r="H429" s="148">
        <v>5.7305000000000001</v>
      </c>
      <c r="I429" s="148" t="s">
        <v>257</v>
      </c>
      <c r="J429" s="148">
        <v>40216.671900000001</v>
      </c>
      <c r="K429" s="148">
        <v>628.4443</v>
      </c>
      <c r="L429" s="148">
        <v>3662.2678000000001</v>
      </c>
      <c r="M429" s="148">
        <v>54.7682</v>
      </c>
      <c r="N429" s="148" t="s">
        <v>257</v>
      </c>
      <c r="O429" s="51">
        <v>122.54</v>
      </c>
      <c r="P429" s="49" t="s">
        <v>814</v>
      </c>
      <c r="Q429" s="49" t="s">
        <v>258</v>
      </c>
    </row>
    <row r="430" spans="1:17" ht="14.4" customHeight="1" x14ac:dyDescent="0.3">
      <c r="A430" s="49" t="s">
        <v>803</v>
      </c>
      <c r="B430" s="54">
        <v>46150</v>
      </c>
      <c r="C430" s="49">
        <v>1811</v>
      </c>
      <c r="D430" s="51">
        <v>0</v>
      </c>
      <c r="E430" s="49">
        <v>2</v>
      </c>
      <c r="F430" s="148" t="s">
        <v>257</v>
      </c>
      <c r="G430" s="148" t="s">
        <v>257</v>
      </c>
      <c r="H430" s="148">
        <v>5.1539000000000001</v>
      </c>
      <c r="I430" s="148" t="s">
        <v>257</v>
      </c>
      <c r="J430" s="148">
        <v>40478.429700000001</v>
      </c>
      <c r="K430" s="148">
        <v>619.06029999999998</v>
      </c>
      <c r="L430" s="148">
        <v>3478.2368000000001</v>
      </c>
      <c r="M430" s="148">
        <v>59.071100000000001</v>
      </c>
      <c r="N430" s="148" t="s">
        <v>257</v>
      </c>
      <c r="O430" s="51">
        <v>122.72</v>
      </c>
      <c r="P430" s="49" t="s">
        <v>814</v>
      </c>
      <c r="Q430" s="49" t="s">
        <v>258</v>
      </c>
    </row>
    <row r="431" spans="1:17" ht="14.4" customHeight="1" x14ac:dyDescent="0.3">
      <c r="A431" s="49" t="s">
        <v>803</v>
      </c>
      <c r="B431" s="54">
        <v>46150</v>
      </c>
      <c r="C431" s="49">
        <v>1812</v>
      </c>
      <c r="D431" s="51">
        <v>0.5</v>
      </c>
      <c r="E431" s="49">
        <v>1</v>
      </c>
      <c r="F431" s="148" t="s">
        <v>257</v>
      </c>
      <c r="G431" s="148" t="s">
        <v>257</v>
      </c>
      <c r="H431" s="148">
        <v>5.7427999999999999</v>
      </c>
      <c r="I431" s="148" t="s">
        <v>257</v>
      </c>
      <c r="J431" s="148">
        <v>40451.828099999999</v>
      </c>
      <c r="K431" s="148">
        <v>677.31960000000004</v>
      </c>
      <c r="L431" s="148">
        <v>13812.165000000001</v>
      </c>
      <c r="M431" s="148">
        <v>70.309899999999999</v>
      </c>
      <c r="N431" s="148" t="s">
        <v>257</v>
      </c>
      <c r="O431" s="51">
        <v>122.84</v>
      </c>
      <c r="P431" s="49" t="s">
        <v>814</v>
      </c>
      <c r="Q431" s="49" t="s">
        <v>258</v>
      </c>
    </row>
    <row r="432" spans="1:17" ht="14.4" customHeight="1" x14ac:dyDescent="0.3">
      <c r="A432" s="49" t="s">
        <v>803</v>
      </c>
      <c r="B432" s="54">
        <v>46150</v>
      </c>
      <c r="C432" s="49">
        <v>1813</v>
      </c>
      <c r="D432" s="51">
        <v>0.5</v>
      </c>
      <c r="E432" s="49">
        <v>2</v>
      </c>
      <c r="F432" s="148" t="s">
        <v>257</v>
      </c>
      <c r="G432" s="148" t="s">
        <v>257</v>
      </c>
      <c r="H432" s="148">
        <v>3.7265999999999999</v>
      </c>
      <c r="I432" s="148" t="s">
        <v>257</v>
      </c>
      <c r="J432" s="148">
        <v>38060.957000000002</v>
      </c>
      <c r="K432" s="148">
        <v>589.71119999999996</v>
      </c>
      <c r="L432" s="148">
        <v>16646.476600000002</v>
      </c>
      <c r="M432" s="148">
        <v>58.155200000000001</v>
      </c>
      <c r="N432" s="148" t="s">
        <v>257</v>
      </c>
      <c r="O432" s="51">
        <v>120.41</v>
      </c>
      <c r="P432" s="49" t="s">
        <v>814</v>
      </c>
      <c r="Q432" s="49" t="s">
        <v>258</v>
      </c>
    </row>
    <row r="433" spans="1:17" ht="14.4" customHeight="1" x14ac:dyDescent="0.3">
      <c r="A433" s="49" t="s">
        <v>803</v>
      </c>
      <c r="B433" s="54">
        <v>46150</v>
      </c>
      <c r="C433" s="49">
        <v>1815</v>
      </c>
      <c r="D433" s="51">
        <v>1</v>
      </c>
      <c r="E433" s="49">
        <v>1</v>
      </c>
      <c r="F433" s="148" t="s">
        <v>257</v>
      </c>
      <c r="G433" s="148" t="s">
        <v>257</v>
      </c>
      <c r="H433" s="148">
        <v>4.5602999999999998</v>
      </c>
      <c r="I433" s="148" t="s">
        <v>257</v>
      </c>
      <c r="J433" s="148">
        <v>40600.847699999998</v>
      </c>
      <c r="K433" s="148">
        <v>651.29610000000002</v>
      </c>
      <c r="L433" s="148">
        <v>8068.2470999999996</v>
      </c>
      <c r="M433" s="148">
        <v>62.207799999999999</v>
      </c>
      <c r="N433" s="148" t="s">
        <v>257</v>
      </c>
      <c r="O433" s="51">
        <v>122.85</v>
      </c>
      <c r="P433" s="49" t="s">
        <v>814</v>
      </c>
      <c r="Q433" s="49" t="s">
        <v>258</v>
      </c>
    </row>
    <row r="434" spans="1:17" ht="14.4" customHeight="1" x14ac:dyDescent="0.3">
      <c r="A434" s="49" t="s">
        <v>803</v>
      </c>
      <c r="B434" s="54">
        <v>46150</v>
      </c>
      <c r="C434" s="49">
        <v>1816</v>
      </c>
      <c r="D434" s="51">
        <v>1</v>
      </c>
      <c r="E434" s="49">
        <v>2</v>
      </c>
      <c r="F434" s="148" t="s">
        <v>257</v>
      </c>
      <c r="G434" s="148" t="s">
        <v>257</v>
      </c>
      <c r="H434" s="148">
        <v>4.7568000000000001</v>
      </c>
      <c r="I434" s="148" t="s">
        <v>257</v>
      </c>
      <c r="J434" s="148">
        <v>43968.832000000002</v>
      </c>
      <c r="K434" s="148">
        <v>751.31790000000001</v>
      </c>
      <c r="L434" s="148">
        <v>5339.4058000000005</v>
      </c>
      <c r="M434" s="148">
        <v>70.253600000000006</v>
      </c>
      <c r="N434" s="148" t="s">
        <v>257</v>
      </c>
      <c r="O434" s="51">
        <v>120.24</v>
      </c>
      <c r="P434" s="49" t="s">
        <v>814</v>
      </c>
      <c r="Q434" s="49" t="s">
        <v>258</v>
      </c>
    </row>
    <row r="435" spans="1:17" ht="14.4" customHeight="1" x14ac:dyDescent="0.3">
      <c r="A435" s="49" t="s">
        <v>803</v>
      </c>
      <c r="B435" s="54">
        <v>46150</v>
      </c>
      <c r="C435" s="49">
        <v>1817</v>
      </c>
      <c r="D435" s="51">
        <v>1.5</v>
      </c>
      <c r="E435" s="49">
        <v>1</v>
      </c>
      <c r="F435" s="148" t="s">
        <v>257</v>
      </c>
      <c r="G435" s="148" t="s">
        <v>257</v>
      </c>
      <c r="H435" s="148">
        <v>3.8849</v>
      </c>
      <c r="I435" s="148" t="s">
        <v>257</v>
      </c>
      <c r="J435" s="148">
        <v>40584.613299999997</v>
      </c>
      <c r="K435" s="148">
        <v>640.44200000000001</v>
      </c>
      <c r="L435" s="148">
        <v>2347.2501999999999</v>
      </c>
      <c r="M435" s="148">
        <v>56.843600000000002</v>
      </c>
      <c r="N435" s="148" t="s">
        <v>257</v>
      </c>
      <c r="O435" s="51">
        <v>120.48</v>
      </c>
      <c r="P435" s="49" t="s">
        <v>814</v>
      </c>
      <c r="Q435" s="49" t="s">
        <v>258</v>
      </c>
    </row>
    <row r="436" spans="1:17" ht="14.4" customHeight="1" x14ac:dyDescent="0.3">
      <c r="A436" s="49" t="s">
        <v>803</v>
      </c>
      <c r="B436" s="54">
        <v>46150</v>
      </c>
      <c r="C436" s="49">
        <v>1818</v>
      </c>
      <c r="D436" s="51">
        <v>1.5</v>
      </c>
      <c r="E436" s="49">
        <v>2</v>
      </c>
      <c r="F436" s="148" t="s">
        <v>257</v>
      </c>
      <c r="G436" s="148" t="s">
        <v>257</v>
      </c>
      <c r="H436" s="148" t="s">
        <v>257</v>
      </c>
      <c r="I436" s="148" t="s">
        <v>257</v>
      </c>
      <c r="J436" s="148">
        <v>37719.808599999997</v>
      </c>
      <c r="K436" s="148">
        <v>608.32460000000003</v>
      </c>
      <c r="L436" s="148">
        <v>2392.1876999999999</v>
      </c>
      <c r="M436" s="148">
        <v>53.578800000000001</v>
      </c>
      <c r="N436" s="148" t="s">
        <v>257</v>
      </c>
      <c r="O436" s="51">
        <v>122.93</v>
      </c>
      <c r="P436" s="49" t="s">
        <v>814</v>
      </c>
      <c r="Q436" s="49" t="s">
        <v>258</v>
      </c>
    </row>
    <row r="437" spans="1:17" ht="14.4" customHeight="1" x14ac:dyDescent="0.3">
      <c r="A437" s="49" t="s">
        <v>803</v>
      </c>
      <c r="B437" s="54">
        <v>46150</v>
      </c>
      <c r="C437" s="49">
        <v>1819</v>
      </c>
      <c r="D437" s="51">
        <v>2</v>
      </c>
      <c r="E437" s="49">
        <v>1</v>
      </c>
      <c r="F437" s="148" t="s">
        <v>257</v>
      </c>
      <c r="G437" s="148" t="s">
        <v>257</v>
      </c>
      <c r="H437" s="148">
        <v>7.3845999999999998</v>
      </c>
      <c r="I437" s="148" t="s">
        <v>257</v>
      </c>
      <c r="J437" s="148">
        <v>42570.023399999998</v>
      </c>
      <c r="K437" s="148">
        <v>806.67520000000002</v>
      </c>
      <c r="L437" s="148">
        <v>14412.8408</v>
      </c>
      <c r="M437" s="148">
        <v>62.474600000000002</v>
      </c>
      <c r="N437" s="148">
        <v>7.7153</v>
      </c>
      <c r="O437" s="51">
        <v>122.86</v>
      </c>
      <c r="P437" s="49" t="s">
        <v>814</v>
      </c>
      <c r="Q437" s="49" t="s">
        <v>258</v>
      </c>
    </row>
    <row r="438" spans="1:17" ht="14.4" customHeight="1" x14ac:dyDescent="0.3">
      <c r="A438" s="49" t="s">
        <v>803</v>
      </c>
      <c r="B438" s="54">
        <v>46150</v>
      </c>
      <c r="C438" s="49">
        <v>1821</v>
      </c>
      <c r="D438" s="51">
        <v>2</v>
      </c>
      <c r="E438" s="49">
        <v>2</v>
      </c>
      <c r="F438" s="148" t="s">
        <v>257</v>
      </c>
      <c r="G438" s="148" t="s">
        <v>257</v>
      </c>
      <c r="H438" s="148">
        <v>6.6981999999999999</v>
      </c>
      <c r="I438" s="148" t="s">
        <v>257</v>
      </c>
      <c r="J438" s="148">
        <v>43678.406199999998</v>
      </c>
      <c r="K438" s="148">
        <v>724.92780000000005</v>
      </c>
      <c r="L438" s="148">
        <v>2233.4841000000001</v>
      </c>
      <c r="M438" s="148">
        <v>57.585500000000003</v>
      </c>
      <c r="N438" s="148" t="s">
        <v>257</v>
      </c>
      <c r="O438" s="51">
        <v>120.25</v>
      </c>
      <c r="P438" s="49" t="s">
        <v>814</v>
      </c>
      <c r="Q438" s="49" t="s">
        <v>258</v>
      </c>
    </row>
    <row r="439" spans="1:17" ht="14.4" customHeight="1" x14ac:dyDescent="0.3">
      <c r="A439" s="49" t="s">
        <v>803</v>
      </c>
      <c r="B439" s="54">
        <v>46150</v>
      </c>
      <c r="C439" s="49">
        <v>1822</v>
      </c>
      <c r="D439" s="51">
        <v>2.5</v>
      </c>
      <c r="E439" s="49">
        <v>1</v>
      </c>
      <c r="F439" s="148" t="s">
        <v>257</v>
      </c>
      <c r="G439" s="148" t="s">
        <v>257</v>
      </c>
      <c r="H439" s="148" t="s">
        <v>257</v>
      </c>
      <c r="I439" s="148" t="s">
        <v>257</v>
      </c>
      <c r="J439" s="148" t="s">
        <v>257</v>
      </c>
      <c r="K439" s="148">
        <v>562.85530000000006</v>
      </c>
      <c r="L439" s="148">
        <v>15267.251</v>
      </c>
      <c r="M439" s="148" t="s">
        <v>257</v>
      </c>
      <c r="N439" s="148" t="s">
        <v>257</v>
      </c>
      <c r="O439" s="51">
        <v>124.05</v>
      </c>
      <c r="P439" s="49" t="s">
        <v>814</v>
      </c>
      <c r="Q439" s="49" t="s">
        <v>258</v>
      </c>
    </row>
    <row r="440" spans="1:17" ht="14.4" customHeight="1" x14ac:dyDescent="0.3">
      <c r="A440" s="49" t="s">
        <v>803</v>
      </c>
      <c r="B440" s="54">
        <v>46150</v>
      </c>
      <c r="C440" s="49">
        <v>1823</v>
      </c>
      <c r="D440" s="51">
        <v>2.5</v>
      </c>
      <c r="E440" s="49">
        <v>2</v>
      </c>
      <c r="F440" s="148" t="s">
        <v>257</v>
      </c>
      <c r="G440" s="148" t="s">
        <v>257</v>
      </c>
      <c r="H440" s="148">
        <v>3.5840999999999998</v>
      </c>
      <c r="I440" s="148" t="s">
        <v>257</v>
      </c>
      <c r="J440" s="148">
        <v>34939.199200000003</v>
      </c>
      <c r="K440" s="148">
        <v>509.86099999999999</v>
      </c>
      <c r="L440" s="148">
        <v>6495.6698999999999</v>
      </c>
      <c r="M440" s="148">
        <v>31.309200000000001</v>
      </c>
      <c r="N440" s="148" t="s">
        <v>257</v>
      </c>
      <c r="O440" s="51">
        <v>122.9</v>
      </c>
      <c r="P440" s="49" t="s">
        <v>814</v>
      </c>
      <c r="Q440" s="49" t="s">
        <v>258</v>
      </c>
    </row>
    <row r="441" spans="1:17" ht="14.4" customHeight="1" x14ac:dyDescent="0.3">
      <c r="A441" s="49" t="s">
        <v>803</v>
      </c>
      <c r="B441" s="54">
        <v>46150</v>
      </c>
      <c r="C441" s="49">
        <v>1824</v>
      </c>
      <c r="D441" s="51">
        <v>3</v>
      </c>
      <c r="E441" s="49">
        <v>1</v>
      </c>
      <c r="F441" s="148" t="s">
        <v>257</v>
      </c>
      <c r="G441" s="148" t="s">
        <v>257</v>
      </c>
      <c r="H441" s="148">
        <v>7.5392000000000001</v>
      </c>
      <c r="I441" s="148" t="s">
        <v>257</v>
      </c>
      <c r="J441" s="148">
        <v>42691.968800000002</v>
      </c>
      <c r="K441" s="148">
        <v>720.81299999999999</v>
      </c>
      <c r="L441" s="148">
        <v>2055.6907000000001</v>
      </c>
      <c r="M441" s="148">
        <v>62.073</v>
      </c>
      <c r="N441" s="148">
        <v>5.5438999999999998</v>
      </c>
      <c r="O441" s="51">
        <v>120.34</v>
      </c>
      <c r="P441" s="49" t="s">
        <v>814</v>
      </c>
      <c r="Q441" s="49" t="s">
        <v>258</v>
      </c>
    </row>
    <row r="442" spans="1:17" ht="14.4" customHeight="1" x14ac:dyDescent="0.3">
      <c r="A442" s="49" t="s">
        <v>803</v>
      </c>
      <c r="B442" s="54">
        <v>46150</v>
      </c>
      <c r="C442" s="49">
        <v>1825</v>
      </c>
      <c r="D442" s="51">
        <v>3</v>
      </c>
      <c r="E442" s="49">
        <v>2</v>
      </c>
      <c r="F442" s="148" t="s">
        <v>257</v>
      </c>
      <c r="G442" s="148" t="s">
        <v>257</v>
      </c>
      <c r="H442" s="148">
        <v>5.7773000000000003</v>
      </c>
      <c r="I442" s="148" t="s">
        <v>257</v>
      </c>
      <c r="J442" s="148">
        <v>41639.3125</v>
      </c>
      <c r="K442" s="148">
        <v>693.88869999999997</v>
      </c>
      <c r="L442" s="148">
        <v>2404.5605</v>
      </c>
      <c r="M442" s="148">
        <v>59.445900000000002</v>
      </c>
      <c r="N442" s="148" t="s">
        <v>257</v>
      </c>
      <c r="O442" s="51">
        <v>120.17</v>
      </c>
      <c r="P442" s="49" t="s">
        <v>814</v>
      </c>
      <c r="Q442" s="49" t="s">
        <v>258</v>
      </c>
    </row>
    <row r="443" spans="1:17" ht="14.4" customHeight="1" x14ac:dyDescent="0.3">
      <c r="A443" s="49" t="s">
        <v>803</v>
      </c>
      <c r="B443" s="54">
        <v>46150</v>
      </c>
      <c r="C443" s="49">
        <v>1826</v>
      </c>
      <c r="D443" s="51">
        <v>3.5</v>
      </c>
      <c r="E443" s="49">
        <v>1</v>
      </c>
      <c r="F443" s="148" t="s">
        <v>257</v>
      </c>
      <c r="G443" s="148" t="s">
        <v>257</v>
      </c>
      <c r="H443" s="148">
        <v>5.0327000000000002</v>
      </c>
      <c r="I443" s="148" t="s">
        <v>257</v>
      </c>
      <c r="J443" s="148">
        <v>39993.175799999997</v>
      </c>
      <c r="K443" s="148">
        <v>644.5204</v>
      </c>
      <c r="L443" s="148">
        <v>4846.4174999999996</v>
      </c>
      <c r="M443" s="148">
        <v>55.346800000000002</v>
      </c>
      <c r="N443" s="148">
        <v>9.0218000000000007</v>
      </c>
      <c r="O443" s="51">
        <v>122.89</v>
      </c>
      <c r="P443" s="49" t="s">
        <v>814</v>
      </c>
      <c r="Q443" s="49" t="s">
        <v>258</v>
      </c>
    </row>
    <row r="444" spans="1:17" ht="14.4" customHeight="1" x14ac:dyDescent="0.3">
      <c r="A444" s="49" t="s">
        <v>803</v>
      </c>
      <c r="B444" s="54">
        <v>46150</v>
      </c>
      <c r="C444" s="49">
        <v>1827</v>
      </c>
      <c r="D444" s="51">
        <v>3.5</v>
      </c>
      <c r="E444" s="49">
        <v>2</v>
      </c>
      <c r="F444" s="148" t="s">
        <v>257</v>
      </c>
      <c r="G444" s="148" t="s">
        <v>257</v>
      </c>
      <c r="H444" s="148">
        <v>6.9288999999999996</v>
      </c>
      <c r="I444" s="148" t="s">
        <v>257</v>
      </c>
      <c r="J444" s="148">
        <v>43556.085899999998</v>
      </c>
      <c r="K444" s="148">
        <v>767.50429999999994</v>
      </c>
      <c r="L444" s="148">
        <v>4589.1972999999998</v>
      </c>
      <c r="M444" s="148">
        <v>67.071200000000005</v>
      </c>
      <c r="N444" s="148">
        <v>10.024900000000001</v>
      </c>
      <c r="O444" s="51">
        <v>122.8</v>
      </c>
      <c r="P444" s="49" t="s">
        <v>814</v>
      </c>
      <c r="Q444" s="49" t="s">
        <v>258</v>
      </c>
    </row>
    <row r="445" spans="1:17" ht="14.4" customHeight="1" x14ac:dyDescent="0.3">
      <c r="A445" s="49" t="s">
        <v>803</v>
      </c>
      <c r="B445" s="54">
        <v>46150</v>
      </c>
      <c r="C445" s="49">
        <v>1828</v>
      </c>
      <c r="D445" s="51">
        <v>4</v>
      </c>
      <c r="E445" s="49">
        <v>1</v>
      </c>
      <c r="F445" s="148" t="s">
        <v>257</v>
      </c>
      <c r="G445" s="148" t="s">
        <v>257</v>
      </c>
      <c r="H445" s="148">
        <v>8.0564</v>
      </c>
      <c r="I445" s="148" t="s">
        <v>257</v>
      </c>
      <c r="J445" s="148">
        <v>43968.058599999997</v>
      </c>
      <c r="K445" s="148">
        <v>776.8143</v>
      </c>
      <c r="L445" s="148">
        <v>18542.392599999999</v>
      </c>
      <c r="M445" s="148">
        <v>59.2774</v>
      </c>
      <c r="N445" s="148">
        <v>12.798500000000001</v>
      </c>
      <c r="O445" s="51">
        <v>120.5</v>
      </c>
      <c r="P445" s="49" t="s">
        <v>814</v>
      </c>
      <c r="Q445" s="49" t="s">
        <v>258</v>
      </c>
    </row>
    <row r="446" spans="1:17" ht="14.4" customHeight="1" x14ac:dyDescent="0.3">
      <c r="A446" s="49" t="s">
        <v>803</v>
      </c>
      <c r="B446" s="54">
        <v>46150</v>
      </c>
      <c r="C446" s="49">
        <v>1829</v>
      </c>
      <c r="D446" s="51">
        <v>4</v>
      </c>
      <c r="E446" s="49">
        <v>2</v>
      </c>
      <c r="F446" s="148" t="s">
        <v>257</v>
      </c>
      <c r="G446" s="148" t="s">
        <v>257</v>
      </c>
      <c r="H446" s="148">
        <v>7.4881000000000002</v>
      </c>
      <c r="I446" s="148" t="s">
        <v>257</v>
      </c>
      <c r="J446" s="148">
        <v>44269.871099999997</v>
      </c>
      <c r="K446" s="148">
        <v>768.57680000000005</v>
      </c>
      <c r="L446" s="148">
        <v>12284.396500000001</v>
      </c>
      <c r="M446" s="148">
        <v>63.195999999999998</v>
      </c>
      <c r="N446" s="148">
        <v>14.0572</v>
      </c>
      <c r="O446" s="51">
        <v>123.05</v>
      </c>
      <c r="P446" s="49" t="s">
        <v>814</v>
      </c>
      <c r="Q446" s="49" t="s">
        <v>258</v>
      </c>
    </row>
    <row r="447" spans="1:17" ht="14.4" customHeight="1" x14ac:dyDescent="0.3">
      <c r="A447" s="46" t="s">
        <v>804</v>
      </c>
      <c r="B447" s="53">
        <v>46150</v>
      </c>
      <c r="C447" s="46">
        <v>1830</v>
      </c>
      <c r="D447" s="52">
        <v>0</v>
      </c>
      <c r="E447" s="46">
        <v>1</v>
      </c>
      <c r="F447" s="147" t="s">
        <v>257</v>
      </c>
      <c r="G447" s="147" t="s">
        <v>257</v>
      </c>
      <c r="H447" s="147">
        <v>6.7290999999999999</v>
      </c>
      <c r="I447" s="147" t="s">
        <v>257</v>
      </c>
      <c r="J447" s="147">
        <v>46257.332000000002</v>
      </c>
      <c r="K447" s="147">
        <v>436.5686</v>
      </c>
      <c r="L447" s="147">
        <v>47793.945299999999</v>
      </c>
      <c r="M447" s="147">
        <v>46.8628</v>
      </c>
      <c r="N447" s="147">
        <v>19.135300000000001</v>
      </c>
      <c r="O447" s="52">
        <v>123.01</v>
      </c>
      <c r="P447" s="46" t="s">
        <v>814</v>
      </c>
      <c r="Q447" s="46" t="s">
        <v>258</v>
      </c>
    </row>
    <row r="448" spans="1:17" ht="14.4" customHeight="1" x14ac:dyDescent="0.3">
      <c r="A448" s="46" t="s">
        <v>804</v>
      </c>
      <c r="B448" s="53">
        <v>46150</v>
      </c>
      <c r="C448" s="46">
        <v>1831</v>
      </c>
      <c r="D448" s="52">
        <v>0</v>
      </c>
      <c r="E448" s="46">
        <v>2</v>
      </c>
      <c r="F448" s="147" t="s">
        <v>257</v>
      </c>
      <c r="G448" s="147" t="s">
        <v>257</v>
      </c>
      <c r="H448" s="147">
        <v>5.2591999999999999</v>
      </c>
      <c r="I448" s="147" t="s">
        <v>257</v>
      </c>
      <c r="J448" s="147">
        <v>38906.277300000002</v>
      </c>
      <c r="K448" s="147">
        <v>445.20670000000001</v>
      </c>
      <c r="L448" s="147">
        <v>30483.162100000001</v>
      </c>
      <c r="M448" s="147">
        <v>47.1389</v>
      </c>
      <c r="N448" s="147">
        <v>19.9435</v>
      </c>
      <c r="O448" s="52">
        <v>120.27</v>
      </c>
      <c r="P448" s="46" t="s">
        <v>814</v>
      </c>
      <c r="Q448" s="46" t="s">
        <v>258</v>
      </c>
    </row>
    <row r="449" spans="1:17" ht="14.4" customHeight="1" x14ac:dyDescent="0.3">
      <c r="A449" s="46" t="s">
        <v>804</v>
      </c>
      <c r="B449" s="53">
        <v>46150</v>
      </c>
      <c r="C449" s="46">
        <v>1832</v>
      </c>
      <c r="D449" s="52">
        <v>0.5</v>
      </c>
      <c r="E449" s="46">
        <v>1</v>
      </c>
      <c r="F449" s="147" t="s">
        <v>257</v>
      </c>
      <c r="G449" s="147" t="s">
        <v>257</v>
      </c>
      <c r="H449" s="147">
        <v>4.2313000000000001</v>
      </c>
      <c r="I449" s="147" t="s">
        <v>257</v>
      </c>
      <c r="J449" s="147">
        <v>38389.656199999998</v>
      </c>
      <c r="K449" s="147">
        <v>3651.5048999999999</v>
      </c>
      <c r="L449" s="147">
        <v>16284.174800000001</v>
      </c>
      <c r="M449" s="147">
        <v>110.3152</v>
      </c>
      <c r="N449" s="147">
        <v>16.876899999999999</v>
      </c>
      <c r="O449" s="52">
        <v>123.06</v>
      </c>
      <c r="P449" s="46" t="s">
        <v>814</v>
      </c>
      <c r="Q449" s="46" t="s">
        <v>258</v>
      </c>
    </row>
    <row r="450" spans="1:17" ht="14.4" customHeight="1" x14ac:dyDescent="0.3">
      <c r="A450" s="46" t="s">
        <v>804</v>
      </c>
      <c r="B450" s="53">
        <v>46150</v>
      </c>
      <c r="C450" s="46">
        <v>1833</v>
      </c>
      <c r="D450" s="52">
        <v>0.5</v>
      </c>
      <c r="E450" s="46">
        <v>2</v>
      </c>
      <c r="F450" s="147">
        <v>2.6694</v>
      </c>
      <c r="G450" s="147" t="s">
        <v>257</v>
      </c>
      <c r="H450" s="147">
        <v>7.1866000000000003</v>
      </c>
      <c r="I450" s="147" t="s">
        <v>257</v>
      </c>
      <c r="J450" s="147">
        <v>34978.941400000003</v>
      </c>
      <c r="K450" s="147">
        <v>3609.9079999999999</v>
      </c>
      <c r="L450" s="147">
        <v>14868.7256</v>
      </c>
      <c r="M450" s="147">
        <v>98.763400000000004</v>
      </c>
      <c r="N450" s="147">
        <v>15.889799999999999</v>
      </c>
      <c r="O450" s="52">
        <v>120.48</v>
      </c>
      <c r="P450" s="46" t="s">
        <v>814</v>
      </c>
      <c r="Q450" s="46" t="s">
        <v>258</v>
      </c>
    </row>
    <row r="451" spans="1:17" ht="14.4" customHeight="1" x14ac:dyDescent="0.3">
      <c r="A451" s="46" t="s">
        <v>804</v>
      </c>
      <c r="B451" s="53">
        <v>46150</v>
      </c>
      <c r="C451" s="46">
        <v>1834</v>
      </c>
      <c r="D451" s="52">
        <v>1</v>
      </c>
      <c r="E451" s="46">
        <v>1</v>
      </c>
      <c r="F451" s="147" t="s">
        <v>257</v>
      </c>
      <c r="G451" s="147" t="s">
        <v>257</v>
      </c>
      <c r="H451" s="147">
        <v>4.6239999999999997</v>
      </c>
      <c r="I451" s="147" t="s">
        <v>257</v>
      </c>
      <c r="J451" s="147">
        <v>33819.894500000002</v>
      </c>
      <c r="K451" s="147">
        <v>1876.4902</v>
      </c>
      <c r="L451" s="147">
        <v>2216.4124000000002</v>
      </c>
      <c r="M451" s="147">
        <v>43.890999999999998</v>
      </c>
      <c r="N451" s="147">
        <v>13.559699999999999</v>
      </c>
      <c r="O451" s="52">
        <v>120.49</v>
      </c>
      <c r="P451" s="46" t="s">
        <v>814</v>
      </c>
      <c r="Q451" s="46" t="s">
        <v>258</v>
      </c>
    </row>
    <row r="452" spans="1:17" ht="14.4" customHeight="1" x14ac:dyDescent="0.3">
      <c r="A452" s="46" t="s">
        <v>804</v>
      </c>
      <c r="B452" s="53">
        <v>46150</v>
      </c>
      <c r="C452" s="46">
        <v>1835</v>
      </c>
      <c r="D452" s="52">
        <v>1</v>
      </c>
      <c r="E452" s="46">
        <v>2</v>
      </c>
      <c r="F452" s="147" t="s">
        <v>257</v>
      </c>
      <c r="G452" s="147" t="s">
        <v>257</v>
      </c>
      <c r="H452" s="147">
        <v>7.9516</v>
      </c>
      <c r="I452" s="147" t="s">
        <v>257</v>
      </c>
      <c r="J452" s="147">
        <v>36416.617200000001</v>
      </c>
      <c r="K452" s="147">
        <v>1580.3213000000001</v>
      </c>
      <c r="L452" s="147">
        <v>2019.403</v>
      </c>
      <c r="M452" s="147">
        <v>45.537799999999997</v>
      </c>
      <c r="N452" s="147">
        <v>18.238299999999999</v>
      </c>
      <c r="O452" s="52">
        <v>123.03</v>
      </c>
      <c r="P452" s="46" t="s">
        <v>814</v>
      </c>
      <c r="Q452" s="46" t="s">
        <v>258</v>
      </c>
    </row>
    <row r="453" spans="1:17" ht="14.4" customHeight="1" x14ac:dyDescent="0.3">
      <c r="A453" s="46" t="s">
        <v>804</v>
      </c>
      <c r="B453" s="53">
        <v>46150</v>
      </c>
      <c r="C453" s="46">
        <v>1836</v>
      </c>
      <c r="D453" s="52">
        <v>1.5</v>
      </c>
      <c r="E453" s="46">
        <v>1</v>
      </c>
      <c r="F453" s="147">
        <v>3.2934999999999999</v>
      </c>
      <c r="G453" s="147" t="s">
        <v>257</v>
      </c>
      <c r="H453" s="147">
        <v>5.3391999999999999</v>
      </c>
      <c r="I453" s="147" t="s">
        <v>257</v>
      </c>
      <c r="J453" s="147">
        <v>44261.4375</v>
      </c>
      <c r="K453" s="147">
        <v>2086.9418999999998</v>
      </c>
      <c r="L453" s="147">
        <v>2055.9292</v>
      </c>
      <c r="M453" s="147">
        <v>51.4176</v>
      </c>
      <c r="N453" s="147">
        <v>9.3163999999999998</v>
      </c>
      <c r="O453" s="52">
        <v>123.21</v>
      </c>
      <c r="P453" s="46" t="s">
        <v>814</v>
      </c>
      <c r="Q453" s="46" t="s">
        <v>258</v>
      </c>
    </row>
    <row r="454" spans="1:17" ht="14.4" customHeight="1" x14ac:dyDescent="0.3">
      <c r="A454" s="46" t="s">
        <v>804</v>
      </c>
      <c r="B454" s="53">
        <v>46150</v>
      </c>
      <c r="C454" s="46">
        <v>1837</v>
      </c>
      <c r="D454" s="52">
        <v>1.5</v>
      </c>
      <c r="E454" s="46">
        <v>2</v>
      </c>
      <c r="F454" s="147" t="s">
        <v>257</v>
      </c>
      <c r="G454" s="147" t="s">
        <v>257</v>
      </c>
      <c r="H454" s="147">
        <v>5.7777000000000003</v>
      </c>
      <c r="I454" s="147" t="s">
        <v>257</v>
      </c>
      <c r="J454" s="147">
        <v>52934.398399999998</v>
      </c>
      <c r="K454" s="147">
        <v>991.57600000000002</v>
      </c>
      <c r="L454" s="147">
        <v>2005.8607999999999</v>
      </c>
      <c r="M454" s="147">
        <v>40.568100000000001</v>
      </c>
      <c r="N454" s="147">
        <v>4.8182</v>
      </c>
      <c r="O454" s="52">
        <v>122.97</v>
      </c>
      <c r="P454" s="46" t="s">
        <v>814</v>
      </c>
      <c r="Q454" s="46" t="s">
        <v>258</v>
      </c>
    </row>
    <row r="455" spans="1:17" ht="14.4" customHeight="1" x14ac:dyDescent="0.3">
      <c r="A455" s="46" t="s">
        <v>804</v>
      </c>
      <c r="B455" s="53">
        <v>46150</v>
      </c>
      <c r="C455" s="46">
        <v>1838</v>
      </c>
      <c r="D455" s="52">
        <v>2</v>
      </c>
      <c r="E455" s="46">
        <v>1</v>
      </c>
      <c r="F455" s="147">
        <v>2.7961</v>
      </c>
      <c r="G455" s="147" t="s">
        <v>257</v>
      </c>
      <c r="H455" s="147">
        <v>7.9218000000000002</v>
      </c>
      <c r="I455" s="147" t="s">
        <v>257</v>
      </c>
      <c r="J455" s="147">
        <v>35300.242200000001</v>
      </c>
      <c r="K455" s="147">
        <v>965.78380000000004</v>
      </c>
      <c r="L455" s="147">
        <v>1917.8457000000001</v>
      </c>
      <c r="M455" s="147">
        <v>50.980800000000002</v>
      </c>
      <c r="N455" s="147">
        <v>17.549900000000001</v>
      </c>
      <c r="O455" s="52">
        <v>122.87</v>
      </c>
      <c r="P455" s="46" t="s">
        <v>814</v>
      </c>
      <c r="Q455" s="46" t="s">
        <v>258</v>
      </c>
    </row>
    <row r="456" spans="1:17" ht="14.4" customHeight="1" x14ac:dyDescent="0.3">
      <c r="A456" s="46" t="s">
        <v>804</v>
      </c>
      <c r="B456" s="53">
        <v>46150</v>
      </c>
      <c r="C456" s="46">
        <v>1839</v>
      </c>
      <c r="D456" s="52">
        <v>2</v>
      </c>
      <c r="E456" s="46">
        <v>2</v>
      </c>
      <c r="F456" s="147">
        <v>4.7335000000000003</v>
      </c>
      <c r="G456" s="147" t="s">
        <v>257</v>
      </c>
      <c r="H456" s="147">
        <v>7.2176</v>
      </c>
      <c r="I456" s="147" t="s">
        <v>257</v>
      </c>
      <c r="J456" s="147">
        <v>34503.058599999997</v>
      </c>
      <c r="K456" s="147">
        <v>1026.7179000000001</v>
      </c>
      <c r="L456" s="147">
        <v>2245.3806</v>
      </c>
      <c r="M456" s="147">
        <v>50.700099999999999</v>
      </c>
      <c r="N456" s="147">
        <v>12.970599999999999</v>
      </c>
      <c r="O456" s="52">
        <v>123</v>
      </c>
      <c r="P456" s="46" t="s">
        <v>814</v>
      </c>
      <c r="Q456" s="46" t="s">
        <v>258</v>
      </c>
    </row>
    <row r="457" spans="1:17" ht="14.4" customHeight="1" x14ac:dyDescent="0.3">
      <c r="A457" s="46" t="s">
        <v>804</v>
      </c>
      <c r="B457" s="53">
        <v>46150</v>
      </c>
      <c r="C457" s="46">
        <v>1840</v>
      </c>
      <c r="D457" s="52">
        <v>2.5</v>
      </c>
      <c r="E457" s="46">
        <v>1</v>
      </c>
      <c r="F457" s="147">
        <v>4.5265000000000004</v>
      </c>
      <c r="G457" s="147" t="s">
        <v>257</v>
      </c>
      <c r="H457" s="147">
        <v>5.7443999999999997</v>
      </c>
      <c r="I457" s="147" t="s">
        <v>257</v>
      </c>
      <c r="J457" s="147">
        <v>42977.648399999998</v>
      </c>
      <c r="K457" s="147">
        <v>2671.6179000000002</v>
      </c>
      <c r="L457" s="147">
        <v>2521.0962</v>
      </c>
      <c r="M457" s="147">
        <v>47.366500000000002</v>
      </c>
      <c r="N457" s="147">
        <v>7.3784999999999998</v>
      </c>
      <c r="O457" s="52">
        <v>120.15</v>
      </c>
      <c r="P457" s="46" t="s">
        <v>814</v>
      </c>
      <c r="Q457" s="46" t="s">
        <v>258</v>
      </c>
    </row>
    <row r="458" spans="1:17" ht="14.4" customHeight="1" x14ac:dyDescent="0.3">
      <c r="A458" s="46" t="s">
        <v>804</v>
      </c>
      <c r="B458" s="53">
        <v>46150</v>
      </c>
      <c r="C458" s="46">
        <v>1841</v>
      </c>
      <c r="D458" s="52">
        <v>2.5</v>
      </c>
      <c r="E458" s="46">
        <v>2</v>
      </c>
      <c r="F458" s="147">
        <v>2.6968000000000001</v>
      </c>
      <c r="G458" s="147" t="s">
        <v>257</v>
      </c>
      <c r="H458" s="147">
        <v>6.7436999999999996</v>
      </c>
      <c r="I458" s="147" t="s">
        <v>257</v>
      </c>
      <c r="J458" s="147">
        <v>38491.039100000002</v>
      </c>
      <c r="K458" s="147">
        <v>2276.6577000000002</v>
      </c>
      <c r="L458" s="147">
        <v>2547.2869000000001</v>
      </c>
      <c r="M458" s="147">
        <v>45.196599999999997</v>
      </c>
      <c r="N458" s="147">
        <v>7.6116999999999999</v>
      </c>
      <c r="O458" s="52">
        <v>120.68</v>
      </c>
      <c r="P458" s="46" t="s">
        <v>814</v>
      </c>
      <c r="Q458" s="46" t="s">
        <v>258</v>
      </c>
    </row>
    <row r="459" spans="1:17" ht="14.4" customHeight="1" x14ac:dyDescent="0.3">
      <c r="A459" s="46" t="s">
        <v>804</v>
      </c>
      <c r="B459" s="53">
        <v>46150</v>
      </c>
      <c r="C459" s="46">
        <v>1843</v>
      </c>
      <c r="D459" s="52">
        <v>3</v>
      </c>
      <c r="E459" s="46">
        <v>1</v>
      </c>
      <c r="F459" s="147" t="s">
        <v>257</v>
      </c>
      <c r="G459" s="147" t="s">
        <v>257</v>
      </c>
      <c r="H459" s="147">
        <v>6.2675999999999998</v>
      </c>
      <c r="I459" s="147" t="s">
        <v>257</v>
      </c>
      <c r="J459" s="147">
        <v>41815.988299999997</v>
      </c>
      <c r="K459" s="147">
        <v>952.59529999999995</v>
      </c>
      <c r="L459" s="147">
        <v>2495.9823999999999</v>
      </c>
      <c r="M459" s="147">
        <v>47.534700000000001</v>
      </c>
      <c r="N459" s="147">
        <v>11.952400000000001</v>
      </c>
      <c r="O459" s="52">
        <v>123.01</v>
      </c>
      <c r="P459" s="46" t="s">
        <v>814</v>
      </c>
      <c r="Q459" s="46" t="s">
        <v>258</v>
      </c>
    </row>
    <row r="460" spans="1:17" ht="14.4" customHeight="1" x14ac:dyDescent="0.3">
      <c r="A460" s="46" t="s">
        <v>804</v>
      </c>
      <c r="B460" s="53">
        <v>46150</v>
      </c>
      <c r="C460" s="46">
        <v>1844</v>
      </c>
      <c r="D460" s="52">
        <v>3</v>
      </c>
      <c r="E460" s="46">
        <v>2</v>
      </c>
      <c r="F460" s="147">
        <v>2.9411999999999998</v>
      </c>
      <c r="G460" s="147" t="s">
        <v>257</v>
      </c>
      <c r="H460" s="147">
        <v>7.3913000000000002</v>
      </c>
      <c r="I460" s="147" t="s">
        <v>257</v>
      </c>
      <c r="J460" s="147">
        <v>46518.8125</v>
      </c>
      <c r="K460" s="147">
        <v>1420.7864999999999</v>
      </c>
      <c r="L460" s="147">
        <v>2570.5889000000002</v>
      </c>
      <c r="M460" s="147">
        <v>50.823900000000002</v>
      </c>
      <c r="N460" s="147">
        <v>10.2768</v>
      </c>
      <c r="O460" s="52">
        <v>120.23</v>
      </c>
      <c r="P460" s="46" t="s">
        <v>814</v>
      </c>
      <c r="Q460" s="46" t="s">
        <v>258</v>
      </c>
    </row>
    <row r="461" spans="1:17" ht="14.4" customHeight="1" x14ac:dyDescent="0.3">
      <c r="A461" s="46" t="s">
        <v>804</v>
      </c>
      <c r="B461" s="53">
        <v>46150</v>
      </c>
      <c r="C461" s="46">
        <v>1845</v>
      </c>
      <c r="D461" s="52">
        <v>3.5</v>
      </c>
      <c r="E461" s="46">
        <v>1</v>
      </c>
      <c r="F461" s="147">
        <v>4.5419</v>
      </c>
      <c r="G461" s="147" t="s">
        <v>257</v>
      </c>
      <c r="H461" s="147">
        <v>5.0823999999999998</v>
      </c>
      <c r="I461" s="147" t="s">
        <v>257</v>
      </c>
      <c r="J461" s="147">
        <v>50721.191400000003</v>
      </c>
      <c r="K461" s="147">
        <v>1618.8820000000001</v>
      </c>
      <c r="L461" s="147">
        <v>4247.4799999999996</v>
      </c>
      <c r="M461" s="147">
        <v>42.843499999999999</v>
      </c>
      <c r="N461" s="147">
        <v>10.739000000000001</v>
      </c>
      <c r="O461" s="52">
        <v>123</v>
      </c>
      <c r="P461" s="46" t="s">
        <v>814</v>
      </c>
      <c r="Q461" s="46" t="s">
        <v>258</v>
      </c>
    </row>
    <row r="462" spans="1:17" ht="14.4" customHeight="1" x14ac:dyDescent="0.3">
      <c r="A462" s="46" t="s">
        <v>804</v>
      </c>
      <c r="B462" s="53">
        <v>46150</v>
      </c>
      <c r="C462" s="46">
        <v>1846</v>
      </c>
      <c r="D462" s="52">
        <v>3.5</v>
      </c>
      <c r="E462" s="46">
        <v>2</v>
      </c>
      <c r="F462" s="147">
        <v>3.3973</v>
      </c>
      <c r="G462" s="147" t="s">
        <v>257</v>
      </c>
      <c r="H462" s="147">
        <v>6.4924999999999997</v>
      </c>
      <c r="I462" s="147" t="s">
        <v>257</v>
      </c>
      <c r="J462" s="147">
        <v>51488.660199999998</v>
      </c>
      <c r="K462" s="147">
        <v>1652.0920000000001</v>
      </c>
      <c r="L462" s="147">
        <v>4190.7798000000003</v>
      </c>
      <c r="M462" s="147">
        <v>48.664299999999997</v>
      </c>
      <c r="N462" s="147">
        <v>14.07</v>
      </c>
      <c r="O462" s="52">
        <v>120.52</v>
      </c>
      <c r="P462" s="46" t="s">
        <v>814</v>
      </c>
      <c r="Q462" s="46" t="s">
        <v>258</v>
      </c>
    </row>
    <row r="463" spans="1:17" ht="14.4" customHeight="1" x14ac:dyDescent="0.3">
      <c r="A463" s="46" t="s">
        <v>804</v>
      </c>
      <c r="B463" s="53">
        <v>46150</v>
      </c>
      <c r="C463" s="46">
        <v>1847</v>
      </c>
      <c r="D463" s="52">
        <v>4</v>
      </c>
      <c r="E463" s="46">
        <v>1</v>
      </c>
      <c r="F463" s="147">
        <v>7.7130000000000001</v>
      </c>
      <c r="G463" s="147" t="s">
        <v>257</v>
      </c>
      <c r="H463" s="147">
        <v>4.6158000000000001</v>
      </c>
      <c r="I463" s="147" t="s">
        <v>257</v>
      </c>
      <c r="J463" s="147">
        <v>92139.726599999995</v>
      </c>
      <c r="K463" s="147">
        <v>1784.9905000000001</v>
      </c>
      <c r="L463" s="147">
        <v>7722.4727000000003</v>
      </c>
      <c r="M463" s="147">
        <v>49.795499999999997</v>
      </c>
      <c r="N463" s="147">
        <v>14.542899999999999</v>
      </c>
      <c r="O463" s="52">
        <v>122.85</v>
      </c>
      <c r="P463" s="46" t="s">
        <v>814</v>
      </c>
      <c r="Q463" s="46" t="s">
        <v>258</v>
      </c>
    </row>
    <row r="464" spans="1:17" ht="14.4" customHeight="1" x14ac:dyDescent="0.3">
      <c r="A464" s="46" t="s">
        <v>804</v>
      </c>
      <c r="B464" s="53">
        <v>46150</v>
      </c>
      <c r="C464" s="46">
        <v>1848</v>
      </c>
      <c r="D464" s="52">
        <v>4</v>
      </c>
      <c r="E464" s="46">
        <v>2</v>
      </c>
      <c r="F464" s="147">
        <v>4.7361000000000004</v>
      </c>
      <c r="G464" s="147" t="s">
        <v>257</v>
      </c>
      <c r="H464" s="147">
        <v>7.3648999999999996</v>
      </c>
      <c r="I464" s="147" t="s">
        <v>257</v>
      </c>
      <c r="J464" s="147">
        <v>104037.36719999999</v>
      </c>
      <c r="K464" s="147">
        <v>1906.4862000000001</v>
      </c>
      <c r="L464" s="147">
        <v>8124.2891</v>
      </c>
      <c r="M464" s="147">
        <v>51.2166</v>
      </c>
      <c r="N464" s="147">
        <v>15.0372</v>
      </c>
      <c r="O464" s="52">
        <v>122.96</v>
      </c>
      <c r="P464" s="46" t="s">
        <v>814</v>
      </c>
      <c r="Q464" s="46" t="s">
        <v>258</v>
      </c>
    </row>
    <row r="465" spans="1:17" ht="14.4" customHeight="1" x14ac:dyDescent="0.3">
      <c r="A465" s="49" t="s">
        <v>805</v>
      </c>
      <c r="B465" s="54">
        <v>46150</v>
      </c>
      <c r="C465" s="49">
        <v>1849</v>
      </c>
      <c r="D465" s="51">
        <v>0</v>
      </c>
      <c r="E465" s="49">
        <v>1</v>
      </c>
      <c r="F465" s="148">
        <v>9.0216999999999992</v>
      </c>
      <c r="G465" s="148">
        <v>24.314599999999999</v>
      </c>
      <c r="H465" s="148">
        <v>9.7948000000000004</v>
      </c>
      <c r="I465" s="148" t="s">
        <v>257</v>
      </c>
      <c r="J465" s="148">
        <v>49939.542999999998</v>
      </c>
      <c r="K465" s="148">
        <v>1292.8972000000001</v>
      </c>
      <c r="L465" s="148">
        <v>54723.328099999999</v>
      </c>
      <c r="M465" s="148">
        <v>65.618300000000005</v>
      </c>
      <c r="N465" s="148">
        <v>85.950100000000006</v>
      </c>
      <c r="O465" s="51">
        <v>120.52</v>
      </c>
      <c r="P465" s="49" t="s">
        <v>814</v>
      </c>
      <c r="Q465" s="49" t="s">
        <v>258</v>
      </c>
    </row>
    <row r="466" spans="1:17" ht="14.4" customHeight="1" x14ac:dyDescent="0.3">
      <c r="A466" s="49" t="s">
        <v>805</v>
      </c>
      <c r="B466" s="54">
        <v>46150</v>
      </c>
      <c r="C466" s="49">
        <v>1850</v>
      </c>
      <c r="D466" s="51">
        <v>0</v>
      </c>
      <c r="E466" s="49">
        <v>2</v>
      </c>
      <c r="F466" s="148">
        <v>3.0339999999999998</v>
      </c>
      <c r="G466" s="148">
        <v>23.040900000000001</v>
      </c>
      <c r="H466" s="148">
        <v>9.7728000000000002</v>
      </c>
      <c r="I466" s="148" t="s">
        <v>257</v>
      </c>
      <c r="J466" s="148">
        <v>49740.511700000003</v>
      </c>
      <c r="K466" s="148">
        <v>1232.7091</v>
      </c>
      <c r="L466" s="148">
        <v>56696.867200000001</v>
      </c>
      <c r="M466" s="148">
        <v>62.087299999999999</v>
      </c>
      <c r="N466" s="148">
        <v>85.755200000000002</v>
      </c>
      <c r="O466" s="51">
        <v>123.27</v>
      </c>
      <c r="P466" s="49" t="s">
        <v>814</v>
      </c>
      <c r="Q466" s="49" t="s">
        <v>258</v>
      </c>
    </row>
    <row r="467" spans="1:17" ht="14.4" customHeight="1" x14ac:dyDescent="0.3">
      <c r="A467" s="49" t="s">
        <v>805</v>
      </c>
      <c r="B467" s="54">
        <v>46150</v>
      </c>
      <c r="C467" s="49">
        <v>1852</v>
      </c>
      <c r="D467" s="51">
        <v>0.5</v>
      </c>
      <c r="E467" s="49">
        <v>1</v>
      </c>
      <c r="F467" s="148" t="s">
        <v>257</v>
      </c>
      <c r="G467" s="148" t="s">
        <v>257</v>
      </c>
      <c r="H467" s="148">
        <v>6.2289000000000003</v>
      </c>
      <c r="I467" s="148" t="s">
        <v>257</v>
      </c>
      <c r="J467" s="148">
        <v>39626.75</v>
      </c>
      <c r="K467" s="148">
        <v>1148.0011999999999</v>
      </c>
      <c r="L467" s="148">
        <v>2632.5785999999998</v>
      </c>
      <c r="M467" s="148">
        <v>45.312899999999999</v>
      </c>
      <c r="N467" s="148">
        <v>15.302899999999999</v>
      </c>
      <c r="O467" s="51">
        <v>122.81</v>
      </c>
      <c r="P467" s="49" t="s">
        <v>814</v>
      </c>
      <c r="Q467" s="49" t="s">
        <v>258</v>
      </c>
    </row>
    <row r="468" spans="1:17" ht="14.4" customHeight="1" x14ac:dyDescent="0.3">
      <c r="A468" s="49" t="s">
        <v>805</v>
      </c>
      <c r="B468" s="54">
        <v>46150</v>
      </c>
      <c r="C468" s="49">
        <v>1853</v>
      </c>
      <c r="D468" s="51">
        <v>0.5</v>
      </c>
      <c r="E468" s="49">
        <v>2</v>
      </c>
      <c r="F468" s="148" t="s">
        <v>257</v>
      </c>
      <c r="G468" s="148" t="s">
        <v>257</v>
      </c>
      <c r="H468" s="148">
        <v>6.3361000000000001</v>
      </c>
      <c r="I468" s="148" t="s">
        <v>257</v>
      </c>
      <c r="J468" s="148">
        <v>40457.019500000002</v>
      </c>
      <c r="K468" s="148">
        <v>1297.5751</v>
      </c>
      <c r="L468" s="148">
        <v>4680.5668999999998</v>
      </c>
      <c r="M468" s="148">
        <v>48.270400000000002</v>
      </c>
      <c r="N468" s="148">
        <v>17.622499999999999</v>
      </c>
      <c r="O468" s="51">
        <v>120.35</v>
      </c>
      <c r="P468" s="49" t="s">
        <v>814</v>
      </c>
      <c r="Q468" s="49" t="s">
        <v>258</v>
      </c>
    </row>
    <row r="469" spans="1:17" ht="14.4" customHeight="1" x14ac:dyDescent="0.3">
      <c r="A469" s="49" t="s">
        <v>805</v>
      </c>
      <c r="B469" s="54">
        <v>46150</v>
      </c>
      <c r="C469" s="49">
        <v>1854</v>
      </c>
      <c r="D469" s="51">
        <v>1</v>
      </c>
      <c r="E469" s="49">
        <v>1</v>
      </c>
      <c r="F469" s="148">
        <v>4.0712000000000002</v>
      </c>
      <c r="G469" s="148" t="s">
        <v>257</v>
      </c>
      <c r="H469" s="148">
        <v>5.7950999999999997</v>
      </c>
      <c r="I469" s="148" t="s">
        <v>257</v>
      </c>
      <c r="J469" s="148">
        <v>40134.441400000003</v>
      </c>
      <c r="K469" s="148">
        <v>1772.5522000000001</v>
      </c>
      <c r="L469" s="148">
        <v>1940.3132000000001</v>
      </c>
      <c r="M469" s="148">
        <v>46.675400000000003</v>
      </c>
      <c r="N469" s="148">
        <v>25.724699999999999</v>
      </c>
      <c r="O469" s="51">
        <v>120.15</v>
      </c>
      <c r="P469" s="49" t="s">
        <v>814</v>
      </c>
      <c r="Q469" s="49" t="s">
        <v>258</v>
      </c>
    </row>
    <row r="470" spans="1:17" ht="14.4" customHeight="1" x14ac:dyDescent="0.3">
      <c r="A470" s="49" t="s">
        <v>805</v>
      </c>
      <c r="B470" s="54">
        <v>46150</v>
      </c>
      <c r="C470" s="49">
        <v>1855</v>
      </c>
      <c r="D470" s="51">
        <v>1</v>
      </c>
      <c r="E470" s="49">
        <v>2</v>
      </c>
      <c r="F470" s="148" t="s">
        <v>257</v>
      </c>
      <c r="G470" s="148" t="s">
        <v>257</v>
      </c>
      <c r="H470" s="148">
        <v>8.0227000000000004</v>
      </c>
      <c r="I470" s="148" t="s">
        <v>257</v>
      </c>
      <c r="J470" s="148">
        <v>40310.277300000002</v>
      </c>
      <c r="K470" s="148">
        <v>2061.0571</v>
      </c>
      <c r="L470" s="148">
        <v>1966.0968</v>
      </c>
      <c r="M470" s="148">
        <v>46.609200000000001</v>
      </c>
      <c r="N470" s="148">
        <v>21.442299999999999</v>
      </c>
      <c r="O470" s="51">
        <v>122.69</v>
      </c>
      <c r="P470" s="49" t="s">
        <v>814</v>
      </c>
      <c r="Q470" s="49" t="s">
        <v>258</v>
      </c>
    </row>
    <row r="471" spans="1:17" ht="14.4" customHeight="1" x14ac:dyDescent="0.3">
      <c r="A471" s="49" t="s">
        <v>805</v>
      </c>
      <c r="B471" s="54">
        <v>46150</v>
      </c>
      <c r="C471" s="49">
        <v>1856</v>
      </c>
      <c r="D471" s="51">
        <v>1.5</v>
      </c>
      <c r="E471" s="49">
        <v>1</v>
      </c>
      <c r="F471" s="148" t="s">
        <v>257</v>
      </c>
      <c r="G471" s="148" t="s">
        <v>257</v>
      </c>
      <c r="H471" s="148">
        <v>8.6212999999999997</v>
      </c>
      <c r="I471" s="148" t="s">
        <v>257</v>
      </c>
      <c r="J471" s="148">
        <v>41879.859400000001</v>
      </c>
      <c r="K471" s="148">
        <v>2323.5771</v>
      </c>
      <c r="L471" s="148">
        <v>406.94920000000002</v>
      </c>
      <c r="M471" s="148">
        <v>50.964199999999998</v>
      </c>
      <c r="N471" s="148">
        <v>30.126100000000001</v>
      </c>
      <c r="O471" s="51">
        <v>122.74</v>
      </c>
      <c r="P471" s="49" t="s">
        <v>814</v>
      </c>
      <c r="Q471" s="49" t="s">
        <v>258</v>
      </c>
    </row>
    <row r="472" spans="1:17" ht="14.4" customHeight="1" x14ac:dyDescent="0.3">
      <c r="A472" s="49" t="s">
        <v>805</v>
      </c>
      <c r="B472" s="54">
        <v>46150</v>
      </c>
      <c r="C472" s="49">
        <v>1857</v>
      </c>
      <c r="D472" s="51">
        <v>1.5</v>
      </c>
      <c r="E472" s="49">
        <v>2</v>
      </c>
      <c r="F472" s="148" t="s">
        <v>257</v>
      </c>
      <c r="G472" s="148" t="s">
        <v>257</v>
      </c>
      <c r="H472" s="148">
        <v>8.1472999999999995</v>
      </c>
      <c r="I472" s="148" t="s">
        <v>257</v>
      </c>
      <c r="J472" s="148">
        <v>40899.718800000002</v>
      </c>
      <c r="K472" s="148">
        <v>2809.6147000000001</v>
      </c>
      <c r="L472" s="148">
        <v>558.99210000000005</v>
      </c>
      <c r="M472" s="148">
        <v>50.890900000000002</v>
      </c>
      <c r="N472" s="148">
        <v>36.775300000000001</v>
      </c>
      <c r="O472" s="51">
        <v>120.68</v>
      </c>
      <c r="P472" s="49" t="s">
        <v>814</v>
      </c>
      <c r="Q472" s="49" t="s">
        <v>258</v>
      </c>
    </row>
    <row r="473" spans="1:17" ht="14.4" customHeight="1" x14ac:dyDescent="0.3">
      <c r="A473" s="49" t="s">
        <v>805</v>
      </c>
      <c r="B473" s="54">
        <v>46150</v>
      </c>
      <c r="C473" s="49">
        <v>1858</v>
      </c>
      <c r="D473" s="51">
        <v>2</v>
      </c>
      <c r="E473" s="49">
        <v>1</v>
      </c>
      <c r="F473" s="148" t="s">
        <v>257</v>
      </c>
      <c r="G473" s="148" t="s">
        <v>257</v>
      </c>
      <c r="H473" s="148">
        <v>5.8760000000000003</v>
      </c>
      <c r="I473" s="148" t="s">
        <v>257</v>
      </c>
      <c r="J473" s="148">
        <v>37993.949200000003</v>
      </c>
      <c r="K473" s="148">
        <v>5924.2051000000001</v>
      </c>
      <c r="L473" s="148">
        <v>690.01030000000003</v>
      </c>
      <c r="M473" s="148">
        <v>44.430599999999998</v>
      </c>
      <c r="N473" s="148">
        <v>46.4559</v>
      </c>
      <c r="O473" s="51">
        <v>122.88</v>
      </c>
      <c r="P473" s="49" t="s">
        <v>814</v>
      </c>
      <c r="Q473" s="49" t="s">
        <v>258</v>
      </c>
    </row>
    <row r="474" spans="1:17" ht="14.4" customHeight="1" x14ac:dyDescent="0.3">
      <c r="A474" s="49" t="s">
        <v>805</v>
      </c>
      <c r="B474" s="54">
        <v>46150</v>
      </c>
      <c r="C474" s="49">
        <v>1859</v>
      </c>
      <c r="D474" s="51">
        <v>2</v>
      </c>
      <c r="E474" s="49">
        <v>2</v>
      </c>
      <c r="F474" s="148" t="s">
        <v>257</v>
      </c>
      <c r="G474" s="148" t="s">
        <v>257</v>
      </c>
      <c r="H474" s="148">
        <v>7.0157999999999996</v>
      </c>
      <c r="I474" s="148" t="s">
        <v>257</v>
      </c>
      <c r="J474" s="148">
        <v>38968.339800000002</v>
      </c>
      <c r="K474" s="148">
        <v>6122.1094000000003</v>
      </c>
      <c r="L474" s="148">
        <v>592.54380000000003</v>
      </c>
      <c r="M474" s="148">
        <v>48.671799999999998</v>
      </c>
      <c r="N474" s="148">
        <v>47.8187</v>
      </c>
      <c r="O474" s="51">
        <v>120.09</v>
      </c>
      <c r="P474" s="49" t="s">
        <v>814</v>
      </c>
      <c r="Q474" s="49" t="s">
        <v>258</v>
      </c>
    </row>
    <row r="475" spans="1:17" ht="14.4" customHeight="1" x14ac:dyDescent="0.3">
      <c r="A475" s="49" t="s">
        <v>805</v>
      </c>
      <c r="B475" s="54">
        <v>46150</v>
      </c>
      <c r="C475" s="49">
        <v>1860</v>
      </c>
      <c r="D475" s="51">
        <v>2.5</v>
      </c>
      <c r="E475" s="49">
        <v>1</v>
      </c>
      <c r="F475" s="148" t="s">
        <v>257</v>
      </c>
      <c r="G475" s="148" t="s">
        <v>257</v>
      </c>
      <c r="H475" s="148">
        <v>6.6756000000000002</v>
      </c>
      <c r="I475" s="148" t="s">
        <v>257</v>
      </c>
      <c r="J475" s="148">
        <v>39195.050799999997</v>
      </c>
      <c r="K475" s="148">
        <v>21152.6777</v>
      </c>
      <c r="L475" s="148">
        <v>1429.0286000000001</v>
      </c>
      <c r="M475" s="148">
        <v>87.436999999999998</v>
      </c>
      <c r="N475" s="148">
        <v>385.24349999999998</v>
      </c>
      <c r="O475" s="51">
        <v>120.77</v>
      </c>
      <c r="P475" s="49" t="s">
        <v>814</v>
      </c>
      <c r="Q475" s="49" t="s">
        <v>258</v>
      </c>
    </row>
    <row r="476" spans="1:17" ht="14.4" customHeight="1" x14ac:dyDescent="0.3">
      <c r="A476" s="49" t="s">
        <v>805</v>
      </c>
      <c r="B476" s="54">
        <v>46150</v>
      </c>
      <c r="C476" s="49">
        <v>1861</v>
      </c>
      <c r="D476" s="51">
        <v>2.5</v>
      </c>
      <c r="E476" s="49">
        <v>2</v>
      </c>
      <c r="F476" s="148" t="s">
        <v>257</v>
      </c>
      <c r="G476" s="148" t="s">
        <v>257</v>
      </c>
      <c r="H476" s="148">
        <v>5.7809999999999997</v>
      </c>
      <c r="I476" s="148" t="s">
        <v>257</v>
      </c>
      <c r="J476" s="148">
        <v>40098.453099999999</v>
      </c>
      <c r="K476" s="148">
        <v>25447.408200000002</v>
      </c>
      <c r="L476" s="148">
        <v>1408.1460999999999</v>
      </c>
      <c r="M476" s="148">
        <v>94.793400000000005</v>
      </c>
      <c r="N476" s="148">
        <v>477.21</v>
      </c>
      <c r="O476" s="51">
        <v>123.26</v>
      </c>
      <c r="P476" s="49" t="s">
        <v>814</v>
      </c>
      <c r="Q476" s="49" t="s">
        <v>258</v>
      </c>
    </row>
    <row r="477" spans="1:17" ht="14.4" customHeight="1" x14ac:dyDescent="0.3">
      <c r="A477" s="49" t="s">
        <v>805</v>
      </c>
      <c r="B477" s="54">
        <v>46150</v>
      </c>
      <c r="C477" s="49">
        <v>1862</v>
      </c>
      <c r="D477" s="51">
        <v>3</v>
      </c>
      <c r="E477" s="49">
        <v>1</v>
      </c>
      <c r="F477" s="148" t="s">
        <v>257</v>
      </c>
      <c r="G477" s="148" t="s">
        <v>257</v>
      </c>
      <c r="H477" s="148">
        <v>6.7866</v>
      </c>
      <c r="I477" s="148" t="s">
        <v>257</v>
      </c>
      <c r="J477" s="148">
        <v>40311.972699999998</v>
      </c>
      <c r="K477" s="148">
        <v>18280.710899999998</v>
      </c>
      <c r="L477" s="148">
        <v>1334.3793000000001</v>
      </c>
      <c r="M477" s="148">
        <v>66.787000000000006</v>
      </c>
      <c r="N477" s="148">
        <v>249.22919999999999</v>
      </c>
      <c r="O477" s="51">
        <v>122.86</v>
      </c>
      <c r="P477" s="49" t="s">
        <v>814</v>
      </c>
      <c r="Q477" s="49" t="s">
        <v>258</v>
      </c>
    </row>
    <row r="478" spans="1:17" ht="14.4" customHeight="1" x14ac:dyDescent="0.3">
      <c r="A478" s="49" t="s">
        <v>805</v>
      </c>
      <c r="B478" s="54">
        <v>46150</v>
      </c>
      <c r="C478" s="49">
        <v>1863</v>
      </c>
      <c r="D478" s="51">
        <v>3</v>
      </c>
      <c r="E478" s="49">
        <v>2</v>
      </c>
      <c r="F478" s="148" t="s">
        <v>257</v>
      </c>
      <c r="G478" s="148" t="s">
        <v>257</v>
      </c>
      <c r="H478" s="148">
        <v>8.1358999999999995</v>
      </c>
      <c r="I478" s="148" t="s">
        <v>257</v>
      </c>
      <c r="J478" s="148">
        <v>41485.480499999998</v>
      </c>
      <c r="K478" s="148">
        <v>13630.0615</v>
      </c>
      <c r="L478" s="148">
        <v>1268.4799</v>
      </c>
      <c r="M478" s="148">
        <v>62.067</v>
      </c>
      <c r="N478" s="148">
        <v>172.60409999999999</v>
      </c>
      <c r="O478" s="51">
        <v>120.17</v>
      </c>
      <c r="P478" s="49" t="s">
        <v>814</v>
      </c>
      <c r="Q478" s="49" t="s">
        <v>258</v>
      </c>
    </row>
    <row r="479" spans="1:17" ht="14.4" customHeight="1" x14ac:dyDescent="0.3">
      <c r="A479" s="49" t="s">
        <v>805</v>
      </c>
      <c r="B479" s="54">
        <v>46150</v>
      </c>
      <c r="C479" s="49">
        <v>1864</v>
      </c>
      <c r="D479" s="51">
        <v>3.5</v>
      </c>
      <c r="E479" s="49">
        <v>1</v>
      </c>
      <c r="F479" s="148" t="s">
        <v>257</v>
      </c>
      <c r="G479" s="148" t="s">
        <v>257</v>
      </c>
      <c r="H479" s="148">
        <v>5.4115000000000002</v>
      </c>
      <c r="I479" s="148" t="s">
        <v>257</v>
      </c>
      <c r="J479" s="148">
        <v>41008.714800000002</v>
      </c>
      <c r="K479" s="148">
        <v>3051.4661000000001</v>
      </c>
      <c r="L479" s="148">
        <v>1366.6134999999999</v>
      </c>
      <c r="M479" s="148">
        <v>45.767800000000001</v>
      </c>
      <c r="N479" s="148">
        <v>28.8811</v>
      </c>
      <c r="O479" s="51">
        <v>122.75</v>
      </c>
      <c r="P479" s="49" t="s">
        <v>814</v>
      </c>
      <c r="Q479" s="49" t="s">
        <v>258</v>
      </c>
    </row>
    <row r="480" spans="1:17" ht="14.4" customHeight="1" x14ac:dyDescent="0.3">
      <c r="A480" s="49" t="s">
        <v>805</v>
      </c>
      <c r="B480" s="54">
        <v>46150</v>
      </c>
      <c r="C480" s="49">
        <v>1865</v>
      </c>
      <c r="D480" s="51">
        <v>3.5</v>
      </c>
      <c r="E480" s="49">
        <v>2</v>
      </c>
      <c r="F480" s="148" t="s">
        <v>257</v>
      </c>
      <c r="G480" s="148" t="s">
        <v>257</v>
      </c>
      <c r="H480" s="148">
        <v>4.6196000000000002</v>
      </c>
      <c r="I480" s="148" t="s">
        <v>257</v>
      </c>
      <c r="J480" s="148">
        <v>40805.261700000003</v>
      </c>
      <c r="K480" s="148">
        <v>3287.0886</v>
      </c>
      <c r="L480" s="148">
        <v>1092.8842999999999</v>
      </c>
      <c r="M480" s="148">
        <v>42.558500000000002</v>
      </c>
      <c r="N480" s="148">
        <v>36.637799999999999</v>
      </c>
      <c r="O480" s="51">
        <v>122.64</v>
      </c>
      <c r="P480" s="49" t="s">
        <v>814</v>
      </c>
      <c r="Q480" s="49" t="s">
        <v>258</v>
      </c>
    </row>
    <row r="481" spans="1:17" ht="14.4" customHeight="1" x14ac:dyDescent="0.3">
      <c r="A481" s="49" t="s">
        <v>805</v>
      </c>
      <c r="B481" s="54">
        <v>46150</v>
      </c>
      <c r="C481" s="49">
        <v>1866</v>
      </c>
      <c r="D481" s="51">
        <v>4</v>
      </c>
      <c r="E481" s="49">
        <v>1</v>
      </c>
      <c r="F481" s="148" t="s">
        <v>257</v>
      </c>
      <c r="G481" s="148" t="s">
        <v>257</v>
      </c>
      <c r="H481" s="148">
        <v>7.1718000000000002</v>
      </c>
      <c r="I481" s="148" t="s">
        <v>257</v>
      </c>
      <c r="J481" s="148">
        <v>41519.367200000001</v>
      </c>
      <c r="K481" s="148">
        <v>5494.5522000000001</v>
      </c>
      <c r="L481" s="148">
        <v>1538.9879000000001</v>
      </c>
      <c r="M481" s="148">
        <v>53.842100000000002</v>
      </c>
      <c r="N481" s="148">
        <v>61.401800000000001</v>
      </c>
      <c r="O481" s="51">
        <v>120.19</v>
      </c>
      <c r="P481" s="49" t="s">
        <v>814</v>
      </c>
      <c r="Q481" s="49" t="s">
        <v>258</v>
      </c>
    </row>
    <row r="482" spans="1:17" ht="14.4" customHeight="1" x14ac:dyDescent="0.3">
      <c r="A482" s="49" t="s">
        <v>805</v>
      </c>
      <c r="B482" s="54">
        <v>46150</v>
      </c>
      <c r="C482" s="49">
        <v>1867</v>
      </c>
      <c r="D482" s="51">
        <v>4</v>
      </c>
      <c r="E482" s="49">
        <v>2</v>
      </c>
      <c r="F482" s="148">
        <v>3.0259999999999998</v>
      </c>
      <c r="G482" s="148" t="s">
        <v>257</v>
      </c>
      <c r="H482" s="148">
        <v>7.5529999999999999</v>
      </c>
      <c r="I482" s="148" t="s">
        <v>257</v>
      </c>
      <c r="J482" s="148">
        <v>43826.671900000001</v>
      </c>
      <c r="K482" s="148">
        <v>5942.1318000000001</v>
      </c>
      <c r="L482" s="148">
        <v>1419.1495</v>
      </c>
      <c r="M482" s="148">
        <v>56.133800000000001</v>
      </c>
      <c r="N482" s="148">
        <v>59.25</v>
      </c>
      <c r="O482" s="51">
        <v>120.44</v>
      </c>
      <c r="P482" s="49" t="s">
        <v>814</v>
      </c>
      <c r="Q482" s="49" t="s">
        <v>258</v>
      </c>
    </row>
  </sheetData>
  <autoFilter ref="A4:Q482" xr:uid="{00000000-0009-0000-0000-000008000000}"/>
  <mergeCells count="5">
    <mergeCell ref="A1:Q1"/>
    <mergeCell ref="A2:Q2"/>
    <mergeCell ref="A3:E3"/>
    <mergeCell ref="F3:N3"/>
    <mergeCell ref="O3:Q3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  <pageSetUpPr fitToPage="1"/>
  </sheetPr>
  <dimension ref="A1:R53"/>
  <sheetViews>
    <sheetView topLeftCell="A31" zoomScaleNormal="100" workbookViewId="0">
      <selection activeCell="B12" sqref="B12"/>
    </sheetView>
  </sheetViews>
  <sheetFormatPr defaultColWidth="8.6640625" defaultRowHeight="14.4" x14ac:dyDescent="0.3"/>
  <cols>
    <col min="1" max="1" width="31.33203125" bestFit="1" customWidth="1"/>
    <col min="2" max="2" width="19.5546875" bestFit="1" customWidth="1"/>
    <col min="3" max="3" width="5.44140625" bestFit="1" customWidth="1"/>
    <col min="4" max="4" width="4.33203125" bestFit="1" customWidth="1"/>
    <col min="5" max="5" width="8" bestFit="1" customWidth="1"/>
    <col min="6" max="6" width="11.5546875" bestFit="1" customWidth="1"/>
    <col min="7" max="7" width="9.5546875" bestFit="1" customWidth="1"/>
    <col min="8" max="8" width="7.21875" bestFit="1" customWidth="1"/>
    <col min="9" max="10" width="7.109375" bestFit="1" customWidth="1"/>
    <col min="11" max="11" width="7.6640625" bestFit="1" customWidth="1"/>
    <col min="12" max="12" width="5.6640625" bestFit="1" customWidth="1"/>
    <col min="13" max="13" width="6.88671875" bestFit="1" customWidth="1"/>
    <col min="14" max="14" width="14.88671875" bestFit="1" customWidth="1"/>
    <col min="15" max="15" width="8.88671875" bestFit="1" customWidth="1"/>
    <col min="16" max="16" width="11.88671875" bestFit="1" customWidth="1"/>
    <col min="17" max="17" width="6.33203125" bestFit="1" customWidth="1"/>
    <col min="18" max="18" width="75.6640625" bestFit="1" customWidth="1"/>
  </cols>
  <sheetData>
    <row r="1" spans="1:18" ht="17.399999999999999" x14ac:dyDescent="0.3">
      <c r="A1" s="202" t="s">
        <v>816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</row>
    <row r="2" spans="1:18" x14ac:dyDescent="0.3">
      <c r="A2" s="203" t="s">
        <v>817</v>
      </c>
      <c r="B2" s="203"/>
      <c r="C2" s="203"/>
      <c r="D2" s="203"/>
      <c r="E2" s="203"/>
      <c r="F2" s="203"/>
      <c r="G2" s="203"/>
      <c r="H2" s="203"/>
      <c r="I2" s="203"/>
      <c r="J2" s="203"/>
      <c r="K2" s="203"/>
      <c r="L2" s="203"/>
      <c r="M2" s="203"/>
      <c r="N2" s="203"/>
      <c r="O2" s="203"/>
      <c r="P2" s="203"/>
      <c r="Q2" s="203"/>
      <c r="R2" s="203"/>
    </row>
    <row r="4" spans="1:18" x14ac:dyDescent="0.3">
      <c r="A4" s="204" t="s">
        <v>818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</row>
    <row r="5" spans="1:18" ht="28.8" x14ac:dyDescent="0.3">
      <c r="A5" s="26" t="s">
        <v>678</v>
      </c>
      <c r="B5" s="26" t="s">
        <v>86</v>
      </c>
      <c r="C5" s="26" t="s">
        <v>90</v>
      </c>
      <c r="D5" s="26" t="s">
        <v>679</v>
      </c>
      <c r="E5" s="26" t="s">
        <v>819</v>
      </c>
      <c r="F5" s="26" t="s">
        <v>88</v>
      </c>
      <c r="G5" s="26" t="s">
        <v>87</v>
      </c>
      <c r="H5" s="26" t="s">
        <v>683</v>
      </c>
      <c r="I5" s="26" t="s">
        <v>684</v>
      </c>
      <c r="J5" s="26" t="s">
        <v>685</v>
      </c>
      <c r="K5" s="26" t="s">
        <v>820</v>
      </c>
      <c r="L5" s="26" t="s">
        <v>821</v>
      </c>
      <c r="M5" s="26" t="s">
        <v>822</v>
      </c>
      <c r="N5" s="26" t="s">
        <v>823</v>
      </c>
      <c r="O5" s="26" t="s">
        <v>824</v>
      </c>
      <c r="P5" s="26" t="s">
        <v>825</v>
      </c>
      <c r="Q5" s="26" t="s">
        <v>826</v>
      </c>
      <c r="R5" s="26" t="s">
        <v>827</v>
      </c>
    </row>
    <row r="6" spans="1:18" x14ac:dyDescent="0.3">
      <c r="A6" s="46">
        <v>8</v>
      </c>
      <c r="B6" s="46" t="s">
        <v>337</v>
      </c>
      <c r="C6" s="46" t="s">
        <v>107</v>
      </c>
      <c r="D6" s="46">
        <v>1</v>
      </c>
      <c r="E6" s="46" t="s">
        <v>728</v>
      </c>
      <c r="F6" s="52">
        <v>528873.375</v>
      </c>
      <c r="G6" s="52">
        <v>4317373</v>
      </c>
      <c r="H6" s="46" t="s">
        <v>257</v>
      </c>
      <c r="I6" s="150">
        <v>2</v>
      </c>
      <c r="J6" s="150">
        <v>63</v>
      </c>
      <c r="K6" s="46" t="s">
        <v>828</v>
      </c>
      <c r="L6" s="46" t="s">
        <v>829</v>
      </c>
      <c r="M6" s="46"/>
      <c r="N6" s="46"/>
      <c r="O6" s="46" t="s">
        <v>830</v>
      </c>
      <c r="P6" s="46" t="s">
        <v>108</v>
      </c>
      <c r="Q6" s="46"/>
      <c r="R6" s="46" t="s">
        <v>831</v>
      </c>
    </row>
    <row r="7" spans="1:18" x14ac:dyDescent="0.3">
      <c r="A7" s="49">
        <v>13</v>
      </c>
      <c r="B7" s="49" t="s">
        <v>343</v>
      </c>
      <c r="C7" s="49" t="s">
        <v>113</v>
      </c>
      <c r="D7" s="49">
        <v>2</v>
      </c>
      <c r="E7" s="49" t="s">
        <v>711</v>
      </c>
      <c r="F7" s="51">
        <v>528836.35939999996</v>
      </c>
      <c r="G7" s="51">
        <v>4317284.5833000001</v>
      </c>
      <c r="H7" s="151">
        <v>698</v>
      </c>
      <c r="I7" s="151">
        <v>13</v>
      </c>
      <c r="J7" s="151">
        <v>4</v>
      </c>
      <c r="K7" s="49" t="s">
        <v>828</v>
      </c>
      <c r="L7" s="49" t="s">
        <v>829</v>
      </c>
      <c r="M7" s="49"/>
      <c r="N7" s="49"/>
      <c r="O7" s="49" t="s">
        <v>830</v>
      </c>
      <c r="P7" s="49" t="s">
        <v>832</v>
      </c>
      <c r="Q7" s="49"/>
      <c r="R7" s="49" t="s">
        <v>831</v>
      </c>
    </row>
    <row r="8" spans="1:18" x14ac:dyDescent="0.3">
      <c r="A8" s="46">
        <v>2</v>
      </c>
      <c r="B8" s="46" t="s">
        <v>372</v>
      </c>
      <c r="C8" s="46" t="s">
        <v>113</v>
      </c>
      <c r="D8" s="46">
        <v>1</v>
      </c>
      <c r="E8" s="46" t="s">
        <v>703</v>
      </c>
      <c r="F8" s="52">
        <v>529326.5</v>
      </c>
      <c r="G8" s="52">
        <v>4317375.8</v>
      </c>
      <c r="H8" s="150">
        <v>373</v>
      </c>
      <c r="I8" s="150">
        <v>555</v>
      </c>
      <c r="J8" s="150">
        <v>632</v>
      </c>
      <c r="K8" s="46" t="s">
        <v>828</v>
      </c>
      <c r="L8" s="46" t="s">
        <v>833</v>
      </c>
      <c r="M8" s="46"/>
      <c r="N8" s="46"/>
      <c r="O8" s="46" t="s">
        <v>829</v>
      </c>
      <c r="P8" s="46" t="s">
        <v>108</v>
      </c>
      <c r="Q8" s="46"/>
      <c r="R8" s="46"/>
    </row>
    <row r="9" spans="1:18" x14ac:dyDescent="0.3">
      <c r="A9" s="205" t="s">
        <v>834</v>
      </c>
      <c r="B9" s="205"/>
      <c r="C9" s="205"/>
      <c r="D9" s="205"/>
      <c r="E9" s="205"/>
      <c r="F9" s="205"/>
      <c r="G9" s="205"/>
      <c r="H9" s="205"/>
      <c r="I9" s="205"/>
      <c r="J9" s="205"/>
      <c r="K9" s="205"/>
      <c r="L9" s="205"/>
      <c r="M9" s="205"/>
      <c r="N9" s="205"/>
      <c r="O9" s="205"/>
      <c r="P9" s="205"/>
      <c r="Q9" s="205"/>
      <c r="R9" s="205"/>
    </row>
    <row r="11" spans="1:18" x14ac:dyDescent="0.3">
      <c r="A11" s="204" t="s">
        <v>835</v>
      </c>
      <c r="B11" s="204"/>
      <c r="C11" s="204"/>
      <c r="D11" s="204"/>
      <c r="E11" s="204"/>
      <c r="F11" s="204"/>
      <c r="G11" s="204"/>
      <c r="H11" s="204"/>
      <c r="I11" s="204"/>
      <c r="J11" s="204"/>
      <c r="K11" s="204"/>
      <c r="L11" s="204"/>
      <c r="M11" s="204"/>
      <c r="N11" s="204"/>
      <c r="O11" s="204"/>
      <c r="P11" s="204"/>
      <c r="Q11" s="204"/>
      <c r="R11" s="204"/>
    </row>
    <row r="12" spans="1:18" ht="28.8" x14ac:dyDescent="0.3">
      <c r="A12" s="26" t="s">
        <v>678</v>
      </c>
      <c r="B12" s="26" t="s">
        <v>86</v>
      </c>
      <c r="C12" s="26" t="s">
        <v>90</v>
      </c>
      <c r="D12" s="26" t="s">
        <v>679</v>
      </c>
      <c r="E12" s="26" t="s">
        <v>819</v>
      </c>
      <c r="F12" s="26" t="s">
        <v>88</v>
      </c>
      <c r="G12" s="26" t="s">
        <v>87</v>
      </c>
      <c r="H12" s="26" t="s">
        <v>683</v>
      </c>
      <c r="I12" s="26" t="s">
        <v>684</v>
      </c>
      <c r="J12" s="26" t="s">
        <v>685</v>
      </c>
      <c r="K12" s="26" t="s">
        <v>820</v>
      </c>
      <c r="L12" s="26" t="s">
        <v>821</v>
      </c>
      <c r="M12" s="26" t="s">
        <v>822</v>
      </c>
      <c r="N12" s="26" t="s">
        <v>823</v>
      </c>
      <c r="O12" s="26" t="s">
        <v>824</v>
      </c>
      <c r="P12" s="26" t="s">
        <v>825</v>
      </c>
      <c r="Q12" s="26" t="s">
        <v>826</v>
      </c>
      <c r="R12" s="26" t="s">
        <v>827</v>
      </c>
    </row>
    <row r="13" spans="1:18" x14ac:dyDescent="0.3">
      <c r="A13" s="152" t="s">
        <v>767</v>
      </c>
      <c r="B13" s="152" t="s">
        <v>383</v>
      </c>
      <c r="C13" s="152" t="s">
        <v>113</v>
      </c>
      <c r="D13" s="152">
        <v>3</v>
      </c>
      <c r="E13" s="152" t="s">
        <v>768</v>
      </c>
      <c r="F13" s="153">
        <v>528801.19999999995</v>
      </c>
      <c r="G13" s="153">
        <v>4317528.5</v>
      </c>
      <c r="H13" s="154">
        <v>91</v>
      </c>
      <c r="I13" s="152" t="s">
        <v>257</v>
      </c>
      <c r="J13" s="152" t="s">
        <v>257</v>
      </c>
      <c r="K13" s="152"/>
      <c r="L13" s="152"/>
      <c r="M13" s="152"/>
      <c r="N13" s="152"/>
      <c r="O13" s="152"/>
      <c r="P13" s="152" t="s">
        <v>832</v>
      </c>
      <c r="Q13" s="152"/>
      <c r="R13" s="152"/>
    </row>
    <row r="14" spans="1:18" x14ac:dyDescent="0.3">
      <c r="A14" s="49">
        <v>10</v>
      </c>
      <c r="B14" s="49" t="s">
        <v>405</v>
      </c>
      <c r="C14" s="49" t="s">
        <v>107</v>
      </c>
      <c r="D14" s="49">
        <v>2</v>
      </c>
      <c r="E14" s="49" t="s">
        <v>734</v>
      </c>
      <c r="F14" s="51">
        <v>528750.6</v>
      </c>
      <c r="G14" s="51">
        <v>4317485.8</v>
      </c>
      <c r="H14" s="151">
        <v>114</v>
      </c>
      <c r="I14" s="151">
        <v>2</v>
      </c>
      <c r="J14" s="151">
        <v>4</v>
      </c>
      <c r="K14" s="49" t="s">
        <v>828</v>
      </c>
      <c r="L14" s="49" t="s">
        <v>833</v>
      </c>
      <c r="M14" s="49"/>
      <c r="N14" s="49"/>
      <c r="O14" s="49" t="s">
        <v>836</v>
      </c>
      <c r="P14" s="49" t="s">
        <v>108</v>
      </c>
      <c r="Q14" s="49"/>
      <c r="R14" s="49"/>
    </row>
    <row r="15" spans="1:18" ht="26.4" x14ac:dyDescent="0.3">
      <c r="A15" s="155">
        <v>15</v>
      </c>
      <c r="B15" s="155" t="s">
        <v>395</v>
      </c>
      <c r="C15" s="155" t="s">
        <v>107</v>
      </c>
      <c r="D15" s="155">
        <v>2</v>
      </c>
      <c r="E15" s="155" t="s">
        <v>711</v>
      </c>
      <c r="F15" s="156">
        <v>528821.19999999995</v>
      </c>
      <c r="G15" s="156">
        <v>4317475.5</v>
      </c>
      <c r="H15" s="157">
        <v>768</v>
      </c>
      <c r="I15" s="157">
        <v>11</v>
      </c>
      <c r="J15" s="157">
        <v>7</v>
      </c>
      <c r="K15" s="155" t="s">
        <v>828</v>
      </c>
      <c r="L15" s="155" t="s">
        <v>836</v>
      </c>
      <c r="M15" s="155"/>
      <c r="N15" s="155"/>
      <c r="O15" s="155" t="s">
        <v>836</v>
      </c>
      <c r="P15" s="155" t="s">
        <v>832</v>
      </c>
      <c r="Q15" s="155"/>
      <c r="R15" s="155" t="s">
        <v>837</v>
      </c>
    </row>
    <row r="16" spans="1:18" x14ac:dyDescent="0.3">
      <c r="A16" s="49">
        <v>12</v>
      </c>
      <c r="B16" s="49" t="s">
        <v>411</v>
      </c>
      <c r="C16" s="49" t="s">
        <v>107</v>
      </c>
      <c r="D16" s="49">
        <v>2</v>
      </c>
      <c r="E16" s="49" t="s">
        <v>740</v>
      </c>
      <c r="F16" s="51">
        <v>528783.19999999995</v>
      </c>
      <c r="G16" s="51">
        <v>4317450.5</v>
      </c>
      <c r="H16" s="49" t="s">
        <v>257</v>
      </c>
      <c r="I16" s="151">
        <v>28</v>
      </c>
      <c r="J16" s="151">
        <v>94</v>
      </c>
      <c r="K16" s="49" t="s">
        <v>828</v>
      </c>
      <c r="L16" s="49" t="s">
        <v>838</v>
      </c>
      <c r="M16" s="49"/>
      <c r="N16" s="49" t="s">
        <v>839</v>
      </c>
      <c r="O16" s="49" t="s">
        <v>836</v>
      </c>
      <c r="P16" s="49" t="s">
        <v>108</v>
      </c>
      <c r="Q16" s="49"/>
      <c r="R16" s="49" t="s">
        <v>840</v>
      </c>
    </row>
    <row r="17" spans="1:18" x14ac:dyDescent="0.3">
      <c r="A17" s="46">
        <v>4</v>
      </c>
      <c r="B17" s="158" t="s">
        <v>402</v>
      </c>
      <c r="C17" s="159" t="s">
        <v>107</v>
      </c>
      <c r="D17" s="159">
        <v>1</v>
      </c>
      <c r="E17" s="159" t="s">
        <v>711</v>
      </c>
      <c r="F17" s="159">
        <v>528827.30000000005</v>
      </c>
      <c r="G17" s="159">
        <v>4317461.8</v>
      </c>
      <c r="H17" s="159">
        <v>2291</v>
      </c>
      <c r="I17" s="159">
        <v>11</v>
      </c>
      <c r="J17" s="159" t="s">
        <v>257</v>
      </c>
      <c r="K17" s="159" t="s">
        <v>828</v>
      </c>
      <c r="L17" s="159" t="s">
        <v>833</v>
      </c>
      <c r="M17" s="159"/>
      <c r="N17" s="159"/>
      <c r="O17" s="159" t="s">
        <v>836</v>
      </c>
      <c r="P17" s="159" t="s">
        <v>108</v>
      </c>
      <c r="Q17" s="159"/>
      <c r="R17" s="159"/>
    </row>
    <row r="18" spans="1:18" x14ac:dyDescent="0.3">
      <c r="A18" s="205" t="s">
        <v>834</v>
      </c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  <c r="M18" s="205"/>
      <c r="N18" s="205"/>
      <c r="O18" s="205"/>
      <c r="P18" s="205"/>
      <c r="Q18" s="205"/>
      <c r="R18" s="205"/>
    </row>
    <row r="19" spans="1:18" x14ac:dyDescent="0.3">
      <c r="A19" s="206"/>
      <c r="B19" s="206"/>
      <c r="C19" s="206"/>
      <c r="D19" s="206"/>
      <c r="E19" s="206"/>
      <c r="F19" s="206"/>
      <c r="G19" s="206"/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6"/>
    </row>
    <row r="20" spans="1:18" x14ac:dyDescent="0.3">
      <c r="A20" s="149" t="s">
        <v>841</v>
      </c>
    </row>
    <row r="21" spans="1:18" ht="28.8" x14ac:dyDescent="0.3">
      <c r="A21" s="26" t="s">
        <v>678</v>
      </c>
      <c r="B21" s="26" t="s">
        <v>86</v>
      </c>
      <c r="C21" s="26" t="s">
        <v>90</v>
      </c>
      <c r="D21" s="26" t="s">
        <v>679</v>
      </c>
      <c r="E21" s="26" t="s">
        <v>819</v>
      </c>
      <c r="F21" s="26" t="s">
        <v>88</v>
      </c>
      <c r="G21" s="26" t="s">
        <v>87</v>
      </c>
      <c r="H21" s="26" t="s">
        <v>683</v>
      </c>
      <c r="I21" s="26" t="s">
        <v>684</v>
      </c>
      <c r="J21" s="26" t="s">
        <v>685</v>
      </c>
      <c r="K21" s="26" t="s">
        <v>820</v>
      </c>
      <c r="L21" s="26" t="s">
        <v>821</v>
      </c>
      <c r="M21" s="26" t="s">
        <v>822</v>
      </c>
      <c r="N21" s="26" t="s">
        <v>823</v>
      </c>
      <c r="O21" s="26" t="s">
        <v>824</v>
      </c>
      <c r="P21" s="26" t="s">
        <v>825</v>
      </c>
      <c r="Q21" s="26" t="s">
        <v>826</v>
      </c>
      <c r="R21" s="26" t="s">
        <v>827</v>
      </c>
    </row>
    <row r="22" spans="1:18" x14ac:dyDescent="0.3">
      <c r="A22" s="152">
        <v>17</v>
      </c>
      <c r="B22" s="152" t="s">
        <v>390</v>
      </c>
      <c r="C22" s="152" t="s">
        <v>113</v>
      </c>
      <c r="D22" s="152">
        <v>2</v>
      </c>
      <c r="E22" s="152" t="s">
        <v>842</v>
      </c>
      <c r="F22" s="153">
        <v>529098</v>
      </c>
      <c r="G22" s="153">
        <v>4317613</v>
      </c>
      <c r="H22" s="154">
        <v>4</v>
      </c>
      <c r="I22" s="152" t="s">
        <v>257</v>
      </c>
      <c r="J22" s="152" t="s">
        <v>257</v>
      </c>
      <c r="K22" s="152"/>
      <c r="L22" s="152"/>
      <c r="M22" s="152"/>
      <c r="N22" s="152"/>
      <c r="O22" s="152"/>
      <c r="P22" s="152" t="s">
        <v>832</v>
      </c>
      <c r="Q22" s="152"/>
      <c r="R22" s="152"/>
    </row>
    <row r="23" spans="1:18" x14ac:dyDescent="0.3">
      <c r="A23" s="160">
        <v>19</v>
      </c>
      <c r="B23" s="160" t="s">
        <v>388</v>
      </c>
      <c r="C23" s="160" t="s">
        <v>107</v>
      </c>
      <c r="D23" s="160">
        <v>2</v>
      </c>
      <c r="E23" s="160" t="s">
        <v>711</v>
      </c>
      <c r="F23" s="161">
        <v>529096.80000000005</v>
      </c>
      <c r="G23" s="161">
        <v>4317578.8</v>
      </c>
      <c r="H23" s="162">
        <v>275</v>
      </c>
      <c r="I23" s="162">
        <v>17</v>
      </c>
      <c r="J23" s="162">
        <v>4</v>
      </c>
      <c r="K23" s="160"/>
      <c r="L23" s="160"/>
      <c r="M23" s="160"/>
      <c r="N23" s="160"/>
      <c r="O23" s="160"/>
      <c r="P23" s="160" t="s">
        <v>832</v>
      </c>
      <c r="Q23" s="160"/>
      <c r="R23" s="160"/>
    </row>
    <row r="24" spans="1:18" x14ac:dyDescent="0.3">
      <c r="A24" s="152">
        <v>21</v>
      </c>
      <c r="B24" s="152" t="s">
        <v>351</v>
      </c>
      <c r="C24" s="152" t="s">
        <v>113</v>
      </c>
      <c r="D24" s="152">
        <v>3</v>
      </c>
      <c r="E24" s="152" t="s">
        <v>760</v>
      </c>
      <c r="F24" s="153">
        <v>529352.4</v>
      </c>
      <c r="G24" s="153">
        <v>4317567</v>
      </c>
      <c r="H24" s="152" t="s">
        <v>763</v>
      </c>
      <c r="I24" s="152" t="s">
        <v>763</v>
      </c>
      <c r="J24" s="152" t="s">
        <v>257</v>
      </c>
      <c r="K24" s="152"/>
      <c r="L24" s="152"/>
      <c r="M24" s="152"/>
      <c r="N24" s="152"/>
      <c r="O24" s="152"/>
      <c r="P24" s="152" t="s">
        <v>832</v>
      </c>
      <c r="Q24" s="152"/>
      <c r="R24" s="152"/>
    </row>
    <row r="25" spans="1:18" x14ac:dyDescent="0.3">
      <c r="A25" s="49">
        <v>11</v>
      </c>
      <c r="B25" s="163" t="s">
        <v>350</v>
      </c>
      <c r="C25" s="164" t="s">
        <v>113</v>
      </c>
      <c r="D25" s="164">
        <v>2</v>
      </c>
      <c r="E25" s="164" t="s">
        <v>737</v>
      </c>
      <c r="F25" s="164">
        <v>529349.5</v>
      </c>
      <c r="G25" s="164">
        <v>4317500.3</v>
      </c>
      <c r="H25" s="164">
        <v>17</v>
      </c>
      <c r="I25" s="164">
        <v>134</v>
      </c>
      <c r="J25" s="164">
        <v>144</v>
      </c>
      <c r="K25" s="164" t="s">
        <v>828</v>
      </c>
      <c r="L25" s="164" t="s">
        <v>833</v>
      </c>
      <c r="M25" s="164"/>
      <c r="N25" s="164"/>
      <c r="O25" s="164" t="s">
        <v>829</v>
      </c>
      <c r="P25" s="164" t="s">
        <v>108</v>
      </c>
      <c r="Q25" s="164"/>
      <c r="R25" s="164"/>
    </row>
    <row r="26" spans="1:18" x14ac:dyDescent="0.3">
      <c r="A26" s="205" t="s">
        <v>834</v>
      </c>
      <c r="B26" s="205"/>
      <c r="C26" s="205"/>
      <c r="D26" s="205"/>
      <c r="E26" s="205"/>
      <c r="F26" s="205"/>
      <c r="G26" s="205"/>
      <c r="H26" s="205"/>
      <c r="I26" s="205"/>
      <c r="J26" s="205"/>
      <c r="K26" s="205"/>
      <c r="L26" s="205"/>
      <c r="M26" s="205"/>
      <c r="N26" s="205"/>
      <c r="O26" s="205"/>
      <c r="P26" s="205"/>
      <c r="Q26" s="205"/>
      <c r="R26" s="205"/>
    </row>
    <row r="27" spans="1:18" x14ac:dyDescent="0.3">
      <c r="A27" s="206"/>
      <c r="B27" s="206"/>
      <c r="C27" s="206"/>
      <c r="D27" s="206"/>
      <c r="E27" s="206"/>
      <c r="F27" s="206"/>
      <c r="G27" s="206"/>
      <c r="H27" s="206"/>
      <c r="I27" s="206"/>
      <c r="J27" s="206"/>
      <c r="K27" s="206"/>
      <c r="L27" s="206"/>
      <c r="M27" s="206"/>
      <c r="N27" s="206"/>
      <c r="O27" s="206"/>
      <c r="P27" s="206"/>
      <c r="Q27" s="206"/>
      <c r="R27" s="206"/>
    </row>
    <row r="28" spans="1:18" ht="17.399999999999999" x14ac:dyDescent="0.3">
      <c r="A28" s="165" t="s">
        <v>843</v>
      </c>
    </row>
    <row r="29" spans="1:18" ht="28.8" x14ac:dyDescent="0.3">
      <c r="A29" s="26" t="s">
        <v>678</v>
      </c>
      <c r="B29" s="26" t="s">
        <v>86</v>
      </c>
      <c r="C29" s="26" t="s">
        <v>90</v>
      </c>
      <c r="D29" s="26" t="s">
        <v>679</v>
      </c>
      <c r="E29" s="26" t="s">
        <v>819</v>
      </c>
      <c r="F29" s="26" t="s">
        <v>88</v>
      </c>
      <c r="G29" s="26" t="s">
        <v>87</v>
      </c>
      <c r="H29" s="26" t="s">
        <v>683</v>
      </c>
      <c r="I29" s="26" t="s">
        <v>684</v>
      </c>
      <c r="J29" s="26" t="s">
        <v>685</v>
      </c>
      <c r="K29" s="26" t="s">
        <v>820</v>
      </c>
      <c r="L29" s="26" t="s">
        <v>821</v>
      </c>
      <c r="M29" s="26" t="s">
        <v>822</v>
      </c>
      <c r="N29" s="26" t="s">
        <v>823</v>
      </c>
      <c r="O29" s="26" t="s">
        <v>824</v>
      </c>
      <c r="P29" s="26" t="s">
        <v>825</v>
      </c>
      <c r="Q29" s="26" t="s">
        <v>826</v>
      </c>
      <c r="R29" s="26" t="s">
        <v>827</v>
      </c>
    </row>
    <row r="30" spans="1:18" x14ac:dyDescent="0.3">
      <c r="A30" s="46">
        <v>9</v>
      </c>
      <c r="B30" s="158" t="s">
        <v>416</v>
      </c>
      <c r="C30" s="159" t="s">
        <v>107</v>
      </c>
      <c r="D30" s="159">
        <v>1</v>
      </c>
      <c r="E30" s="159" t="s">
        <v>731</v>
      </c>
      <c r="F30" s="159">
        <v>528847.69999999995</v>
      </c>
      <c r="G30" s="159">
        <v>4317734.2</v>
      </c>
      <c r="H30" s="159">
        <v>13</v>
      </c>
      <c r="I30" s="159">
        <v>85</v>
      </c>
      <c r="J30" s="159">
        <v>85</v>
      </c>
      <c r="K30" s="159" t="s">
        <v>828</v>
      </c>
      <c r="L30" s="159" t="s">
        <v>833</v>
      </c>
      <c r="M30" s="159"/>
      <c r="N30" s="159"/>
      <c r="O30" s="159" t="s">
        <v>836</v>
      </c>
      <c r="P30" s="159" t="s">
        <v>108</v>
      </c>
      <c r="Q30" s="159"/>
      <c r="R30" s="159"/>
    </row>
    <row r="31" spans="1:18" x14ac:dyDescent="0.3">
      <c r="A31" s="205" t="s">
        <v>834</v>
      </c>
      <c r="B31" s="205"/>
      <c r="C31" s="205"/>
      <c r="D31" s="205"/>
      <c r="E31" s="205"/>
      <c r="F31" s="205"/>
      <c r="G31" s="205"/>
      <c r="H31" s="205"/>
      <c r="I31" s="205"/>
      <c r="J31" s="205"/>
      <c r="K31" s="205"/>
      <c r="L31" s="205"/>
      <c r="M31" s="205"/>
      <c r="N31" s="205"/>
      <c r="O31" s="205"/>
      <c r="P31" s="205"/>
      <c r="Q31" s="205"/>
      <c r="R31" s="205"/>
    </row>
    <row r="32" spans="1:18" x14ac:dyDescent="0.3">
      <c r="A32" s="206"/>
      <c r="B32" s="206"/>
      <c r="C32" s="206"/>
      <c r="D32" s="206"/>
      <c r="E32" s="206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</row>
    <row r="33" spans="1:18" x14ac:dyDescent="0.3">
      <c r="A33" s="149" t="s">
        <v>844</v>
      </c>
    </row>
    <row r="34" spans="1:18" ht="28.8" x14ac:dyDescent="0.3">
      <c r="A34" s="26" t="s">
        <v>678</v>
      </c>
      <c r="B34" s="26" t="s">
        <v>86</v>
      </c>
      <c r="C34" s="26" t="s">
        <v>90</v>
      </c>
      <c r="D34" s="26" t="s">
        <v>679</v>
      </c>
      <c r="E34" s="26" t="s">
        <v>819</v>
      </c>
      <c r="F34" s="26" t="s">
        <v>88</v>
      </c>
      <c r="G34" s="26" t="s">
        <v>87</v>
      </c>
      <c r="H34" s="26" t="s">
        <v>683</v>
      </c>
      <c r="I34" s="26" t="s">
        <v>684</v>
      </c>
      <c r="J34" s="26" t="s">
        <v>685</v>
      </c>
      <c r="K34" s="26" t="s">
        <v>820</v>
      </c>
      <c r="L34" s="26" t="s">
        <v>821</v>
      </c>
      <c r="M34" s="26" t="s">
        <v>822</v>
      </c>
      <c r="N34" s="26" t="s">
        <v>823</v>
      </c>
      <c r="O34" s="26" t="s">
        <v>824</v>
      </c>
      <c r="P34" s="26" t="s">
        <v>825</v>
      </c>
      <c r="Q34" s="26" t="s">
        <v>826</v>
      </c>
      <c r="R34" s="26" t="s">
        <v>827</v>
      </c>
    </row>
    <row r="35" spans="1:18" x14ac:dyDescent="0.3">
      <c r="A35" s="152" t="s">
        <v>764</v>
      </c>
      <c r="B35" s="152" t="s">
        <v>290</v>
      </c>
      <c r="C35" s="152" t="s">
        <v>113</v>
      </c>
      <c r="D35" s="152">
        <v>3</v>
      </c>
      <c r="E35" s="152" t="s">
        <v>714</v>
      </c>
      <c r="F35" s="153">
        <v>529379.4</v>
      </c>
      <c r="G35" s="153">
        <v>4317201</v>
      </c>
      <c r="H35" s="154">
        <v>5</v>
      </c>
      <c r="I35" s="154">
        <v>63</v>
      </c>
      <c r="J35" s="154">
        <v>4</v>
      </c>
      <c r="K35" s="152"/>
      <c r="L35" s="152"/>
      <c r="M35" s="152"/>
      <c r="N35" s="152"/>
      <c r="O35" s="152"/>
      <c r="P35" s="152" t="s">
        <v>832</v>
      </c>
      <c r="Q35" s="152"/>
      <c r="R35" s="152" t="s">
        <v>845</v>
      </c>
    </row>
    <row r="36" spans="1:18" x14ac:dyDescent="0.3">
      <c r="A36" s="49">
        <v>14</v>
      </c>
      <c r="B36" s="163" t="s">
        <v>291</v>
      </c>
      <c r="C36" s="164" t="s">
        <v>113</v>
      </c>
      <c r="D36" s="164">
        <v>2</v>
      </c>
      <c r="E36" s="164" t="s">
        <v>746</v>
      </c>
      <c r="F36" s="164">
        <v>529279.30000000005</v>
      </c>
      <c r="G36" s="164">
        <v>4317105.5</v>
      </c>
      <c r="H36" s="164">
        <v>529</v>
      </c>
      <c r="I36" s="164">
        <v>11</v>
      </c>
      <c r="J36" s="164">
        <v>8</v>
      </c>
      <c r="K36" s="164" t="s">
        <v>828</v>
      </c>
      <c r="L36" s="164" t="s">
        <v>833</v>
      </c>
      <c r="M36" s="164"/>
      <c r="N36" s="164"/>
      <c r="O36" s="164" t="s">
        <v>830</v>
      </c>
      <c r="P36" s="164" t="s">
        <v>832</v>
      </c>
      <c r="Q36" s="164"/>
      <c r="R36" s="164"/>
    </row>
    <row r="37" spans="1:18" x14ac:dyDescent="0.3">
      <c r="A37" s="205" t="s">
        <v>834</v>
      </c>
      <c r="B37" s="205"/>
      <c r="C37" s="205"/>
      <c r="D37" s="205"/>
      <c r="E37" s="205"/>
      <c r="F37" s="205"/>
      <c r="G37" s="205"/>
      <c r="H37" s="205"/>
      <c r="I37" s="205"/>
      <c r="J37" s="205"/>
      <c r="K37" s="205"/>
      <c r="L37" s="205"/>
      <c r="M37" s="205"/>
      <c r="N37" s="205"/>
      <c r="O37" s="205"/>
      <c r="P37" s="205"/>
      <c r="Q37" s="205"/>
      <c r="R37" s="205"/>
    </row>
    <row r="38" spans="1:18" x14ac:dyDescent="0.3">
      <c r="A38" s="206"/>
      <c r="B38" s="206"/>
      <c r="C38" s="206"/>
      <c r="D38" s="206"/>
      <c r="E38" s="206"/>
      <c r="F38" s="206"/>
      <c r="G38" s="206"/>
      <c r="H38" s="206"/>
      <c r="I38" s="206"/>
      <c r="J38" s="206"/>
      <c r="K38" s="206"/>
      <c r="L38" s="206"/>
      <c r="M38" s="206"/>
      <c r="N38" s="206"/>
      <c r="O38" s="206"/>
      <c r="P38" s="206"/>
      <c r="Q38" s="206"/>
      <c r="R38" s="206"/>
    </row>
    <row r="39" spans="1:18" x14ac:dyDescent="0.3">
      <c r="A39" s="149" t="s">
        <v>846</v>
      </c>
    </row>
    <row r="40" spans="1:18" ht="28.8" x14ac:dyDescent="0.3">
      <c r="A40" s="26" t="s">
        <v>678</v>
      </c>
      <c r="B40" s="26" t="s">
        <v>86</v>
      </c>
      <c r="C40" s="26" t="s">
        <v>90</v>
      </c>
      <c r="D40" s="26" t="s">
        <v>679</v>
      </c>
      <c r="E40" s="26" t="s">
        <v>819</v>
      </c>
      <c r="F40" s="26" t="s">
        <v>88</v>
      </c>
      <c r="G40" s="26" t="s">
        <v>87</v>
      </c>
      <c r="H40" s="26" t="s">
        <v>683</v>
      </c>
      <c r="I40" s="26" t="s">
        <v>684</v>
      </c>
      <c r="J40" s="26" t="s">
        <v>685</v>
      </c>
      <c r="K40" s="26" t="s">
        <v>820</v>
      </c>
      <c r="L40" s="26" t="s">
        <v>821</v>
      </c>
      <c r="M40" s="26" t="s">
        <v>822</v>
      </c>
      <c r="N40" s="26" t="s">
        <v>823</v>
      </c>
      <c r="O40" s="26" t="s">
        <v>824</v>
      </c>
      <c r="P40" s="26" t="s">
        <v>825</v>
      </c>
      <c r="Q40" s="26" t="s">
        <v>826</v>
      </c>
      <c r="R40" s="26" t="s">
        <v>827</v>
      </c>
    </row>
    <row r="41" spans="1:18" x14ac:dyDescent="0.3">
      <c r="A41" s="152">
        <v>20</v>
      </c>
      <c r="B41" s="152" t="s">
        <v>335</v>
      </c>
      <c r="C41" s="152" t="s">
        <v>113</v>
      </c>
      <c r="D41" s="152">
        <v>3</v>
      </c>
      <c r="E41" s="152" t="s">
        <v>728</v>
      </c>
      <c r="F41" s="153">
        <v>528472.125</v>
      </c>
      <c r="G41" s="153">
        <v>4317421</v>
      </c>
      <c r="H41" s="152" t="s">
        <v>257</v>
      </c>
      <c r="I41" s="154">
        <v>285</v>
      </c>
      <c r="J41" s="154">
        <v>39</v>
      </c>
      <c r="K41" s="152" t="s">
        <v>828</v>
      </c>
      <c r="L41" s="152" t="s">
        <v>833</v>
      </c>
      <c r="M41" s="152"/>
      <c r="N41" s="152" t="s">
        <v>847</v>
      </c>
      <c r="O41" s="152"/>
      <c r="P41" s="152" t="s">
        <v>108</v>
      </c>
      <c r="Q41" s="152"/>
      <c r="R41" s="152" t="s">
        <v>848</v>
      </c>
    </row>
    <row r="42" spans="1:18" x14ac:dyDescent="0.3">
      <c r="A42" s="49">
        <v>3</v>
      </c>
      <c r="B42" s="49" t="s">
        <v>326</v>
      </c>
      <c r="C42" s="49" t="s">
        <v>113</v>
      </c>
      <c r="D42" s="49">
        <v>1</v>
      </c>
      <c r="E42" s="49" t="s">
        <v>703</v>
      </c>
      <c r="F42" s="51">
        <v>528512.375</v>
      </c>
      <c r="G42" s="51">
        <v>4317307.5</v>
      </c>
      <c r="H42" s="151">
        <v>166</v>
      </c>
      <c r="I42" s="151">
        <v>207</v>
      </c>
      <c r="J42" s="151">
        <v>396</v>
      </c>
      <c r="K42" s="49" t="s">
        <v>828</v>
      </c>
      <c r="L42" s="49" t="s">
        <v>833</v>
      </c>
      <c r="M42" s="49"/>
      <c r="N42" s="49" t="s">
        <v>849</v>
      </c>
      <c r="O42" s="49" t="s">
        <v>829</v>
      </c>
      <c r="P42" s="49" t="s">
        <v>108</v>
      </c>
      <c r="Q42" s="49"/>
      <c r="R42" s="49" t="s">
        <v>850</v>
      </c>
    </row>
    <row r="43" spans="1:18" x14ac:dyDescent="0.3">
      <c r="A43" s="152">
        <v>16</v>
      </c>
      <c r="B43" s="152" t="s">
        <v>314</v>
      </c>
      <c r="C43" s="152" t="s">
        <v>113</v>
      </c>
      <c r="D43" s="152">
        <v>2</v>
      </c>
      <c r="E43" s="152" t="s">
        <v>737</v>
      </c>
      <c r="F43" s="153">
        <v>528519.12</v>
      </c>
      <c r="G43" s="153">
        <v>4317165.5</v>
      </c>
      <c r="H43" s="154">
        <v>6</v>
      </c>
      <c r="I43" s="154">
        <v>23</v>
      </c>
      <c r="J43" s="154">
        <v>111</v>
      </c>
      <c r="K43" s="152" t="s">
        <v>828</v>
      </c>
      <c r="L43" s="152" t="s">
        <v>833</v>
      </c>
      <c r="M43" s="152"/>
      <c r="N43" s="152" t="s">
        <v>847</v>
      </c>
      <c r="O43" s="152"/>
      <c r="P43" s="152" t="s">
        <v>832</v>
      </c>
      <c r="Q43" s="152"/>
      <c r="R43" s="152" t="s">
        <v>848</v>
      </c>
    </row>
    <row r="44" spans="1:18" x14ac:dyDescent="0.3">
      <c r="A44" s="49">
        <v>6</v>
      </c>
      <c r="B44" s="163" t="s">
        <v>304</v>
      </c>
      <c r="C44" s="164" t="s">
        <v>107</v>
      </c>
      <c r="D44" s="164">
        <v>1</v>
      </c>
      <c r="E44" s="164" t="s">
        <v>717</v>
      </c>
      <c r="F44" s="164">
        <v>528727.93999999994</v>
      </c>
      <c r="G44" s="164">
        <v>4317208.5</v>
      </c>
      <c r="H44" s="164">
        <v>335</v>
      </c>
      <c r="I44" s="164">
        <v>50</v>
      </c>
      <c r="J44" s="164">
        <v>285</v>
      </c>
      <c r="K44" s="164" t="s">
        <v>828</v>
      </c>
      <c r="L44" s="164" t="s">
        <v>833</v>
      </c>
      <c r="M44" s="164"/>
      <c r="N44" s="164" t="s">
        <v>851</v>
      </c>
      <c r="O44" s="164" t="s">
        <v>829</v>
      </c>
      <c r="P44" s="164" t="s">
        <v>108</v>
      </c>
      <c r="Q44" s="164"/>
      <c r="R44" s="164" t="s">
        <v>848</v>
      </c>
    </row>
    <row r="45" spans="1:18" x14ac:dyDescent="0.3">
      <c r="A45" s="205" t="s">
        <v>834</v>
      </c>
      <c r="B45" s="205"/>
      <c r="C45" s="205"/>
      <c r="D45" s="205"/>
      <c r="E45" s="205"/>
      <c r="F45" s="205"/>
      <c r="G45" s="205"/>
      <c r="H45" s="205"/>
      <c r="I45" s="205"/>
      <c r="J45" s="205"/>
      <c r="K45" s="205"/>
      <c r="L45" s="205"/>
      <c r="M45" s="205"/>
      <c r="N45" s="205"/>
      <c r="O45" s="205"/>
      <c r="P45" s="205"/>
      <c r="Q45" s="205"/>
      <c r="R45" s="205"/>
    </row>
    <row r="46" spans="1:18" x14ac:dyDescent="0.3">
      <c r="A46" s="206"/>
      <c r="B46" s="206"/>
      <c r="C46" s="206"/>
      <c r="D46" s="206"/>
      <c r="E46" s="206"/>
      <c r="F46" s="206"/>
      <c r="G46" s="206"/>
      <c r="H46" s="206"/>
      <c r="I46" s="206"/>
      <c r="J46" s="206"/>
      <c r="K46" s="206"/>
      <c r="L46" s="206"/>
      <c r="M46" s="206"/>
      <c r="N46" s="206"/>
      <c r="O46" s="206"/>
      <c r="P46" s="206"/>
      <c r="Q46" s="206"/>
      <c r="R46" s="206"/>
    </row>
    <row r="47" spans="1:18" x14ac:dyDescent="0.3">
      <c r="A47" s="149" t="s">
        <v>852</v>
      </c>
    </row>
    <row r="48" spans="1:18" ht="28.8" x14ac:dyDescent="0.3">
      <c r="A48" s="26" t="s">
        <v>678</v>
      </c>
      <c r="B48" s="26" t="s">
        <v>86</v>
      </c>
      <c r="C48" s="26" t="s">
        <v>90</v>
      </c>
      <c r="D48" s="26" t="s">
        <v>679</v>
      </c>
      <c r="E48" s="26" t="s">
        <v>819</v>
      </c>
      <c r="F48" s="26" t="s">
        <v>88</v>
      </c>
      <c r="G48" s="26" t="s">
        <v>87</v>
      </c>
      <c r="H48" s="26" t="s">
        <v>683</v>
      </c>
      <c r="I48" s="26" t="s">
        <v>684</v>
      </c>
      <c r="J48" s="26" t="s">
        <v>685</v>
      </c>
      <c r="K48" s="26" t="s">
        <v>820</v>
      </c>
      <c r="L48" s="26" t="s">
        <v>821</v>
      </c>
      <c r="M48" s="26" t="s">
        <v>822</v>
      </c>
      <c r="N48" s="26" t="s">
        <v>823</v>
      </c>
      <c r="O48" s="26" t="s">
        <v>824</v>
      </c>
      <c r="P48" s="26" t="s">
        <v>825</v>
      </c>
      <c r="Q48" s="26" t="s">
        <v>826</v>
      </c>
      <c r="R48" s="26" t="s">
        <v>827</v>
      </c>
    </row>
    <row r="49" spans="1:18" x14ac:dyDescent="0.3">
      <c r="A49" s="46">
        <v>1</v>
      </c>
      <c r="B49" s="46" t="s">
        <v>298</v>
      </c>
      <c r="C49" s="46" t="s">
        <v>113</v>
      </c>
      <c r="D49" s="46">
        <v>1</v>
      </c>
      <c r="E49" s="46" t="s">
        <v>698</v>
      </c>
      <c r="F49" s="52">
        <v>528626.6</v>
      </c>
      <c r="G49" s="52">
        <v>4317040</v>
      </c>
      <c r="H49" s="150">
        <v>23796</v>
      </c>
      <c r="I49" s="150">
        <v>15</v>
      </c>
      <c r="J49" s="46" t="s">
        <v>257</v>
      </c>
      <c r="K49" s="46" t="s">
        <v>828</v>
      </c>
      <c r="L49" s="46" t="s">
        <v>833</v>
      </c>
      <c r="M49" s="46"/>
      <c r="N49" s="46"/>
      <c r="O49" s="46" t="s">
        <v>829</v>
      </c>
      <c r="P49" s="46" t="s">
        <v>108</v>
      </c>
      <c r="Q49" s="46"/>
      <c r="R49" s="46"/>
    </row>
    <row r="50" spans="1:18" x14ac:dyDescent="0.3">
      <c r="A50" s="160">
        <v>18</v>
      </c>
      <c r="B50" s="160" t="s">
        <v>293</v>
      </c>
      <c r="C50" s="160" t="s">
        <v>107</v>
      </c>
      <c r="D50" s="160">
        <v>2</v>
      </c>
      <c r="E50" s="160" t="s">
        <v>711</v>
      </c>
      <c r="F50" s="161">
        <v>528721.6</v>
      </c>
      <c r="G50" s="161">
        <v>4317042</v>
      </c>
      <c r="H50" s="162">
        <v>224</v>
      </c>
      <c r="I50" s="162">
        <v>128</v>
      </c>
      <c r="J50" s="162">
        <v>47</v>
      </c>
      <c r="K50" s="160"/>
      <c r="L50" s="160"/>
      <c r="M50" s="160"/>
      <c r="N50" s="160"/>
      <c r="O50" s="160"/>
      <c r="P50" s="160" t="s">
        <v>832</v>
      </c>
      <c r="Q50" s="160"/>
      <c r="R50" s="160"/>
    </row>
    <row r="51" spans="1:18" x14ac:dyDescent="0.3">
      <c r="A51" s="46">
        <v>5</v>
      </c>
      <c r="B51" s="46" t="s">
        <v>268</v>
      </c>
      <c r="C51" s="46" t="s">
        <v>107</v>
      </c>
      <c r="D51" s="46">
        <v>1</v>
      </c>
      <c r="E51" s="46" t="s">
        <v>714</v>
      </c>
      <c r="F51" s="52">
        <v>528719.4</v>
      </c>
      <c r="G51" s="52">
        <v>4316997.5</v>
      </c>
      <c r="H51" s="150">
        <v>43</v>
      </c>
      <c r="I51" s="150">
        <v>629</v>
      </c>
      <c r="J51" s="150">
        <v>52</v>
      </c>
      <c r="K51" s="46" t="s">
        <v>828</v>
      </c>
      <c r="L51" s="46" t="s">
        <v>833</v>
      </c>
      <c r="M51" s="46"/>
      <c r="N51" s="46"/>
      <c r="O51" s="46" t="s">
        <v>829</v>
      </c>
      <c r="P51" s="46" t="s">
        <v>108</v>
      </c>
      <c r="Q51" s="46"/>
      <c r="R51" s="46"/>
    </row>
    <row r="52" spans="1:18" x14ac:dyDescent="0.3">
      <c r="A52" s="166">
        <v>7</v>
      </c>
      <c r="B52" s="167" t="s">
        <v>280</v>
      </c>
      <c r="C52" s="166" t="s">
        <v>113</v>
      </c>
      <c r="D52" s="166">
        <v>1</v>
      </c>
      <c r="E52" s="166" t="s">
        <v>723</v>
      </c>
      <c r="F52" s="166">
        <v>528692.4375</v>
      </c>
      <c r="G52" s="166">
        <v>4316848.5</v>
      </c>
      <c r="H52" s="166">
        <v>252</v>
      </c>
      <c r="I52" s="166">
        <v>4</v>
      </c>
      <c r="J52" s="166">
        <v>466</v>
      </c>
      <c r="K52" s="168"/>
      <c r="L52" s="168"/>
      <c r="M52" s="168"/>
      <c r="N52" s="168"/>
      <c r="O52" s="166" t="s">
        <v>853</v>
      </c>
      <c r="P52" s="166" t="s">
        <v>108</v>
      </c>
      <c r="Q52" s="168"/>
      <c r="R52" s="168" t="s">
        <v>854</v>
      </c>
    </row>
    <row r="53" spans="1:18" x14ac:dyDescent="0.3">
      <c r="A53" s="205" t="s">
        <v>834</v>
      </c>
      <c r="B53" s="205"/>
      <c r="C53" s="205"/>
      <c r="D53" s="205"/>
      <c r="E53" s="205"/>
      <c r="F53" s="205"/>
      <c r="G53" s="205"/>
      <c r="H53" s="205"/>
      <c r="I53" s="205"/>
      <c r="J53" s="205"/>
      <c r="K53" s="205"/>
      <c r="L53" s="205"/>
      <c r="M53" s="205"/>
      <c r="N53" s="205"/>
      <c r="O53" s="205"/>
      <c r="P53" s="205"/>
      <c r="Q53" s="205"/>
      <c r="R53" s="205"/>
    </row>
  </sheetData>
  <mergeCells count="16">
    <mergeCell ref="A53:R53"/>
    <mergeCell ref="A32:R32"/>
    <mergeCell ref="A37:R37"/>
    <mergeCell ref="A38:R38"/>
    <mergeCell ref="A45:R45"/>
    <mergeCell ref="A46:R46"/>
    <mergeCell ref="A18:R18"/>
    <mergeCell ref="A19:R19"/>
    <mergeCell ref="A26:R26"/>
    <mergeCell ref="A27:R27"/>
    <mergeCell ref="A31:R31"/>
    <mergeCell ref="A1:R1"/>
    <mergeCell ref="A2:R2"/>
    <mergeCell ref="A4:R4"/>
    <mergeCell ref="A9:R9"/>
    <mergeCell ref="A11:R11"/>
  </mergeCells>
  <printOptions horizontalCentered="1"/>
  <pageMargins left="0.4" right="0.4" top="0.5" bottom="0.5" header="0.3" footer="0.3"/>
  <pageSetup fitToHeight="0" orientation="landscape" horizontalDpi="300" verticalDpi="300"/>
  <headerFooter>
    <oddHeader>&amp;C&amp;"Arial,Bold"&amp;12 SBMM Crushing Field Checklist</oddHeader>
    <oddFooter>&amp;L&amp;D&amp;RPage &amp;P of &amp;N</oddFooter>
  </headerFooter>
  <rowBreaks count="6" manualBreakCount="6">
    <brk id="10" max="16383" man="1"/>
    <brk id="18" max="16383" man="1"/>
    <brk id="26" max="16383" man="1"/>
    <brk id="31" max="16383" man="1"/>
    <brk id="37" max="16383" man="1"/>
    <brk id="45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55A11"/>
  </sheetPr>
  <dimension ref="A1:N34"/>
  <sheetViews>
    <sheetView zoomScaleNormal="100" workbookViewId="0">
      <pane ySplit="4" topLeftCell="A5" activePane="bottomLeft" state="frozen"/>
      <selection pane="bottomLeft" activeCell="C17" sqref="C17"/>
    </sheetView>
  </sheetViews>
  <sheetFormatPr defaultColWidth="8.6640625" defaultRowHeight="14.4" x14ac:dyDescent="0.3"/>
  <cols>
    <col min="1" max="1" width="17" bestFit="1" customWidth="1"/>
    <col min="2" max="2" width="19.88671875" style="216" bestFit="1" customWidth="1"/>
    <col min="3" max="3" width="22.77734375" style="216" bestFit="1" customWidth="1"/>
    <col min="4" max="4" width="10.109375" bestFit="1" customWidth="1"/>
    <col min="5" max="5" width="10.77734375" bestFit="1" customWidth="1"/>
    <col min="6" max="6" width="11.21875" bestFit="1" customWidth="1"/>
    <col min="7" max="7" width="10.5546875" bestFit="1" customWidth="1"/>
    <col min="8" max="8" width="12.88671875" bestFit="1" customWidth="1"/>
    <col min="9" max="9" width="10.77734375" bestFit="1" customWidth="1"/>
    <col min="10" max="10" width="12.21875" bestFit="1" customWidth="1"/>
    <col min="11" max="13" width="10.6640625" bestFit="1" customWidth="1"/>
    <col min="14" max="14" width="28.44140625" bestFit="1" customWidth="1"/>
  </cols>
  <sheetData>
    <row r="1" spans="1:14" ht="15" x14ac:dyDescent="0.3">
      <c r="A1" s="207" t="s">
        <v>855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</row>
    <row r="2" spans="1:14" x14ac:dyDescent="0.3">
      <c r="A2" s="208" t="s">
        <v>856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  <c r="L2" s="208"/>
      <c r="M2" s="208"/>
      <c r="N2" s="208"/>
    </row>
    <row r="3" spans="1:14" x14ac:dyDescent="0.3">
      <c r="A3" s="12" t="s">
        <v>857</v>
      </c>
      <c r="B3" s="12"/>
      <c r="C3" s="12"/>
      <c r="D3" s="12" t="s">
        <v>858</v>
      </c>
      <c r="E3" s="12"/>
      <c r="F3" s="12"/>
      <c r="G3" s="12"/>
      <c r="H3" s="12"/>
      <c r="I3" s="12"/>
      <c r="J3" s="12"/>
      <c r="K3" s="12" t="s">
        <v>859</v>
      </c>
      <c r="L3" s="12"/>
      <c r="M3" s="12"/>
      <c r="N3" s="17" t="s">
        <v>47</v>
      </c>
    </row>
    <row r="4" spans="1:14" ht="28.8" x14ac:dyDescent="0.3">
      <c r="A4" s="17" t="s">
        <v>82</v>
      </c>
      <c r="B4" s="17" t="s">
        <v>86</v>
      </c>
      <c r="C4" s="17" t="s">
        <v>860</v>
      </c>
      <c r="D4" s="17" t="s">
        <v>241</v>
      </c>
      <c r="E4" s="17" t="s">
        <v>861</v>
      </c>
      <c r="F4" s="17" t="s">
        <v>862</v>
      </c>
      <c r="G4" s="17" t="s">
        <v>863</v>
      </c>
      <c r="H4" s="17" t="s">
        <v>864</v>
      </c>
      <c r="I4" s="17" t="s">
        <v>865</v>
      </c>
      <c r="J4" s="17" t="s">
        <v>866</v>
      </c>
      <c r="K4" s="17" t="s">
        <v>244</v>
      </c>
      <c r="L4" s="17" t="s">
        <v>245</v>
      </c>
      <c r="M4" s="17" t="s">
        <v>812</v>
      </c>
      <c r="N4" s="17" t="s">
        <v>47</v>
      </c>
    </row>
    <row r="5" spans="1:14" x14ac:dyDescent="0.3">
      <c r="A5" s="209">
        <v>46148</v>
      </c>
      <c r="B5" s="210" t="s">
        <v>867</v>
      </c>
      <c r="C5" s="210" t="s">
        <v>868</v>
      </c>
      <c r="D5" s="159">
        <v>568</v>
      </c>
      <c r="E5" s="159">
        <v>1</v>
      </c>
      <c r="F5" s="170">
        <v>0.53804398148148203</v>
      </c>
      <c r="G5" s="170" t="s">
        <v>869</v>
      </c>
      <c r="H5" s="159">
        <v>120.24</v>
      </c>
      <c r="I5" s="159">
        <v>2.91</v>
      </c>
      <c r="J5" s="159" t="s">
        <v>258</v>
      </c>
      <c r="K5" s="159">
        <v>4.49</v>
      </c>
      <c r="L5" s="159">
        <v>15.65</v>
      </c>
      <c r="M5" s="159">
        <v>67.150000000000006</v>
      </c>
      <c r="N5" s="159" t="s">
        <v>870</v>
      </c>
    </row>
    <row r="6" spans="1:14" x14ac:dyDescent="0.3">
      <c r="A6" s="209"/>
      <c r="B6" s="209"/>
      <c r="C6" s="209"/>
      <c r="D6" s="159">
        <v>569</v>
      </c>
      <c r="E6" s="159">
        <v>2</v>
      </c>
      <c r="F6" s="170">
        <v>0.53980324074074104</v>
      </c>
      <c r="G6" s="170" t="s">
        <v>869</v>
      </c>
      <c r="H6" s="159">
        <v>126.36</v>
      </c>
      <c r="I6" s="159">
        <v>2.93</v>
      </c>
      <c r="J6" s="159" t="s">
        <v>258</v>
      </c>
      <c r="K6" s="159" t="s">
        <v>257</v>
      </c>
      <c r="L6" s="159">
        <v>15.95</v>
      </c>
      <c r="M6" s="159">
        <v>28.05</v>
      </c>
      <c r="N6" s="159" t="s">
        <v>871</v>
      </c>
    </row>
    <row r="7" spans="1:14" x14ac:dyDescent="0.3">
      <c r="A7" s="218">
        <v>46150</v>
      </c>
      <c r="B7" s="164" t="s">
        <v>872</v>
      </c>
      <c r="C7" s="164" t="s">
        <v>873</v>
      </c>
      <c r="D7" s="164">
        <v>756</v>
      </c>
      <c r="E7" s="164">
        <v>1</v>
      </c>
      <c r="F7" s="171">
        <v>0.62815972222222205</v>
      </c>
      <c r="G7" s="171" t="s">
        <v>869</v>
      </c>
      <c r="H7" s="164">
        <v>120.86</v>
      </c>
      <c r="I7" s="164">
        <v>4.2</v>
      </c>
      <c r="J7" s="164" t="s">
        <v>360</v>
      </c>
      <c r="K7" s="164" t="s">
        <v>257</v>
      </c>
      <c r="L7" s="164">
        <v>3.93</v>
      </c>
      <c r="M7" s="164" t="s">
        <v>257</v>
      </c>
      <c r="N7" s="164" t="s">
        <v>870</v>
      </c>
    </row>
    <row r="8" spans="1:14" x14ac:dyDescent="0.3">
      <c r="A8" s="219"/>
      <c r="B8" s="164"/>
      <c r="C8" s="164"/>
      <c r="D8" s="164">
        <v>757</v>
      </c>
      <c r="E8" s="164">
        <v>2</v>
      </c>
      <c r="F8" s="171">
        <v>0.63032407407407398</v>
      </c>
      <c r="G8" s="171" t="s">
        <v>869</v>
      </c>
      <c r="H8" s="164">
        <v>126.01</v>
      </c>
      <c r="I8" s="164">
        <v>4.0999999999999996</v>
      </c>
      <c r="J8" s="164" t="s">
        <v>360</v>
      </c>
      <c r="K8" s="164" t="s">
        <v>257</v>
      </c>
      <c r="L8" s="164">
        <v>3.38</v>
      </c>
      <c r="M8" s="164" t="s">
        <v>257</v>
      </c>
      <c r="N8" s="164" t="s">
        <v>871</v>
      </c>
    </row>
    <row r="9" spans="1:14" x14ac:dyDescent="0.3">
      <c r="A9" s="209">
        <v>46150</v>
      </c>
      <c r="B9" s="220" t="s">
        <v>874</v>
      </c>
      <c r="C9" s="220" t="s">
        <v>875</v>
      </c>
      <c r="D9" s="159">
        <v>758</v>
      </c>
      <c r="E9" s="159">
        <v>1</v>
      </c>
      <c r="F9" s="170">
        <v>0.63237268518518497</v>
      </c>
      <c r="G9" s="170" t="s">
        <v>869</v>
      </c>
      <c r="H9" s="159">
        <v>126.09</v>
      </c>
      <c r="I9" s="159">
        <v>2.82</v>
      </c>
      <c r="J9" s="159" t="s">
        <v>360</v>
      </c>
      <c r="K9" s="159">
        <v>15.87</v>
      </c>
      <c r="L9" s="159">
        <v>112.43</v>
      </c>
      <c r="M9" s="159">
        <v>24.12</v>
      </c>
      <c r="N9" s="159" t="s">
        <v>870</v>
      </c>
    </row>
    <row r="10" spans="1:14" x14ac:dyDescent="0.3">
      <c r="A10" s="209"/>
      <c r="B10" s="220"/>
      <c r="C10" s="220"/>
      <c r="D10" s="159">
        <v>759</v>
      </c>
      <c r="E10" s="159">
        <v>2</v>
      </c>
      <c r="F10" s="170">
        <v>0.63407407407407401</v>
      </c>
      <c r="G10" s="170" t="s">
        <v>869</v>
      </c>
      <c r="H10" s="159">
        <v>120.62</v>
      </c>
      <c r="I10" s="159">
        <v>2.77</v>
      </c>
      <c r="J10" s="159" t="s">
        <v>360</v>
      </c>
      <c r="K10" s="159">
        <v>15.31</v>
      </c>
      <c r="L10" s="159">
        <v>110.24</v>
      </c>
      <c r="M10" s="159">
        <v>28.84</v>
      </c>
      <c r="N10" s="159" t="s">
        <v>871</v>
      </c>
    </row>
    <row r="11" spans="1:14" x14ac:dyDescent="0.3">
      <c r="A11" s="218">
        <v>46150</v>
      </c>
      <c r="B11" s="164" t="s">
        <v>876</v>
      </c>
      <c r="C11" s="164" t="s">
        <v>877</v>
      </c>
      <c r="D11" s="164">
        <v>760</v>
      </c>
      <c r="E11" s="164">
        <v>1</v>
      </c>
      <c r="F11" s="171">
        <v>0.63622685185185202</v>
      </c>
      <c r="G11" s="171" t="s">
        <v>869</v>
      </c>
      <c r="H11" s="164">
        <v>125.87</v>
      </c>
      <c r="I11" s="164">
        <v>3.71</v>
      </c>
      <c r="J11" s="164" t="s">
        <v>360</v>
      </c>
      <c r="K11" s="164">
        <v>5.82</v>
      </c>
      <c r="L11" s="164">
        <v>23.57</v>
      </c>
      <c r="M11" s="164">
        <v>5.43</v>
      </c>
      <c r="N11" s="164" t="s">
        <v>870</v>
      </c>
    </row>
    <row r="12" spans="1:14" x14ac:dyDescent="0.3">
      <c r="A12" s="219"/>
      <c r="B12" s="164"/>
      <c r="C12" s="164"/>
      <c r="D12" s="164">
        <v>761</v>
      </c>
      <c r="E12" s="164">
        <v>2</v>
      </c>
      <c r="F12" s="171">
        <v>0.63790509259259298</v>
      </c>
      <c r="G12" s="171" t="s">
        <v>869</v>
      </c>
      <c r="H12" s="164">
        <v>126.14</v>
      </c>
      <c r="I12" s="164">
        <v>3.76</v>
      </c>
      <c r="J12" s="164" t="s">
        <v>360</v>
      </c>
      <c r="K12" s="164">
        <v>6.15</v>
      </c>
      <c r="L12" s="164">
        <v>23.77</v>
      </c>
      <c r="M12" s="164" t="s">
        <v>257</v>
      </c>
      <c r="N12" s="164" t="s">
        <v>871</v>
      </c>
    </row>
    <row r="13" spans="1:14" x14ac:dyDescent="0.3">
      <c r="A13" s="209">
        <v>46150</v>
      </c>
      <c r="B13" s="220" t="s">
        <v>878</v>
      </c>
      <c r="C13" s="220" t="s">
        <v>879</v>
      </c>
      <c r="D13" s="159">
        <v>762</v>
      </c>
      <c r="E13" s="159">
        <v>1</v>
      </c>
      <c r="F13" s="170">
        <v>0.64043981481481504</v>
      </c>
      <c r="G13" s="170" t="s">
        <v>869</v>
      </c>
      <c r="H13" s="159">
        <v>120.9</v>
      </c>
      <c r="I13" s="159">
        <v>4.83</v>
      </c>
      <c r="J13" s="159" t="s">
        <v>360</v>
      </c>
      <c r="K13" s="159">
        <v>266.08</v>
      </c>
      <c r="L13" s="159">
        <v>17.440000000000001</v>
      </c>
      <c r="M13" s="159" t="s">
        <v>257</v>
      </c>
      <c r="N13" s="159" t="s">
        <v>870</v>
      </c>
    </row>
    <row r="14" spans="1:14" x14ac:dyDescent="0.3">
      <c r="A14" s="209"/>
      <c r="B14" s="220"/>
      <c r="C14" s="220"/>
      <c r="D14" s="159">
        <v>763</v>
      </c>
      <c r="E14" s="159">
        <v>2</v>
      </c>
      <c r="F14" s="170">
        <v>0.64211805555555601</v>
      </c>
      <c r="G14" s="170" t="s">
        <v>869</v>
      </c>
      <c r="H14" s="159">
        <v>126.46</v>
      </c>
      <c r="I14" s="159">
        <v>4.84</v>
      </c>
      <c r="J14" s="159" t="s">
        <v>360</v>
      </c>
      <c r="K14" s="159">
        <v>269.39999999999998</v>
      </c>
      <c r="L14" s="159">
        <v>15.06</v>
      </c>
      <c r="M14" s="159" t="s">
        <v>257</v>
      </c>
      <c r="N14" s="159" t="s">
        <v>871</v>
      </c>
    </row>
    <row r="15" spans="1:14" x14ac:dyDescent="0.3">
      <c r="A15" s="218">
        <v>46150</v>
      </c>
      <c r="B15" s="164" t="s">
        <v>880</v>
      </c>
      <c r="C15" s="164" t="s">
        <v>881</v>
      </c>
      <c r="D15" s="164">
        <v>764</v>
      </c>
      <c r="E15" s="164">
        <v>1</v>
      </c>
      <c r="F15" s="171">
        <v>0.64444444444444504</v>
      </c>
      <c r="G15" s="171" t="s">
        <v>869</v>
      </c>
      <c r="H15" s="164">
        <v>125.92</v>
      </c>
      <c r="I15" s="164">
        <v>3.39</v>
      </c>
      <c r="J15" s="164" t="s">
        <v>360</v>
      </c>
      <c r="K15" s="164">
        <v>5.08</v>
      </c>
      <c r="L15" s="164">
        <v>21.9</v>
      </c>
      <c r="M15" s="164">
        <v>16.309999999999999</v>
      </c>
      <c r="N15" s="164" t="s">
        <v>870</v>
      </c>
    </row>
    <row r="16" spans="1:14" x14ac:dyDescent="0.3">
      <c r="A16" s="219"/>
      <c r="B16" s="164"/>
      <c r="C16" s="164"/>
      <c r="D16" s="164">
        <v>765</v>
      </c>
      <c r="E16" s="164">
        <v>2</v>
      </c>
      <c r="F16" s="171">
        <v>0.64619212962963002</v>
      </c>
      <c r="G16" s="171" t="s">
        <v>869</v>
      </c>
      <c r="H16" s="164">
        <v>126.18</v>
      </c>
      <c r="I16" s="164">
        <v>3.31</v>
      </c>
      <c r="J16" s="164" t="s">
        <v>360</v>
      </c>
      <c r="K16" s="164">
        <v>3.42</v>
      </c>
      <c r="L16" s="164">
        <v>21.37</v>
      </c>
      <c r="M16" s="164">
        <v>12.12</v>
      </c>
      <c r="N16" s="164" t="s">
        <v>871</v>
      </c>
    </row>
    <row r="17" spans="1:14" x14ac:dyDescent="0.3">
      <c r="A17" s="209">
        <v>46150</v>
      </c>
      <c r="B17" s="220" t="s">
        <v>867</v>
      </c>
      <c r="C17" s="220" t="s">
        <v>868</v>
      </c>
      <c r="D17" s="159">
        <v>766</v>
      </c>
      <c r="E17" s="159">
        <v>1</v>
      </c>
      <c r="F17" s="170">
        <v>0.648668981481481</v>
      </c>
      <c r="G17" s="170" t="s">
        <v>869</v>
      </c>
      <c r="H17" s="159">
        <v>126.09</v>
      </c>
      <c r="I17" s="159">
        <v>3.87</v>
      </c>
      <c r="J17" s="159" t="s">
        <v>360</v>
      </c>
      <c r="K17" s="159">
        <v>4.76</v>
      </c>
      <c r="L17" s="159">
        <v>9.94</v>
      </c>
      <c r="M17" s="159">
        <v>5.78</v>
      </c>
      <c r="N17" s="159" t="s">
        <v>870</v>
      </c>
    </row>
    <row r="18" spans="1:14" x14ac:dyDescent="0.3">
      <c r="A18" s="209"/>
      <c r="B18" s="220"/>
      <c r="C18" s="220"/>
      <c r="D18" s="159">
        <v>767</v>
      </c>
      <c r="E18" s="159">
        <v>2</v>
      </c>
      <c r="F18" s="170">
        <v>0.65041666666666698</v>
      </c>
      <c r="G18" s="170" t="s">
        <v>869</v>
      </c>
      <c r="H18" s="159">
        <v>125.96</v>
      </c>
      <c r="I18" s="159">
        <v>3.76</v>
      </c>
      <c r="J18" s="159" t="s">
        <v>360</v>
      </c>
      <c r="K18" s="159">
        <v>5.4</v>
      </c>
      <c r="L18" s="159">
        <v>10.45</v>
      </c>
      <c r="M18" s="159" t="s">
        <v>257</v>
      </c>
      <c r="N18" s="159" t="s">
        <v>871</v>
      </c>
    </row>
    <row r="19" spans="1:14" x14ac:dyDescent="0.3">
      <c r="A19" s="218">
        <v>46150</v>
      </c>
      <c r="B19" s="164" t="s">
        <v>882</v>
      </c>
      <c r="C19" s="164" t="s">
        <v>883</v>
      </c>
      <c r="D19" s="164">
        <v>768</v>
      </c>
      <c r="E19" s="164">
        <v>1</v>
      </c>
      <c r="F19" s="171">
        <v>0.65273148148148197</v>
      </c>
      <c r="G19" s="171" t="s">
        <v>869</v>
      </c>
      <c r="H19" s="164">
        <v>126.18</v>
      </c>
      <c r="I19" s="164">
        <v>2</v>
      </c>
      <c r="J19" s="164" t="s">
        <v>360</v>
      </c>
      <c r="K19" s="164">
        <v>36.700000000000003</v>
      </c>
      <c r="L19" s="164" t="s">
        <v>257</v>
      </c>
      <c r="M19" s="164" t="s">
        <v>257</v>
      </c>
      <c r="N19" s="164" t="s">
        <v>870</v>
      </c>
    </row>
    <row r="20" spans="1:14" x14ac:dyDescent="0.3">
      <c r="A20" s="219"/>
      <c r="B20" s="164"/>
      <c r="C20" s="164"/>
      <c r="D20" s="164">
        <v>769</v>
      </c>
      <c r="E20" s="164">
        <v>2</v>
      </c>
      <c r="F20" s="171">
        <v>0.65451388888888895</v>
      </c>
      <c r="G20" s="171" t="s">
        <v>869</v>
      </c>
      <c r="H20" s="164">
        <v>126.1</v>
      </c>
      <c r="I20" s="164">
        <v>1.99</v>
      </c>
      <c r="J20" s="164" t="s">
        <v>360</v>
      </c>
      <c r="K20" s="164">
        <v>35.75</v>
      </c>
      <c r="L20" s="164" t="s">
        <v>257</v>
      </c>
      <c r="M20" s="164" t="s">
        <v>257</v>
      </c>
      <c r="N20" s="164" t="s">
        <v>871</v>
      </c>
    </row>
    <row r="21" spans="1:14" x14ac:dyDescent="0.3">
      <c r="A21" s="209">
        <v>46150</v>
      </c>
      <c r="B21" s="220" t="s">
        <v>884</v>
      </c>
      <c r="C21" s="220" t="s">
        <v>885</v>
      </c>
      <c r="D21" s="159">
        <v>770</v>
      </c>
      <c r="E21" s="159">
        <v>1</v>
      </c>
      <c r="F21" s="170">
        <v>0.65701388888888901</v>
      </c>
      <c r="G21" s="170" t="s">
        <v>869</v>
      </c>
      <c r="H21" s="159">
        <v>126.23</v>
      </c>
      <c r="I21" s="159">
        <v>2.62</v>
      </c>
      <c r="J21" s="159" t="s">
        <v>360</v>
      </c>
      <c r="K21" s="159">
        <v>9.99</v>
      </c>
      <c r="L21" s="159" t="s">
        <v>257</v>
      </c>
      <c r="M21" s="159" t="s">
        <v>257</v>
      </c>
      <c r="N21" s="159" t="s">
        <v>870</v>
      </c>
    </row>
    <row r="22" spans="1:14" x14ac:dyDescent="0.3">
      <c r="A22" s="209"/>
      <c r="B22" s="220"/>
      <c r="C22" s="220"/>
      <c r="D22" s="159">
        <v>771</v>
      </c>
      <c r="E22" s="159">
        <v>2</v>
      </c>
      <c r="F22" s="170">
        <v>0.65868055555555605</v>
      </c>
      <c r="G22" s="170" t="s">
        <v>869</v>
      </c>
      <c r="H22" s="159">
        <v>120.59</v>
      </c>
      <c r="I22" s="159">
        <v>2.64</v>
      </c>
      <c r="J22" s="159" t="s">
        <v>360</v>
      </c>
      <c r="K22" s="159">
        <v>12.38</v>
      </c>
      <c r="L22" s="159" t="s">
        <v>257</v>
      </c>
      <c r="M22" s="159" t="s">
        <v>257</v>
      </c>
      <c r="N22" s="159" t="s">
        <v>871</v>
      </c>
    </row>
    <row r="23" spans="1:14" x14ac:dyDescent="0.3">
      <c r="A23" s="218">
        <v>46150</v>
      </c>
      <c r="B23" s="164" t="s">
        <v>886</v>
      </c>
      <c r="C23" s="164" t="s">
        <v>887</v>
      </c>
      <c r="D23" s="164">
        <v>772</v>
      </c>
      <c r="E23" s="164">
        <v>1</v>
      </c>
      <c r="F23" s="171">
        <v>0.66141203703703699</v>
      </c>
      <c r="G23" s="171" t="s">
        <v>869</v>
      </c>
      <c r="H23" s="164">
        <v>120</v>
      </c>
      <c r="I23" s="164">
        <v>3.57</v>
      </c>
      <c r="J23" s="164" t="s">
        <v>360</v>
      </c>
      <c r="K23" s="164">
        <v>5.05</v>
      </c>
      <c r="L23" s="164" t="s">
        <v>257</v>
      </c>
      <c r="M23" s="164" t="s">
        <v>257</v>
      </c>
      <c r="N23" s="164" t="s">
        <v>870</v>
      </c>
    </row>
    <row r="24" spans="1:14" x14ac:dyDescent="0.3">
      <c r="A24" s="219"/>
      <c r="B24" s="164"/>
      <c r="C24" s="164"/>
      <c r="D24" s="164">
        <v>773</v>
      </c>
      <c r="E24" s="164">
        <v>2</v>
      </c>
      <c r="F24" s="171">
        <v>0.663101851851852</v>
      </c>
      <c r="G24" s="171" t="s">
        <v>869</v>
      </c>
      <c r="H24" s="164">
        <v>126.21</v>
      </c>
      <c r="I24" s="164">
        <v>3.55</v>
      </c>
      <c r="J24" s="164" t="s">
        <v>360</v>
      </c>
      <c r="K24" s="164">
        <v>5.75</v>
      </c>
      <c r="L24" s="164" t="s">
        <v>257</v>
      </c>
      <c r="M24" s="164" t="s">
        <v>257</v>
      </c>
      <c r="N24" s="164" t="s">
        <v>871</v>
      </c>
    </row>
    <row r="25" spans="1:14" x14ac:dyDescent="0.3">
      <c r="A25" s="209">
        <v>46150</v>
      </c>
      <c r="B25" s="220" t="s">
        <v>888</v>
      </c>
      <c r="C25" s="220" t="s">
        <v>889</v>
      </c>
      <c r="D25" s="159">
        <v>774</v>
      </c>
      <c r="E25" s="159">
        <v>1</v>
      </c>
      <c r="F25" s="170">
        <v>0.665486111111111</v>
      </c>
      <c r="G25" s="170" t="s">
        <v>869</v>
      </c>
      <c r="H25" s="159">
        <v>120.83</v>
      </c>
      <c r="I25" s="159">
        <v>4.33</v>
      </c>
      <c r="J25" s="159" t="s">
        <v>360</v>
      </c>
      <c r="K25" s="159">
        <v>14.56</v>
      </c>
      <c r="L25" s="159" t="s">
        <v>257</v>
      </c>
      <c r="M25" s="159" t="s">
        <v>257</v>
      </c>
      <c r="N25" s="159" t="s">
        <v>870</v>
      </c>
    </row>
    <row r="26" spans="1:14" x14ac:dyDescent="0.3">
      <c r="A26" s="209"/>
      <c r="B26" s="220"/>
      <c r="C26" s="220"/>
      <c r="D26" s="159">
        <v>775</v>
      </c>
      <c r="E26" s="159">
        <v>2</v>
      </c>
      <c r="F26" s="170">
        <v>0.667141203703704</v>
      </c>
      <c r="G26" s="170" t="s">
        <v>869</v>
      </c>
      <c r="H26" s="159">
        <v>120.45</v>
      </c>
      <c r="I26" s="159">
        <v>4.3099999999999996</v>
      </c>
      <c r="J26" s="159" t="s">
        <v>360</v>
      </c>
      <c r="K26" s="159">
        <v>18.73</v>
      </c>
      <c r="L26" s="159" t="s">
        <v>257</v>
      </c>
      <c r="M26" s="159" t="s">
        <v>257</v>
      </c>
      <c r="N26" s="159" t="s">
        <v>871</v>
      </c>
    </row>
    <row r="27" spans="1:14" x14ac:dyDescent="0.3">
      <c r="A27" s="218">
        <v>46150</v>
      </c>
      <c r="B27" s="164" t="s">
        <v>890</v>
      </c>
      <c r="C27" s="164" t="s">
        <v>891</v>
      </c>
      <c r="D27" s="164">
        <v>776</v>
      </c>
      <c r="E27" s="164">
        <v>1</v>
      </c>
      <c r="F27" s="171">
        <v>0.66957175925925905</v>
      </c>
      <c r="G27" s="171" t="s">
        <v>869</v>
      </c>
      <c r="H27" s="164">
        <v>120.2</v>
      </c>
      <c r="I27" s="164">
        <v>3.48</v>
      </c>
      <c r="J27" s="164" t="s">
        <v>360</v>
      </c>
      <c r="K27" s="164">
        <v>3.14</v>
      </c>
      <c r="L27" s="164" t="s">
        <v>257</v>
      </c>
      <c r="M27" s="164" t="s">
        <v>257</v>
      </c>
      <c r="N27" s="164" t="s">
        <v>870</v>
      </c>
    </row>
    <row r="28" spans="1:14" x14ac:dyDescent="0.3">
      <c r="A28" s="219"/>
      <c r="B28" s="164"/>
      <c r="C28" s="164"/>
      <c r="D28" s="164">
        <v>777</v>
      </c>
      <c r="E28" s="164">
        <v>2</v>
      </c>
      <c r="F28" s="171">
        <v>0.67153935185185198</v>
      </c>
      <c r="G28" s="171" t="s">
        <v>869</v>
      </c>
      <c r="H28" s="164">
        <v>125.99</v>
      </c>
      <c r="I28" s="164">
        <v>3.42</v>
      </c>
      <c r="J28" s="164" t="s">
        <v>360</v>
      </c>
      <c r="K28" s="164" t="s">
        <v>257</v>
      </c>
      <c r="L28" s="164" t="s">
        <v>257</v>
      </c>
      <c r="M28" s="164" t="s">
        <v>257</v>
      </c>
      <c r="N28" s="164" t="s">
        <v>871</v>
      </c>
    </row>
    <row r="29" spans="1:14" x14ac:dyDescent="0.3">
      <c r="A29" s="209">
        <v>46150</v>
      </c>
      <c r="B29" s="220" t="s">
        <v>892</v>
      </c>
      <c r="C29" s="220" t="s">
        <v>893</v>
      </c>
      <c r="D29" s="159">
        <v>778</v>
      </c>
      <c r="E29" s="159">
        <v>1</v>
      </c>
      <c r="F29" s="170">
        <v>0.67403935185185204</v>
      </c>
      <c r="G29" s="170" t="s">
        <v>869</v>
      </c>
      <c r="H29" s="159">
        <v>126.09</v>
      </c>
      <c r="I29" s="159">
        <v>2.04</v>
      </c>
      <c r="J29" s="159" t="s">
        <v>360</v>
      </c>
      <c r="K29" s="159">
        <v>71.599999999999994</v>
      </c>
      <c r="L29" s="159">
        <v>2.3199999999999998</v>
      </c>
      <c r="M29" s="159" t="s">
        <v>257</v>
      </c>
      <c r="N29" s="159" t="s">
        <v>870</v>
      </c>
    </row>
    <row r="30" spans="1:14" x14ac:dyDescent="0.3">
      <c r="A30" s="209"/>
      <c r="B30" s="220"/>
      <c r="C30" s="220"/>
      <c r="D30" s="159">
        <v>779</v>
      </c>
      <c r="E30" s="159">
        <v>2</v>
      </c>
      <c r="F30" s="170">
        <v>0.67567129629629596</v>
      </c>
      <c r="G30" s="170" t="s">
        <v>869</v>
      </c>
      <c r="H30" s="159">
        <v>126.36</v>
      </c>
      <c r="I30" s="159">
        <v>2.02</v>
      </c>
      <c r="J30" s="159" t="s">
        <v>360</v>
      </c>
      <c r="K30" s="159">
        <v>73.47</v>
      </c>
      <c r="L30" s="159">
        <v>2.35</v>
      </c>
      <c r="M30" s="159" t="s">
        <v>257</v>
      </c>
      <c r="N30" s="159" t="s">
        <v>871</v>
      </c>
    </row>
    <row r="31" spans="1:14" x14ac:dyDescent="0.3">
      <c r="A31" s="218">
        <v>46150</v>
      </c>
      <c r="B31" s="164" t="s">
        <v>894</v>
      </c>
      <c r="C31" s="164" t="s">
        <v>895</v>
      </c>
      <c r="D31" s="164">
        <v>780</v>
      </c>
      <c r="E31" s="164">
        <v>1</v>
      </c>
      <c r="F31" s="171">
        <v>0.67789351851851898</v>
      </c>
      <c r="G31" s="171" t="s">
        <v>869</v>
      </c>
      <c r="H31" s="164">
        <v>126.23</v>
      </c>
      <c r="I31" s="164">
        <v>0.31</v>
      </c>
      <c r="J31" s="164" t="s">
        <v>360</v>
      </c>
      <c r="K31" s="164">
        <v>29.92</v>
      </c>
      <c r="L31" s="164" t="s">
        <v>257</v>
      </c>
      <c r="M31" s="164" t="s">
        <v>257</v>
      </c>
      <c r="N31" s="164" t="s">
        <v>870</v>
      </c>
    </row>
    <row r="32" spans="1:14" x14ac:dyDescent="0.3">
      <c r="A32" s="219"/>
      <c r="B32" s="164"/>
      <c r="C32" s="164"/>
      <c r="D32" s="164">
        <v>781</v>
      </c>
      <c r="E32" s="164">
        <v>2</v>
      </c>
      <c r="F32" s="171">
        <v>0.68030092592592595</v>
      </c>
      <c r="G32" s="171" t="s">
        <v>869</v>
      </c>
      <c r="H32" s="164">
        <v>120.51</v>
      </c>
      <c r="I32" s="164">
        <v>0.26</v>
      </c>
      <c r="J32" s="164" t="s">
        <v>360</v>
      </c>
      <c r="K32" s="164">
        <v>28.75</v>
      </c>
      <c r="L32" s="164" t="s">
        <v>257</v>
      </c>
      <c r="M32" s="164" t="s">
        <v>257</v>
      </c>
      <c r="N32" s="164" t="s">
        <v>871</v>
      </c>
    </row>
    <row r="33" spans="1:14" x14ac:dyDescent="0.3">
      <c r="A33" s="169">
        <v>46150</v>
      </c>
      <c r="B33" s="220" t="s">
        <v>896</v>
      </c>
      <c r="C33" s="220" t="s">
        <v>897</v>
      </c>
      <c r="D33" s="159">
        <v>782</v>
      </c>
      <c r="E33" s="159">
        <v>1</v>
      </c>
      <c r="F33" s="170">
        <v>0.682534722222222</v>
      </c>
      <c r="G33" s="170" t="s">
        <v>869</v>
      </c>
      <c r="H33" s="159">
        <v>120.15</v>
      </c>
      <c r="I33" s="159">
        <v>2.27</v>
      </c>
      <c r="J33" s="159" t="s">
        <v>360</v>
      </c>
      <c r="K33" s="159" t="s">
        <v>257</v>
      </c>
      <c r="L33" s="159">
        <v>3.4</v>
      </c>
      <c r="M33" s="159" t="s">
        <v>257</v>
      </c>
      <c r="N33" s="159" t="s">
        <v>870</v>
      </c>
    </row>
    <row r="34" spans="1:14" x14ac:dyDescent="0.3">
      <c r="A34" s="172"/>
      <c r="B34" s="220"/>
      <c r="C34" s="220"/>
      <c r="D34" s="159">
        <v>783</v>
      </c>
      <c r="E34" s="159">
        <v>2</v>
      </c>
      <c r="F34" s="170">
        <v>0.68415509259259299</v>
      </c>
      <c r="G34" s="170" t="s">
        <v>869</v>
      </c>
      <c r="H34" s="159">
        <v>120.66</v>
      </c>
      <c r="I34" s="159">
        <v>2.27</v>
      </c>
      <c r="J34" s="159" t="s">
        <v>360</v>
      </c>
      <c r="K34" s="159">
        <v>3.04</v>
      </c>
      <c r="L34" s="159">
        <v>2.2200000000000002</v>
      </c>
      <c r="M34" s="159" t="s">
        <v>257</v>
      </c>
      <c r="N34" s="159" t="s">
        <v>871</v>
      </c>
    </row>
  </sheetData>
  <autoFilter ref="A4:N34" xr:uid="{00000000-0009-0000-0000-00000A000000}"/>
  <mergeCells count="21">
    <mergeCell ref="A31:A32"/>
    <mergeCell ref="A21:A22"/>
    <mergeCell ref="A23:A24"/>
    <mergeCell ref="A25:A26"/>
    <mergeCell ref="A27:A28"/>
    <mergeCell ref="A29:A30"/>
    <mergeCell ref="A11:A12"/>
    <mergeCell ref="A13:A14"/>
    <mergeCell ref="A15:A16"/>
    <mergeCell ref="A17:A18"/>
    <mergeCell ref="A19:A20"/>
    <mergeCell ref="A5:A6"/>
    <mergeCell ref="B5:B6"/>
    <mergeCell ref="C5:C6"/>
    <mergeCell ref="A7:A8"/>
    <mergeCell ref="A9:A10"/>
    <mergeCell ref="A1:N1"/>
    <mergeCell ref="A2:N2"/>
    <mergeCell ref="A3:C3"/>
    <mergeCell ref="D3:J3"/>
    <mergeCell ref="K3:M3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C55A11"/>
    <pageSetUpPr fitToPage="1"/>
  </sheetPr>
  <dimension ref="A1:K26"/>
  <sheetViews>
    <sheetView zoomScaleNormal="100" workbookViewId="0">
      <pane ySplit="4" topLeftCell="A5" activePane="bottomLeft" state="frozen"/>
      <selection pane="bottomLeft" activeCell="D27" sqref="D27"/>
    </sheetView>
  </sheetViews>
  <sheetFormatPr defaultColWidth="8.6640625" defaultRowHeight="14.4" x14ac:dyDescent="0.3"/>
  <cols>
    <col min="1" max="1" width="19.44140625" bestFit="1" customWidth="1"/>
    <col min="2" max="2" width="22.77734375" bestFit="1" customWidth="1"/>
    <col min="3" max="3" width="10.44140625" bestFit="1" customWidth="1"/>
    <col min="4" max="4" width="8.77734375" bestFit="1" customWidth="1"/>
    <col min="5" max="5" width="10.109375" bestFit="1" customWidth="1"/>
    <col min="6" max="6" width="9" bestFit="1" customWidth="1"/>
    <col min="7" max="7" width="28.44140625" bestFit="1" customWidth="1"/>
    <col min="8" max="10" width="9.109375" bestFit="1" customWidth="1"/>
    <col min="11" max="11" width="50.77734375" bestFit="1" customWidth="1"/>
  </cols>
  <sheetData>
    <row r="1" spans="1:11" ht="15" x14ac:dyDescent="0.3">
      <c r="A1" s="207" t="s">
        <v>898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</row>
    <row r="2" spans="1:11" x14ac:dyDescent="0.3">
      <c r="A2" s="208" t="s">
        <v>899</v>
      </c>
      <c r="B2" s="208"/>
      <c r="C2" s="208"/>
      <c r="D2" s="208"/>
      <c r="E2" s="208"/>
      <c r="F2" s="208"/>
      <c r="G2" s="208"/>
      <c r="H2" s="208"/>
      <c r="I2" s="208"/>
      <c r="J2" s="208"/>
      <c r="K2" s="208"/>
    </row>
    <row r="3" spans="1:11" x14ac:dyDescent="0.3">
      <c r="A3" s="12" t="s">
        <v>900</v>
      </c>
      <c r="B3" s="12"/>
      <c r="C3" s="12"/>
      <c r="D3" s="12"/>
      <c r="E3" s="12"/>
      <c r="F3" s="17" t="s">
        <v>901</v>
      </c>
      <c r="G3" s="12" t="s">
        <v>902</v>
      </c>
      <c r="H3" s="12"/>
      <c r="I3" s="12"/>
      <c r="J3" s="12"/>
      <c r="K3" s="12"/>
    </row>
    <row r="4" spans="1:11" ht="28.8" x14ac:dyDescent="0.3">
      <c r="A4" s="17" t="s">
        <v>678</v>
      </c>
      <c r="B4" s="17" t="s">
        <v>86</v>
      </c>
      <c r="C4" s="17" t="s">
        <v>90</v>
      </c>
      <c r="D4" s="17" t="s">
        <v>679</v>
      </c>
      <c r="E4" s="17" t="s">
        <v>819</v>
      </c>
      <c r="F4" s="17" t="s">
        <v>903</v>
      </c>
      <c r="G4" s="17" t="s">
        <v>904</v>
      </c>
      <c r="H4" s="17" t="s">
        <v>905</v>
      </c>
      <c r="I4" s="17" t="s">
        <v>906</v>
      </c>
      <c r="J4" s="17" t="s">
        <v>907</v>
      </c>
      <c r="K4" s="17" t="s">
        <v>827</v>
      </c>
    </row>
    <row r="5" spans="1:11" x14ac:dyDescent="0.3">
      <c r="A5" s="159">
        <v>1</v>
      </c>
      <c r="B5" s="159" t="s">
        <v>908</v>
      </c>
      <c r="C5" s="159" t="s">
        <v>113</v>
      </c>
      <c r="D5" s="159">
        <v>1</v>
      </c>
      <c r="E5" s="159" t="s">
        <v>698</v>
      </c>
      <c r="F5" s="159" t="s">
        <v>108</v>
      </c>
      <c r="G5" s="159" t="s">
        <v>829</v>
      </c>
      <c r="H5" s="159"/>
      <c r="I5" s="159" t="s">
        <v>829</v>
      </c>
      <c r="J5" s="159" t="s">
        <v>829</v>
      </c>
      <c r="K5" s="159" t="s">
        <v>909</v>
      </c>
    </row>
    <row r="6" spans="1:11" x14ac:dyDescent="0.3">
      <c r="A6" s="164">
        <v>2</v>
      </c>
      <c r="B6" s="164" t="s">
        <v>910</v>
      </c>
      <c r="C6" s="164" t="s">
        <v>113</v>
      </c>
      <c r="D6" s="164">
        <v>1</v>
      </c>
      <c r="E6" s="164" t="s">
        <v>703</v>
      </c>
      <c r="F6" s="164" t="s">
        <v>108</v>
      </c>
      <c r="G6" s="164" t="s">
        <v>829</v>
      </c>
      <c r="H6" s="164" t="s">
        <v>829</v>
      </c>
      <c r="I6" s="164"/>
      <c r="J6" s="164"/>
      <c r="K6" s="164" t="s">
        <v>909</v>
      </c>
    </row>
    <row r="7" spans="1:11" x14ac:dyDescent="0.3">
      <c r="A7" s="159">
        <v>3</v>
      </c>
      <c r="B7" s="159" t="s">
        <v>868</v>
      </c>
      <c r="C7" s="159" t="s">
        <v>113</v>
      </c>
      <c r="D7" s="159">
        <v>1</v>
      </c>
      <c r="E7" s="159" t="s">
        <v>703</v>
      </c>
      <c r="F7" s="159" t="s">
        <v>108</v>
      </c>
      <c r="G7" s="159" t="s">
        <v>829</v>
      </c>
      <c r="H7" s="159" t="s">
        <v>829</v>
      </c>
      <c r="I7" s="159"/>
      <c r="J7" s="159"/>
      <c r="K7" s="159" t="s">
        <v>909</v>
      </c>
    </row>
    <row r="8" spans="1:11" x14ac:dyDescent="0.3">
      <c r="A8" s="164">
        <v>4</v>
      </c>
      <c r="B8" s="164" t="s">
        <v>883</v>
      </c>
      <c r="C8" s="164" t="s">
        <v>107</v>
      </c>
      <c r="D8" s="164">
        <v>1</v>
      </c>
      <c r="E8" s="164" t="s">
        <v>711</v>
      </c>
      <c r="F8" s="164" t="s">
        <v>108</v>
      </c>
      <c r="G8" s="164" t="s">
        <v>836</v>
      </c>
      <c r="H8" s="164" t="s">
        <v>836</v>
      </c>
      <c r="I8" s="164"/>
      <c r="J8" s="164"/>
      <c r="K8" s="164" t="s">
        <v>911</v>
      </c>
    </row>
    <row r="9" spans="1:11" x14ac:dyDescent="0.3">
      <c r="A9" s="159">
        <v>5</v>
      </c>
      <c r="B9" s="159" t="s">
        <v>873</v>
      </c>
      <c r="C9" s="159" t="s">
        <v>107</v>
      </c>
      <c r="D9" s="159">
        <v>1</v>
      </c>
      <c r="E9" s="159" t="s">
        <v>714</v>
      </c>
      <c r="F9" s="159" t="s">
        <v>108</v>
      </c>
      <c r="G9" s="159" t="s">
        <v>829</v>
      </c>
      <c r="H9" s="159" t="s">
        <v>829</v>
      </c>
      <c r="I9" s="159"/>
      <c r="J9" s="159"/>
      <c r="K9" s="159" t="s">
        <v>909</v>
      </c>
    </row>
    <row r="10" spans="1:11" x14ac:dyDescent="0.3">
      <c r="A10" s="164">
        <v>6</v>
      </c>
      <c r="B10" s="164" t="s">
        <v>881</v>
      </c>
      <c r="C10" s="164" t="s">
        <v>107</v>
      </c>
      <c r="D10" s="164">
        <v>1</v>
      </c>
      <c r="E10" s="164" t="s">
        <v>717</v>
      </c>
      <c r="F10" s="164" t="s">
        <v>108</v>
      </c>
      <c r="G10" s="164" t="s">
        <v>829</v>
      </c>
      <c r="H10" s="164"/>
      <c r="I10" s="164" t="s">
        <v>829</v>
      </c>
      <c r="J10" s="164" t="s">
        <v>829</v>
      </c>
      <c r="K10" s="164" t="s">
        <v>909</v>
      </c>
    </row>
    <row r="11" spans="1:11" x14ac:dyDescent="0.3">
      <c r="A11" s="121">
        <v>7</v>
      </c>
      <c r="B11" s="121" t="s">
        <v>912</v>
      </c>
      <c r="C11" s="121" t="s">
        <v>113</v>
      </c>
      <c r="D11" s="121">
        <v>1</v>
      </c>
      <c r="E11" s="121" t="s">
        <v>723</v>
      </c>
      <c r="F11" s="121" t="s">
        <v>913</v>
      </c>
      <c r="G11" s="121"/>
      <c r="H11" s="121"/>
      <c r="I11" s="121"/>
      <c r="J11" s="121"/>
      <c r="K11" s="121" t="s">
        <v>914</v>
      </c>
    </row>
    <row r="12" spans="1:11" x14ac:dyDescent="0.3">
      <c r="A12" s="164">
        <v>8</v>
      </c>
      <c r="B12" s="164" t="s">
        <v>895</v>
      </c>
      <c r="C12" s="164" t="s">
        <v>107</v>
      </c>
      <c r="D12" s="164">
        <v>1</v>
      </c>
      <c r="E12" s="164" t="s">
        <v>728</v>
      </c>
      <c r="F12" s="164" t="s">
        <v>108</v>
      </c>
      <c r="G12" s="164" t="s">
        <v>830</v>
      </c>
      <c r="H12" s="164" t="s">
        <v>830</v>
      </c>
      <c r="I12" s="164"/>
      <c r="J12" s="164"/>
      <c r="K12" s="164" t="s">
        <v>915</v>
      </c>
    </row>
    <row r="13" spans="1:11" x14ac:dyDescent="0.3">
      <c r="A13" s="159">
        <v>9</v>
      </c>
      <c r="B13" s="159" t="s">
        <v>887</v>
      </c>
      <c r="C13" s="159" t="s">
        <v>107</v>
      </c>
      <c r="D13" s="159">
        <v>1</v>
      </c>
      <c r="E13" s="159" t="s">
        <v>731</v>
      </c>
      <c r="F13" s="159" t="s">
        <v>108</v>
      </c>
      <c r="G13" s="159" t="s">
        <v>836</v>
      </c>
      <c r="H13" s="159" t="s">
        <v>836</v>
      </c>
      <c r="I13" s="159" t="s">
        <v>836</v>
      </c>
      <c r="J13" s="159" t="s">
        <v>836</v>
      </c>
      <c r="K13" s="159" t="s">
        <v>911</v>
      </c>
    </row>
    <row r="14" spans="1:11" x14ac:dyDescent="0.3">
      <c r="A14" s="164">
        <v>10</v>
      </c>
      <c r="B14" s="164" t="s">
        <v>889</v>
      </c>
      <c r="C14" s="164" t="s">
        <v>107</v>
      </c>
      <c r="D14" s="164">
        <v>2</v>
      </c>
      <c r="E14" s="164" t="s">
        <v>734</v>
      </c>
      <c r="F14" s="164" t="s">
        <v>108</v>
      </c>
      <c r="G14" s="164" t="s">
        <v>836</v>
      </c>
      <c r="H14" s="164" t="s">
        <v>836</v>
      </c>
      <c r="I14" s="164"/>
      <c r="J14" s="164"/>
      <c r="K14" s="164" t="s">
        <v>911</v>
      </c>
    </row>
    <row r="15" spans="1:11" x14ac:dyDescent="0.3">
      <c r="A15" s="159">
        <v>11</v>
      </c>
      <c r="B15" s="159" t="s">
        <v>916</v>
      </c>
      <c r="C15" s="159" t="s">
        <v>113</v>
      </c>
      <c r="D15" s="159">
        <v>2</v>
      </c>
      <c r="E15" s="159" t="s">
        <v>737</v>
      </c>
      <c r="F15" s="159" t="s">
        <v>108</v>
      </c>
      <c r="G15" s="159" t="s">
        <v>829</v>
      </c>
      <c r="H15" s="159" t="s">
        <v>829</v>
      </c>
      <c r="I15" s="159"/>
      <c r="J15" s="159"/>
      <c r="K15" s="159" t="s">
        <v>909</v>
      </c>
    </row>
    <row r="16" spans="1:11" x14ac:dyDescent="0.3">
      <c r="A16" s="164">
        <v>12</v>
      </c>
      <c r="B16" s="164" t="s">
        <v>891</v>
      </c>
      <c r="C16" s="164" t="s">
        <v>107</v>
      </c>
      <c r="D16" s="164">
        <v>2</v>
      </c>
      <c r="E16" s="164" t="s">
        <v>740</v>
      </c>
      <c r="F16" s="164" t="s">
        <v>108</v>
      </c>
      <c r="G16" s="164" t="s">
        <v>836</v>
      </c>
      <c r="H16" s="164" t="s">
        <v>836</v>
      </c>
      <c r="I16" s="164" t="s">
        <v>836</v>
      </c>
      <c r="J16" s="164" t="s">
        <v>836</v>
      </c>
      <c r="K16" s="164" t="s">
        <v>911</v>
      </c>
    </row>
    <row r="17" spans="1:11" x14ac:dyDescent="0.3">
      <c r="A17" s="159">
        <v>13</v>
      </c>
      <c r="B17" s="159" t="s">
        <v>897</v>
      </c>
      <c r="C17" s="159" t="s">
        <v>113</v>
      </c>
      <c r="D17" s="159">
        <v>2</v>
      </c>
      <c r="E17" s="159" t="s">
        <v>711</v>
      </c>
      <c r="F17" s="159" t="s">
        <v>108</v>
      </c>
      <c r="G17" s="159" t="s">
        <v>830</v>
      </c>
      <c r="H17" s="159" t="s">
        <v>830</v>
      </c>
      <c r="I17" s="159" t="s">
        <v>830</v>
      </c>
      <c r="J17" s="159" t="s">
        <v>830</v>
      </c>
      <c r="K17" s="159" t="s">
        <v>915</v>
      </c>
    </row>
    <row r="18" spans="1:11" x14ac:dyDescent="0.3">
      <c r="A18" s="164">
        <v>14</v>
      </c>
      <c r="B18" s="164" t="s">
        <v>917</v>
      </c>
      <c r="C18" s="164" t="s">
        <v>113</v>
      </c>
      <c r="D18" s="164">
        <v>2</v>
      </c>
      <c r="E18" s="164" t="s">
        <v>746</v>
      </c>
      <c r="F18" s="164" t="s">
        <v>108</v>
      </c>
      <c r="G18" s="164" t="s">
        <v>830</v>
      </c>
      <c r="H18" s="164" t="s">
        <v>830</v>
      </c>
      <c r="I18" s="164"/>
      <c r="J18" s="164"/>
      <c r="K18" s="164" t="s">
        <v>915</v>
      </c>
    </row>
    <row r="19" spans="1:11" x14ac:dyDescent="0.3">
      <c r="A19" s="159">
        <v>15</v>
      </c>
      <c r="B19" s="159" t="s">
        <v>885</v>
      </c>
      <c r="C19" s="159" t="s">
        <v>107</v>
      </c>
      <c r="D19" s="159">
        <v>2</v>
      </c>
      <c r="E19" s="159" t="s">
        <v>711</v>
      </c>
      <c r="F19" s="159" t="s">
        <v>108</v>
      </c>
      <c r="G19" s="159" t="s">
        <v>836</v>
      </c>
      <c r="H19" s="159" t="s">
        <v>836</v>
      </c>
      <c r="I19" s="159"/>
      <c r="J19" s="159"/>
      <c r="K19" s="159" t="s">
        <v>911</v>
      </c>
    </row>
    <row r="20" spans="1:11" x14ac:dyDescent="0.3">
      <c r="A20" s="211" t="s">
        <v>834</v>
      </c>
      <c r="B20" s="211"/>
      <c r="C20" s="211"/>
      <c r="D20" s="211"/>
      <c r="E20" s="211"/>
      <c r="F20" s="211"/>
      <c r="G20" s="211"/>
      <c r="H20" s="211"/>
      <c r="I20" s="211"/>
      <c r="J20" s="211"/>
      <c r="K20" s="211"/>
    </row>
    <row r="21" spans="1:11" x14ac:dyDescent="0.3">
      <c r="A21" s="206"/>
      <c r="B21" s="206"/>
      <c r="C21" s="206"/>
      <c r="D21" s="206"/>
      <c r="E21" s="206"/>
      <c r="F21" s="206"/>
      <c r="G21" s="206"/>
      <c r="H21" s="206"/>
      <c r="I21" s="206"/>
      <c r="J21" s="206"/>
      <c r="K21" s="206"/>
    </row>
    <row r="22" spans="1:11" ht="43.2" x14ac:dyDescent="0.3">
      <c r="A22" s="149" t="s">
        <v>918</v>
      </c>
      <c r="G22" s="206"/>
      <c r="H22" s="206"/>
      <c r="I22" s="206"/>
      <c r="J22" s="206"/>
      <c r="K22" s="206"/>
    </row>
    <row r="23" spans="1:11" ht="43.2" x14ac:dyDescent="0.3">
      <c r="A23" s="26" t="s">
        <v>919</v>
      </c>
      <c r="B23" s="26" t="s">
        <v>920</v>
      </c>
      <c r="C23" s="26" t="s">
        <v>921</v>
      </c>
      <c r="D23" s="26" t="s">
        <v>922</v>
      </c>
      <c r="E23" s="26" t="s">
        <v>923</v>
      </c>
      <c r="F23" s="26"/>
      <c r="G23" s="197" t="s">
        <v>47</v>
      </c>
      <c r="H23" s="197"/>
      <c r="I23" s="197"/>
      <c r="J23" s="197"/>
      <c r="K23" s="197"/>
    </row>
    <row r="24" spans="1:11" x14ac:dyDescent="0.3">
      <c r="A24" s="29" t="s">
        <v>924</v>
      </c>
      <c r="B24" s="173">
        <v>21</v>
      </c>
      <c r="C24" s="173">
        <v>7</v>
      </c>
      <c r="D24" s="173">
        <v>14</v>
      </c>
      <c r="E24" s="173">
        <f>B24-C24-D24</f>
        <v>0</v>
      </c>
      <c r="F24" s="174"/>
      <c r="G24" s="212" t="s">
        <v>925</v>
      </c>
      <c r="H24" s="212"/>
      <c r="I24" s="212"/>
      <c r="J24" s="212"/>
      <c r="K24" s="212"/>
    </row>
    <row r="25" spans="1:11" x14ac:dyDescent="0.3">
      <c r="A25" s="35" t="s">
        <v>926</v>
      </c>
      <c r="B25" s="175">
        <v>10</v>
      </c>
      <c r="C25" s="175">
        <v>1</v>
      </c>
      <c r="D25" s="175">
        <v>9</v>
      </c>
      <c r="E25" s="175">
        <f>B25-C25-D25</f>
        <v>0</v>
      </c>
      <c r="F25" s="176"/>
      <c r="G25" s="213" t="s">
        <v>927</v>
      </c>
      <c r="H25" s="213"/>
      <c r="I25" s="213"/>
      <c r="J25" s="213"/>
      <c r="K25" s="213"/>
    </row>
    <row r="26" spans="1:11" ht="66" x14ac:dyDescent="0.3">
      <c r="A26" s="29" t="s">
        <v>30</v>
      </c>
      <c r="B26" s="173">
        <v>7</v>
      </c>
      <c r="C26" s="173">
        <v>1</v>
      </c>
      <c r="D26" s="173">
        <v>5</v>
      </c>
      <c r="E26" s="173">
        <f>B26-C26-D26</f>
        <v>1</v>
      </c>
      <c r="F26" s="174"/>
      <c r="G26" s="174" t="s">
        <v>928</v>
      </c>
      <c r="H26" s="172"/>
      <c r="I26" s="172"/>
      <c r="J26" s="172"/>
      <c r="K26" s="172"/>
    </row>
  </sheetData>
  <mergeCells count="10">
    <mergeCell ref="A21:K21"/>
    <mergeCell ref="G22:K22"/>
    <mergeCell ref="G23:K23"/>
    <mergeCell ref="G24:K24"/>
    <mergeCell ref="G25:K25"/>
    <mergeCell ref="A1:K1"/>
    <mergeCell ref="A2:K2"/>
    <mergeCell ref="A3:E3"/>
    <mergeCell ref="G3:K3"/>
    <mergeCell ref="A20:K20"/>
  </mergeCells>
  <printOptions horizontalCentered="1"/>
  <pageMargins left="0.75" right="0.75" top="1" bottom="1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4</vt:i4>
      </vt:variant>
    </vt:vector>
  </HeadingPairs>
  <TitlesOfParts>
    <vt:vector size="16" baseType="lpstr">
      <vt:lpstr>Dashboard</vt:lpstr>
      <vt:lpstr>Boulder Sample Log</vt:lpstr>
      <vt:lpstr>XRF Readings Detail</vt:lpstr>
      <vt:lpstr>Lab Samples</vt:lpstr>
      <vt:lpstr>Daily Verification</vt:lpstr>
      <vt:lpstr>Daily Field Log</vt:lpstr>
      <vt:lpstr>Grid Completion</vt:lpstr>
      <vt:lpstr>Boulder Selection Log</vt:lpstr>
      <vt:lpstr>Depth XRF Detail</vt:lpstr>
      <vt:lpstr>Crushing Field Checklist</vt:lpstr>
      <vt:lpstr>Powder XRF Detail</vt:lpstr>
      <vt:lpstr>Powder Boulder Checklist</vt:lpstr>
      <vt:lpstr>PowderIDs</vt:lpstr>
      <vt:lpstr>'Powder Boulder Checklist'!Print_Area</vt:lpstr>
      <vt:lpstr>'Crushing Field Checklist'!Print_Titles</vt:lpstr>
      <vt:lpstr>SampleIDs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Sharif, Mo</cp:lastModifiedBy>
  <cp:revision>0</cp:revision>
  <cp:lastPrinted>2026-04-28T15:32:04Z</cp:lastPrinted>
  <dcterms:created xsi:type="dcterms:W3CDTF">2026-04-01T18:17:37Z</dcterms:created>
  <dcterms:modified xsi:type="dcterms:W3CDTF">2026-05-11T21:12:57Z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52bb78-b785-4d5a-8181-ae732e0da257_ActionId">
    <vt:lpwstr>f9595ab4-3262-4a97-a610-4452191fb2c9</vt:lpwstr>
  </property>
  <property fmtid="{D5CDD505-2E9C-101B-9397-08002B2CF9AE}" pid="3" name="MSIP_Label_4c52bb78-b785-4d5a-8181-ae732e0da257_ContentBits">
    <vt:lpwstr>0</vt:lpwstr>
  </property>
  <property fmtid="{D5CDD505-2E9C-101B-9397-08002B2CF9AE}" pid="4" name="MSIP_Label_4c52bb78-b785-4d5a-8181-ae732e0da257_Enabled">
    <vt:lpwstr>true</vt:lpwstr>
  </property>
  <property fmtid="{D5CDD505-2E9C-101B-9397-08002B2CF9AE}" pid="5" name="MSIP_Label_4c52bb78-b785-4d5a-8181-ae732e0da257_Method">
    <vt:lpwstr>Privileged</vt:lpwstr>
  </property>
  <property fmtid="{D5CDD505-2E9C-101B-9397-08002B2CF9AE}" pid="6" name="MSIP_Label_4c52bb78-b785-4d5a-8181-ae732e0da257_Name">
    <vt:lpwstr>4c52bb78-b785-4d5a-8181-ae732e0da257</vt:lpwstr>
  </property>
  <property fmtid="{D5CDD505-2E9C-101B-9397-08002B2CF9AE}" pid="7" name="MSIP_Label_4c52bb78-b785-4d5a-8181-ae732e0da257_SetDate">
    <vt:lpwstr>2026-04-21T16:28:10Z</vt:lpwstr>
  </property>
  <property fmtid="{D5CDD505-2E9C-101B-9397-08002B2CF9AE}" pid="8" name="MSIP_Label_4c52bb78-b785-4d5a-8181-ae732e0da257_SiteId">
    <vt:lpwstr>37247798-f42c-42fd-8a37-d49c7128d36b</vt:lpwstr>
  </property>
  <property fmtid="{D5CDD505-2E9C-101B-9397-08002B2CF9AE}" pid="9" name="MSIP_Label_4c52bb78-b785-4d5a-8181-ae732e0da257_Tag">
    <vt:lpwstr>10, 0, 1, 1</vt:lpwstr>
  </property>
</Properties>
</file>